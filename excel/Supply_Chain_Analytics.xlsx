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Inventory_Policy" sheetId="4" state="visible" r:id="rId4"/>
    <sheet xmlns:r="http://schemas.openxmlformats.org/officeDocument/2006/relationships" name="Supplier_Scorecard" sheetId="5" state="visible" r:id="rId5"/>
    <sheet xmlns:r="http://schemas.openxmlformats.org/officeDocument/2006/relationships" name="Forecast" sheetId="6" state="visible" r:id="rId6"/>
    <sheet xmlns:r="http://schemas.openxmlformats.org/officeDocument/2006/relationships" name="Disruption_Simulator" sheetId="7" state="visible" r:id="rId7"/>
    <sheet xmlns:r="http://schemas.openxmlformats.org/officeDocument/2006/relationships" name="Landed_Cost" sheetId="8" state="visible" r:id="rId8"/>
    <sheet xmlns:r="http://schemas.openxmlformats.org/officeDocument/2006/relationships" name="Products" sheetId="9" state="visible" r:id="rId9"/>
    <sheet xmlns:r="http://schemas.openxmlformats.org/officeDocument/2006/relationships" name="Suppliers" sheetId="10" state="visible" r:id="rId10"/>
    <sheet xmlns:r="http://schemas.openxmlformats.org/officeDocument/2006/relationships" name="Weekly_Demand" sheetId="11" state="visible" r:id="rId11"/>
    <sheet xmlns:r="http://schemas.openxmlformats.org/officeDocument/2006/relationships" name="Purchase_Orders" sheetId="12" state="visible" r:id="rId12"/>
    <sheet xmlns:r="http://schemas.openxmlformats.org/officeDocument/2006/relationships" name="Inventory" sheetId="13" state="visible" r:id="rId13"/>
  </sheets>
  <definedNames>
    <definedName name="ServiceLevel">Assumptions!$B$5</definedName>
    <definedName name="z">Assumptions!$B$6</definedName>
    <definedName name="OrderCost">Assumptions!$B$7</definedName>
    <definedName name="HoldRate">Assumptions!$B$8</definedName>
    <definedName name="WeeksYear">Assumptions!$B$9</definedName>
    <definedName name="CurrentCoverWks">Assumptions!$B$10</definedName>
    <definedName name="LastWeek">Assumptions!$B$11</definedName>
    <definedName name="ACut">Assumptions!$B$13</definedName>
    <definedName name="BCut">Assumptions!$B$14</definedName>
    <definedName name="XMaxCV">Assumptions!$B$15</definedName>
    <definedName name="YMaxCV">Assumptions!$B$16</definedName>
    <definedName name="wLate">Assumptions!$B$18</definedName>
    <definedName name="wLTV">Assumptions!$B$19</definedName>
    <definedName name="wQuality">Assumptions!$B$20</definedName>
    <definedName name="wCountry">Assumptions!$B$21</definedName>
    <definedName name="wSpend">Assumptions!$B$22</definedName>
    <definedName name="BadLate">Assumptions!$B$25</definedName>
    <definedName name="BadLTV">Assumptions!$B$26</definedName>
    <definedName name="BadQuality">Assumptions!$B$27</definedName>
    <definedName name="BadSpend">Assumptions!$B$28</definedName>
    <definedName name="Markup">Assumptions!$B$30</definedName>
    <definedName name="CountryList">Assumptions!$A$33:$A$40</definedName>
    <definedName name="CountryScore">Assumptions!$B$33:$B$40</definedName>
    <definedName name="DriverList">Assumptions!$A$43:$A$47</definedName>
    <definedName name="DriverAction">Assumptions!$C$43:$C$47</definedName>
    <definedName name="SegList">Assumptions!$A$50:$A$58</definedName>
    <definedName name="SegStrategy">Assumptions!$C$50:$C$58</definedName>
    <definedName name="D_Week">Weekly_Demand!$A$2:$A$5097</definedName>
    <definedName name="D_SKU">Weekly_Demand!$B$2:$B$5097</definedName>
    <definedName name="D_Units">Weekly_Demand!$C$2:$C$5097</definedName>
    <definedName name="D_Last52">Weekly_Demand!$D$2:$D$5097</definedName>
    <definedName name="D_Units2">Weekly_Demand!$E$2:$E$5097</definedName>
    <definedName name="PO_Sup">Purchase_Orders!$B$2:$B$1275</definedName>
    <definedName name="PO_SKU">Purchase_Orders!$C$2:$C$1275</definedName>
    <definedName name="PO_QtyOrd">Purchase_Orders!$G$2:$G$1275</definedName>
    <definedName name="PO_QtyRec">Purchase_Orders!$H$2:$H$1275</definedName>
    <definedName name="PO_QtyDef">Purchase_Orders!$I$2:$I$1275</definedName>
    <definedName name="PO_Value">Purchase_Orders!$J$2:$J$1275</definedName>
    <definedName name="PO_LT">Purchase_Orders!$K$2:$K$1275</definedName>
    <definedName name="PO_LT2">Purchase_Orders!$L$2:$L$1275</definedName>
    <definedName name="PO_OnTime">Purchase_Orders!$M$2:$M$1275</definedName>
    <definedName name="PO_DaysLate">Purchase_Orders!$N$2:$N$1275</definedName>
    <definedName name="SC_ID">Supplier_Scorecard!$A$5:$A$12</definedName>
    <definedName name="SC_LT">Supplier_Scorecard!$I$5:$I$12</definedName>
    <definedName name="SC_LTStd">Supplier_Scorecard!$J$5:$J$12</definedName>
    <definedName name="P_SKU">Inventory_Policy!$A$5:$A$53</definedName>
    <definedName name="P_Name">Inventory_Policy!$B$5:$B$53</definedName>
    <definedName name="P_Sup">Inventory_Policy!$D$5:$D$53</definedName>
    <definedName name="P_Cost">Inventory_Policy!$E$5:$E$53</definedName>
    <definedName name="P_Spend">Inventory_Policy!$I$5:$I$53</definedName>
    <definedName name="P_ABC">Inventory_Policy!$K$5:$K$53</definedName>
    <definedName name="P_XYZ">Inventory_Policy!$M$5:$M$53</definedName>
    <definedName name="P_Seg">Inventory_Policy!$N$5:$N$53</definedName>
    <definedName name="P_LT">Inventory_Policy!$O$5:$O$53</definedName>
    <definedName name="P_SS">Inventory_Policy!$Q$5:$Q$53</definedName>
    <definedName name="P_ROP">Inventory_Policy!$R$5:$R$53</definedName>
    <definedName name="P_EOQ">Inventory_Policy!$S$5:$S$53</definedName>
    <definedName name="P_OnHand">Inventory_Policy!$T$5:$T$53</definedName>
    <definedName name="P_OnOrder">Inventory_Policy!$U$5:$U$53</definedName>
    <definedName name="P_Pos">Inventory_Policy!$V$5:$V$53</definedName>
    <definedName name="P_Demand">Inventory_Policy!$G$5:$G$53</definedName>
    <definedName name="P_Std">Inventory_Policy!$H$5:$H$53</definedName>
    <definedName name="P_Status">Inventory_Policy!$X$5:$X$53</definedName>
    <definedName name="P_Order">Inventory_Policy!$Y$5:$Y$53</definedName>
    <definedName name="P_Excess">Inventory_Policy!$Z$5:$Z$53</definedName>
    <definedName name="P_SSValue">Inventory_Policy!$AA$5:$AA$53</definedName>
    <definedName name="P_CurCost">Inventory_Policy!$AB$5:$AB$53</definedName>
    <definedName name="P_Saving">Inventory_Policy!$AD$5:$AD$53</definedName>
    <definedName name="P_SimRow">Inventory_Policy!$AF$5:$AF$53</definedName>
    <definedName name="P_ActRow">Inventory_Policy!$AG$5:$AG$53</definedName>
    <definedName name="FcSKU">Forecast!$B$4</definedName>
    <definedName name="Alpha">Forecast!$B$6</definedName>
    <definedName name="k_best">Forecast!$B$15</definedName>
    <definedName name="SimSupplier">Disruption_Simulator!$B$4</definedName>
    <definedName name="SimDelay">Disruption_Simulator!$B$5</definedName>
    <definedName name="LC_Country">Landed_Cost!$A$5:$A$12</definedName>
    <definedName name="LC_Mult">Landed_Cost!$G$5:$G$12</definedName>
    <definedName name="LC_Price">Landed_Cost!$B$5:$B$12</definedName>
    <definedName name="LC_Premium">Landed_Cost!$B$14</definedName>
    <definedName name="_xlnm._FilterDatabase" localSheetId="3" hidden="1">'Inventory_Policy'!$A$4:$AG$53</definedName>
    <definedName name="_xlnm._FilterDatabase" localSheetId="8" hidden="1">'Products'!$A$1:$E$50</definedName>
    <definedName name="_xlnm._FilterDatabase" localSheetId="9" hidden="1">'Suppliers'!$A$1:$D$9</definedName>
    <definedName name="_xlnm._FilterDatabase" localSheetId="10" hidden="1">'Weekly_Demand'!$A$1:$E$5097</definedName>
    <definedName name="_xlnm._FilterDatabase" localSheetId="11" hidden="1">'Purchase_Orders'!$A$1:$N$1275</definedName>
    <definedName name="_xlnm._FilterDatabase" localSheetId="12" hidden="1">'Inventory'!$A$1:$C$50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&quot;CAD &quot;#,##0.00;(&quot;CAD &quot;#,##0.00);&quot;-&quot;"/>
    <numFmt numFmtId="165" formatCode="yyyy-mm-dd h:mm:ss"/>
    <numFmt numFmtId="166" formatCode="yyyy-mm-dd"/>
    <numFmt numFmtId="167" formatCode="0.0%;(0.0%);&quot;-&quot;"/>
    <numFmt numFmtId="168" formatCode="0.000"/>
    <numFmt numFmtId="169" formatCode="0.00x"/>
    <numFmt numFmtId="170" formatCode="&quot;CAD &quot;#,##0;(&quot;CAD &quot;#,##0);&quot;-&quot;"/>
    <numFmt numFmtId="171" formatCode="0.0"/>
    <numFmt numFmtId="172" formatCode="#,##0;(#,##0);&quot;-&quot;"/>
    <numFmt numFmtId="173" formatCode="#,##0.0;(#,##0.0);&quot;-&quot;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23D73"/>
      <sz val="16"/>
    </font>
    <font>
      <name val="Arial"/>
      <i val="1"/>
      <color rgb="0052514E"/>
      <sz val="10"/>
    </font>
    <font>
      <name val="Arial"/>
      <b val="1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b val="1"/>
      <color rgb="00123D73"/>
      <sz val="18"/>
    </font>
    <font>
      <name val="Arial"/>
      <color rgb="00A0A0A0"/>
      <sz val="8"/>
    </font>
    <font>
      <name val="Arial"/>
      <color rgb="0052514E"/>
      <sz val="9"/>
    </font>
    <font>
      <name val="Arial"/>
      <color rgb="007A7974"/>
      <sz val="8"/>
    </font>
  </fonts>
  <fills count="10">
    <fill>
      <patternFill/>
    </fill>
    <fill>
      <patternFill patternType="gray125"/>
    </fill>
    <fill>
      <patternFill patternType="solid">
        <fgColor rgb="001D5AA6"/>
      </patternFill>
    </fill>
    <fill>
      <patternFill patternType="solid">
        <fgColor rgb="00F0EFEA"/>
      </patternFill>
    </fill>
    <fill>
      <patternFill patternType="solid">
        <fgColor rgb="00FFFF00"/>
      </patternFill>
    </fill>
    <fill>
      <patternFill patternType="solid">
        <fgColor rgb="00EEF5FD"/>
      </patternFill>
    </fill>
    <fill>
      <patternFill patternType="solid">
        <fgColor rgb="00F6C9C9"/>
      </patternFill>
    </fill>
    <fill>
      <patternFill patternType="solid">
        <fgColor rgb="00FBDCCD"/>
      </patternFill>
    </fill>
    <fill>
      <patternFill patternType="solid">
        <fgColor rgb="00D3F0D3"/>
      </patternFill>
    </fill>
    <fill>
      <patternFill patternType="solid">
        <fgColor rgb="00FEEDC4"/>
      </patternFill>
    </fill>
  </fills>
  <borders count="2">
    <border>
      <left/>
      <right/>
      <top/>
      <bottom/>
      <diagonal/>
    </border>
    <border>
      <left style="thin">
        <color rgb="00E1E0D9"/>
      </left>
      <right style="thin">
        <color rgb="00E1E0D9"/>
      </right>
      <top style="thin">
        <color rgb="00E1E0D9"/>
      </top>
      <bottom style="thin">
        <color rgb="00E1E0D9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2" fillId="3" borderId="0" applyAlignment="1" pivotButton="0" quotePrefix="0" xfId="0">
      <alignment vertical="top" wrapText="1"/>
    </xf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10" fillId="5" borderId="0" pivotButton="0" quotePrefix="0" xfId="0"/>
    <xf numFmtId="0" fontId="0" fillId="5" borderId="0" pivotButton="0" quotePrefix="0" xfId="0"/>
    <xf numFmtId="170" fontId="8" fillId="5" borderId="0" applyAlignment="1" pivotButton="0" quotePrefix="0" xfId="0">
      <alignment horizontal="left"/>
    </xf>
    <xf numFmtId="167" fontId="8" fillId="5" borderId="0" applyAlignment="1" pivotButton="0" quotePrefix="0" xfId="0">
      <alignment horizontal="left"/>
    </xf>
    <xf numFmtId="172" fontId="8" fillId="5" borderId="0" applyAlignment="1" pivotButton="0" quotePrefix="0" xfId="0">
      <alignment horizontal="left"/>
    </xf>
    <xf numFmtId="0" fontId="11" fillId="5" borderId="0" pivotButton="0" quotePrefix="0" xfId="0"/>
    <xf numFmtId="0" fontId="2" fillId="6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2" fillId="7" borderId="0" pivotButton="0" quotePrefix="0" xfId="0"/>
    <xf numFmtId="0" fontId="5" fillId="0" borderId="1" applyAlignment="1" pivotButton="0" quotePrefix="0" xfId="0">
      <alignment horizontal="center"/>
    </xf>
    <xf numFmtId="0" fontId="2" fillId="8" borderId="0" pivotButton="0" quotePrefix="0" xfId="0"/>
    <xf numFmtId="0" fontId="2" fillId="9" borderId="0" pivotButton="0" quotePrefix="0" xfId="0"/>
    <xf numFmtId="172" fontId="2" fillId="0" borderId="0" pivotButton="0" quotePrefix="0" xfId="0"/>
    <xf numFmtId="0" fontId="0" fillId="3" borderId="0" pivotButton="0" quotePrefix="0" xfId="0"/>
    <xf numFmtId="167" fontId="6" fillId="4" borderId="0" pivotButton="0" quotePrefix="0" xfId="0"/>
    <xf numFmtId="168" fontId="2" fillId="0" borderId="0" pivotButton="0" quotePrefix="0" xfId="0"/>
    <xf numFmtId="164" fontId="6" fillId="4" borderId="0" pivotButton="0" quotePrefix="0" xfId="0"/>
    <xf numFmtId="0" fontId="6" fillId="4" borderId="0" pivotButton="0" quotePrefix="0" xfId="0"/>
    <xf numFmtId="166" fontId="2" fillId="0" borderId="0" pivotButton="0" quotePrefix="0" xfId="0"/>
    <xf numFmtId="167" fontId="2" fillId="0" borderId="0" pivotButton="0" quotePrefix="0" xfId="0"/>
    <xf numFmtId="169" fontId="6" fillId="4" borderId="0" pivotButton="0" quotePrefix="0" xfId="0"/>
    <xf numFmtId="0" fontId="1" fillId="2" borderId="0" applyAlignment="1" pivotButton="0" quotePrefix="0" xfId="0">
      <alignment vertical="center" wrapText="1"/>
    </xf>
    <xf numFmtId="0" fontId="7" fillId="0" borderId="1" pivotButton="0" quotePrefix="0" xfId="0"/>
    <xf numFmtId="164" fontId="7" fillId="0" borderId="1" pivotButton="0" quotePrefix="0" xfId="0"/>
    <xf numFmtId="172" fontId="2" fillId="0" borderId="1" pivotButton="0" quotePrefix="0" xfId="0"/>
    <xf numFmtId="173" fontId="2" fillId="0" borderId="1" pivotButton="0" quotePrefix="0" xfId="0"/>
    <xf numFmtId="170" fontId="2" fillId="0" borderId="1" pivotButton="0" quotePrefix="0" xfId="0"/>
    <xf numFmtId="167" fontId="2" fillId="0" borderId="1" pivotButton="0" quotePrefix="0" xfId="0"/>
    <xf numFmtId="0" fontId="2" fillId="0" borderId="1" pivotButton="0" quotePrefix="0" xfId="0"/>
    <xf numFmtId="2" fontId="2" fillId="0" borderId="1" pivotButton="0" quotePrefix="0" xfId="0"/>
    <xf numFmtId="171" fontId="2" fillId="0" borderId="1" pivotButton="0" quotePrefix="0" xfId="0"/>
    <xf numFmtId="10" fontId="2" fillId="0" borderId="1" pivotButton="0" quotePrefix="0" xfId="0"/>
    <xf numFmtId="0" fontId="2" fillId="0" borderId="1" applyAlignment="1" pivotButton="0" quotePrefix="0" xfId="0">
      <alignment vertical="top" wrapText="1"/>
    </xf>
    <xf numFmtId="172" fontId="0" fillId="0" borderId="0" pivotButton="0" quotePrefix="0" xfId="0"/>
    <xf numFmtId="0" fontId="1" fillId="2" borderId="0" applyAlignment="1" pivotButton="0" quotePrefix="0" xfId="0">
      <alignment wrapText="1"/>
    </xf>
    <xf numFmtId="3" fontId="2" fillId="0" borderId="0" pivotButton="0" quotePrefix="0" xfId="0"/>
    <xf numFmtId="0" fontId="2" fillId="5" borderId="0" pivotButton="0" quotePrefix="0" xfId="0"/>
    <xf numFmtId="166" fontId="2" fillId="5" borderId="0" pivotButton="0" quotePrefix="0" xfId="0"/>
    <xf numFmtId="3" fontId="2" fillId="5" borderId="0" pivotButton="0" quotePrefix="0" xfId="0"/>
    <xf numFmtId="0" fontId="8" fillId="5" borderId="0" pivotButton="0" quotePrefix="0" xfId="0"/>
    <xf numFmtId="170" fontId="8" fillId="5" borderId="0" pivotButton="0" quotePrefix="0" xfId="0"/>
    <xf numFmtId="173" fontId="2" fillId="0" borderId="0" pivotButton="0" quotePrefix="0" xfId="0"/>
    <xf numFmtId="170" fontId="2" fillId="0" borderId="0" pivotButton="0" quotePrefix="0" xfId="0"/>
    <xf numFmtId="0" fontId="9" fillId="0" borderId="0" pivotButton="0" quotePrefix="0" xfId="0"/>
    <xf numFmtId="2" fontId="6" fillId="4" borderId="0" pivotButton="0" quotePrefix="0" xfId="0"/>
    <xf numFmtId="168" fontId="0" fillId="0" borderId="0" pivotButton="0" quotePrefix="0" xfId="0"/>
    <xf numFmtId="171" fontId="0" fillId="0" borderId="0" pivotButton="0" quotePrefix="0" xfId="0"/>
    <xf numFmtId="172" fontId="5" fillId="5" borderId="0" pivotButton="0" quotePrefix="0" xfId="0"/>
    <xf numFmtId="170" fontId="5" fillId="5" borderId="0" pivotButton="0" quotePrefix="0" xfId="0"/>
    <xf numFmtId="164" fontId="2" fillId="0" borderId="1" pivotButton="0" quotePrefix="0" xfId="0"/>
    <xf numFmtId="164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6C9C9"/>
        </patternFill>
      </fill>
    </dxf>
    <dxf>
      <fill>
        <patternFill patternType="solid">
          <fgColor rgb="00FBDCCD"/>
        </patternFill>
      </fill>
    </dxf>
    <dxf>
      <fill>
        <patternFill patternType="solid">
          <fgColor rgb="00D3F0D3"/>
        </patternFill>
      </fill>
    </dxf>
    <dxf>
      <fill>
        <patternFill patternType="solid">
          <fgColor rgb="00FEEDC4"/>
        </patternFill>
      </fill>
    </dxf>
    <dxf>
      <fill>
        <patternFill patternType="solid">
          <fgColor rgb="00F0EF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SKUs by inventory status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EC835A"/>
            </a:solidFill>
            <a:ln xmlns:a="http://schemas.openxmlformats.org/drawingml/2006/main">
              <a:prstDash val="solid"/>
            </a:ln>
          </spPr>
          <cat>
            <numRef>
              <f>'Dashboard'!$B$13:$B$16</f>
            </numRef>
          </cat>
          <val>
            <numRef>
              <f>'Dashboard'!$C$13:$C$16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Supplier risk score (0-100)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'Supplier_Scorecard'!Y4</f>
            </strRef>
          </tx>
          <spPr>
            <a:solidFill xmlns:a="http://schemas.openxmlformats.org/drawingml/2006/main">
              <a:srgbClr val="D03B3B"/>
            </a:solidFill>
            <a:ln xmlns:a="http://schemas.openxmlformats.org/drawingml/2006/main">
              <a:prstDash val="solid"/>
            </a:ln>
          </spPr>
          <cat>
            <numRef>
              <f>'Supplier_Scorecard'!$B$5:$B$12</f>
            </numRef>
          </cat>
          <val>
            <numRef>
              <f>'Supplier_Scorecard'!$Y$5:$Y$12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Actual demand vs best-method forecast</a:t>
            </a:r>
          </a:p>
        </rich>
      </tx>
    </title>
    <plotArea>
      <scatterChart>
        <ser>
          <idx val="0"/>
          <order val="0"/>
          <tx>
            <v>Actual units</v>
          </tx>
          <spPr>
            <a:ln xmlns:a="http://schemas.openxmlformats.org/drawingml/2006/main" w="200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'Forecast'!$B$17:$B$120</f>
            </numRef>
          </xVal>
          <yVal>
            <numRef>
              <f>'Forecast'!$C$17:$C$120</f>
            </numRef>
          </yVal>
          <smooth val="0"/>
        </ser>
        <ser>
          <idx val="1"/>
          <order val="1"/>
          <tx>
            <v>Forecast (best method)</v>
          </tx>
          <spPr>
            <a:ln xmlns:a="http://schemas.openxmlformats.org/drawingml/2006/main" w="20000">
              <a:solidFill>
                <a:srgbClr val="EB6834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'Forecast'!$B$109:$B$132</f>
            </numRef>
          </xVal>
          <yVal>
            <numRef>
              <f>'Forecast'!$H$109:$H$132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</a:t>
                </a:r>
              </a:p>
            </rich>
          </tx>
        </title>
        <numFmt formatCode="mmm-yy" sourceLinked="0"/>
        <majorTickMark val="none"/>
        <minorTickMark val="none"/>
        <crossAx val="20"/>
        <majorUnit val="91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 per week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17</row>
      <rowOff>0</rowOff>
    </from>
    <ext cx="25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11</row>
      <rowOff>0</rowOff>
    </from>
    <ext cx="540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2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52514E"/>
    <outlinePr summaryBelow="1" summaryRight="1"/>
    <pageSetUpPr fitToPage="1"/>
  </sheetPr>
  <dimension ref="A1:B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Supply Chain Inventory Optimization &amp; Supplier Risk Analytics (Excel model)</t>
        </is>
      </c>
    </row>
    <row r="2">
      <c r="A2" s="2" t="inlineStr">
        <is>
          <t>Every result is a live Excel formula. Built by Dhruvilkumar Upadhyay.</t>
        </is>
      </c>
    </row>
    <row r="4">
      <c r="A4" s="3" t="inlineStr">
        <is>
          <t>How to use</t>
        </is>
      </c>
      <c r="B4" s="4" t="inlineStr"/>
    </row>
    <row r="5">
      <c r="A5" s="5" t="inlineStr">
        <is>
          <t>1. Assumptions</t>
        </is>
      </c>
      <c r="B5" s="6" t="inlineStr">
        <is>
          <t>Change any blue-on-yellow cell (service level, ordering cost, risk weights...). The whole model recalculates.</t>
        </is>
      </c>
    </row>
    <row r="6">
      <c r="A6" s="5" t="inlineStr">
        <is>
          <t>2. Dashboard</t>
        </is>
      </c>
      <c r="B6" s="6" t="inlineStr">
        <is>
          <t>KPIs, inventory status, supplier risk chart, ABC-XYZ matrix and the 'what to order today' list.</t>
        </is>
      </c>
    </row>
    <row r="7">
      <c r="A7" s="5" t="inlineStr">
        <is>
          <t>3. Inventory_Policy</t>
        </is>
      </c>
      <c r="B7" s="6" t="inlineStr">
        <is>
          <t>One row per SKU: ABC-XYZ class, safety stock, reorder point, EOQ, status and suggested order quantity.</t>
        </is>
      </c>
    </row>
    <row r="8">
      <c r="A8" s="5" t="inlineStr">
        <is>
          <t>4. Supplier_Scorecard</t>
        </is>
      </c>
      <c r="B8" s="6" t="inlineStr">
        <is>
          <t>On-time delivery, lead time, defects, spend share and a weighted 0-100 risk score with a recommended action.</t>
        </is>
      </c>
    </row>
    <row r="9">
      <c r="A9" s="5" t="inlineStr">
        <is>
          <t>5. Forecast</t>
        </is>
      </c>
      <c r="B9" s="6" t="inlineStr">
        <is>
          <t>Pick a SKU from the dropdown in B4 to back-test 3 forecasting methods and see a 12-week forecast.</t>
        </is>
      </c>
    </row>
    <row r="10">
      <c r="A10" s="5" t="inlineStr">
        <is>
          <t>6. Disruption_Simulator</t>
        </is>
      </c>
      <c r="B10" s="6" t="inlineStr">
        <is>
          <t>Pick a supplier (B4) and an extra delay (B5) to see which SKUs stock out and the revenue at risk.</t>
        </is>
      </c>
    </row>
    <row r="11">
      <c r="A11" s="5" t="inlineStr">
        <is>
          <t>7. Landed_Cost</t>
        </is>
      </c>
      <c r="B11" s="6" t="inlineStr">
        <is>
          <t>Offshore vs nearshore: total landed cost (price, freight, duty, brokerage, plus the cost of safety stock and in-transit inventory) for every SKU bought overseas.</t>
        </is>
      </c>
    </row>
    <row r="12">
      <c r="A12" s="5" t="inlineStr">
        <is>
          <t>Data sheets</t>
        </is>
      </c>
      <c r="B12" s="6" t="inlineStr">
        <is>
          <t>Products, Suppliers, Weekly_Demand, Purchase_Orders, Inventory. Replace them with your own data (same columns).</t>
        </is>
      </c>
    </row>
    <row r="13">
      <c r="A13" s="5" t="inlineStr">
        <is>
          <t>Colour code</t>
        </is>
      </c>
      <c r="B13" s="6" t="inlineStr">
        <is>
          <t>Blue text = input you can change. Green text = link to another sheet. Black = formula.</t>
        </is>
      </c>
    </row>
    <row r="14">
      <c r="A14" s="3" t="inlineStr">
        <is>
          <t>Key formulas</t>
        </is>
      </c>
      <c r="B14" s="4" t="inlineStr"/>
    </row>
    <row r="15">
      <c r="A15" s="5" t="inlineStr">
        <is>
          <t>Safety stock</t>
        </is>
      </c>
      <c r="B15" s="6" t="inlineStr">
        <is>
          <t>z x SQRT( lead time x demand std² + avg demand² x lead time std² )</t>
        </is>
      </c>
    </row>
    <row r="16">
      <c r="A16" s="5" t="inlineStr">
        <is>
          <t>Reorder point</t>
        </is>
      </c>
      <c r="B16" s="6" t="inlineStr">
        <is>
          <t>avg weekly demand x lead time + safety stock</t>
        </is>
      </c>
    </row>
    <row r="17">
      <c r="A17" s="5" t="inlineStr">
        <is>
          <t>EOQ</t>
        </is>
      </c>
      <c r="B17" s="6" t="inlineStr">
        <is>
          <t>SQRT( 2 x annual demand x ordering cost / (unit cost x holding rate) )</t>
        </is>
      </c>
    </row>
    <row r="18">
      <c r="A18" s="5" t="inlineStr">
        <is>
          <t>WAPE</t>
        </is>
      </c>
      <c r="B18" s="6" t="inlineStr">
        <is>
          <t>SUM(|actual - forecast|) / SUM(actual)</t>
        </is>
      </c>
    </row>
    <row r="19">
      <c r="A19" s="5" t="inlineStr">
        <is>
          <t>Data source</t>
        </is>
      </c>
      <c r="B19" s="6" t="inlineStr">
        <is>
          <t>NorthBridge is a fictional company. The data is simulated because real supply chain data is confidential. The analysis is built to run the same way on a real ERP export.</t>
        </is>
      </c>
    </row>
    <row r="20">
      <c r="A20" s="5" t="inlineStr">
        <is>
          <t>Python version</t>
        </is>
      </c>
      <c r="B20" s="6" t="inlineStr">
        <is>
          <t>The same analysis is automated in Python (src/main.py). That version uses forecast error for safety stock, so numbers differ slightly.</t>
        </is>
      </c>
    </row>
  </sheetData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tabColor rgb="001D5AA6"/>
    <outlinePr summaryBelow="1" summaryRight="1"/>
    <pageSetUpPr fitToPage="1"/>
  </sheetPr>
  <dimension ref="A1:R5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3" customWidth="1" min="4" max="4"/>
    <col width="22" customWidth="1" min="5" max="5"/>
    <col width="14" customWidth="1" min="6" max="6"/>
    <col width="3" customWidth="1" min="7" max="7"/>
    <col width="22" customWidth="1" min="8" max="8"/>
    <col width="14" customWidth="1" min="9" max="9"/>
    <col width="3" customWidth="1" min="10" max="10"/>
    <col width="22" customWidth="1" min="11" max="11"/>
    <col width="14" customWidth="1" min="12" max="12"/>
    <col width="3" customWidth="1" min="13" max="13"/>
    <col width="14" customWidth="1" min="14" max="14"/>
    <col width="14" customWidth="1" min="15" max="15"/>
    <col width="14" customWidth="1" min="16" max="16"/>
    <col hidden="1" width="13" customWidth="1" min="18" max="18"/>
  </cols>
  <sheetData>
    <row r="1">
      <c r="A1" s="1" t="inlineStr">
        <is>
          <t>Supply Chain Control Tower</t>
        </is>
      </c>
    </row>
    <row r="2">
      <c r="A2" s="2" t="inlineStr">
        <is>
          <t>Inventory optimization, demand forecasting and supplier risk. All figures are live formulas; change inputs on the Assumptions sheet.</t>
        </is>
      </c>
    </row>
    <row r="4">
      <c r="B4" s="7" t="inlineStr">
        <is>
          <t>Annual spend analysed</t>
        </is>
      </c>
      <c r="C4" s="8" t="n"/>
      <c r="E4" s="7" t="inlineStr">
        <is>
          <t>Spend in A-class SKUs</t>
        </is>
      </c>
      <c r="F4" s="8" t="n"/>
      <c r="H4" s="7" t="inlineStr">
        <is>
          <t>SKUs to order now</t>
        </is>
      </c>
      <c r="I4" s="8" t="n"/>
      <c r="K4" s="7" t="inlineStr">
        <is>
          <t>EOQ saving per year</t>
        </is>
      </c>
      <c r="L4" s="8" t="n"/>
    </row>
    <row r="5" ht="26" customHeight="1">
      <c r="B5" s="9">
        <f>SUM(P_Spend)</f>
        <v/>
      </c>
      <c r="C5" s="8" t="n"/>
      <c r="E5" s="10">
        <f>SUMIF(P_ABC,"A",P_Spend)/SUM(P_Spend)</f>
        <v/>
      </c>
      <c r="F5" s="8" t="n"/>
      <c r="H5" s="11">
        <f>COUNTIF(P_Status,"Order now")+COUNTIF(P_Status,"Critical - expedite")</f>
        <v/>
      </c>
      <c r="I5" s="8" t="n"/>
      <c r="K5" s="9">
        <f>SUM(P_Saving)</f>
        <v/>
      </c>
      <c r="L5" s="8" t="n"/>
    </row>
    <row r="6">
      <c r="B6" s="12">
        <f>COUNTA(P_SKU)&amp;" SKUs, "&amp;COUNTA(SC_ID)&amp;" suppliers"</f>
        <v/>
      </c>
      <c r="C6" s="8" t="n"/>
      <c r="E6" s="12">
        <f>"from "&amp;COUNTIF(P_ABC,"A")&amp;" SKUs ("&amp;TEXT(COUNTIF(P_ABC,"A")/COUNTA(P_SKU),"0%")&amp;")"</f>
        <v/>
      </c>
      <c r="F6" s="8" t="n"/>
      <c r="H6" s="12">
        <f>COUNTIF(P_Status,"Critical - expedite")&amp;" critical (below safety stock)"</f>
        <v/>
      </c>
      <c r="I6" s="8" t="n"/>
      <c r="K6" s="12">
        <f>TEXT(SUM(P_Saving)/SUM(P_CurCost),"0.0%")&amp;" lower ordering + holding cost"</f>
        <v/>
      </c>
      <c r="L6" s="8" t="n"/>
    </row>
    <row r="8">
      <c r="B8" s="7" t="inlineStr">
        <is>
          <t>Excess inventory</t>
        </is>
      </c>
      <c r="C8" s="8" t="n"/>
      <c r="E8" s="7" t="inlineStr">
        <is>
          <t>Safety stock investment</t>
        </is>
      </c>
      <c r="F8" s="8" t="n"/>
      <c r="H8" s="7" t="inlineStr">
        <is>
          <t>Supplier on-time delivery</t>
        </is>
      </c>
      <c r="I8" s="8" t="n"/>
      <c r="K8" s="7" t="inlineStr">
        <is>
          <t>High-risk suppliers</t>
        </is>
      </c>
      <c r="L8" s="8" t="n"/>
    </row>
    <row r="9" ht="26" customHeight="1">
      <c r="B9" s="9">
        <f>SUM(P_Excess)</f>
        <v/>
      </c>
      <c r="C9" s="8" t="n"/>
      <c r="E9" s="9">
        <f>SUM(P_SSValue)</f>
        <v/>
      </c>
      <c r="F9" s="8" t="n"/>
      <c r="H9" s="10">
        <f>AVERAGE(PO_OnTime)</f>
        <v/>
      </c>
      <c r="I9" s="8" t="n"/>
      <c r="K9" s="11">
        <f>COUNTIF(Supplier_Scorecard!$Z$5:$Z$12,"High")</f>
        <v/>
      </c>
      <c r="L9" s="8" t="n"/>
    </row>
    <row r="10">
      <c r="B10" s="12">
        <f>COUNTIF(P_Status,"Overstock")&amp;" SKUs above max stock"</f>
        <v/>
      </c>
      <c r="C10" s="8" t="n"/>
      <c r="E10" s="12">
        <f>"at "&amp;TEXT(ServiceLevel,"0%")&amp;" service level"</f>
        <v/>
      </c>
      <c r="F10" s="8" t="n"/>
      <c r="H10" s="12">
        <f>COUNTA(PO_OnTime)&amp;" purchase orders"</f>
        <v/>
      </c>
      <c r="I10" s="8" t="n"/>
      <c r="K10" s="12">
        <f>"Top: "&amp;INDEX(Supplier_Scorecard!$B$5:$B$12,MATCH(1,Supplier_Scorecard!$AC$5:$AC$12,0))</f>
        <v/>
      </c>
      <c r="L10" s="8" t="n"/>
    </row>
    <row r="12">
      <c r="B12" s="5" t="inlineStr">
        <is>
          <t>Inventory status</t>
        </is>
      </c>
      <c r="M12" s="5" t="inlineStr">
        <is>
          <t>ABC-XYZ matrix (SKU count)</t>
        </is>
      </c>
    </row>
    <row r="13">
      <c r="B13" s="13" t="inlineStr">
        <is>
          <t>Critical - expedite</t>
        </is>
      </c>
      <c r="C13" s="14">
        <f>COUNTIF(P_Status,B13)</f>
        <v/>
      </c>
      <c r="N13" s="15" t="inlineStr">
        <is>
          <t>X stable</t>
        </is>
      </c>
      <c r="O13" s="15" t="inlineStr">
        <is>
          <t>Y variable</t>
        </is>
      </c>
      <c r="P13" s="15" t="inlineStr">
        <is>
          <t>Z erratic</t>
        </is>
      </c>
    </row>
    <row r="14">
      <c r="B14" s="16" t="inlineStr">
        <is>
          <t>Order now</t>
        </is>
      </c>
      <c r="C14" s="14">
        <f>COUNTIF(P_Status,B14)</f>
        <v/>
      </c>
      <c r="M14" s="15" t="inlineStr">
        <is>
          <t>A</t>
        </is>
      </c>
      <c r="N14" s="17">
        <f>COUNTIFS(P_ABC,"A",P_XYZ,"X")</f>
        <v/>
      </c>
      <c r="O14" s="17">
        <f>COUNTIFS(P_ABC,"A",P_XYZ,"Y")</f>
        <v/>
      </c>
      <c r="P14" s="17">
        <f>COUNTIFS(P_ABC,"A",P_XYZ,"Z")</f>
        <v/>
      </c>
    </row>
    <row r="15">
      <c r="B15" s="18" t="inlineStr">
        <is>
          <t>Healthy</t>
        </is>
      </c>
      <c r="C15" s="14">
        <f>COUNTIF(P_Status,B15)</f>
        <v/>
      </c>
      <c r="M15" s="15" t="inlineStr">
        <is>
          <t>B</t>
        </is>
      </c>
      <c r="N15" s="17">
        <f>COUNTIFS(P_ABC,"B",P_XYZ,"X")</f>
        <v/>
      </c>
      <c r="O15" s="17">
        <f>COUNTIFS(P_ABC,"B",P_XYZ,"Y")</f>
        <v/>
      </c>
      <c r="P15" s="17">
        <f>COUNTIFS(P_ABC,"B",P_XYZ,"Z")</f>
        <v/>
      </c>
    </row>
    <row r="16">
      <c r="B16" s="19" t="inlineStr">
        <is>
          <t>Overstock</t>
        </is>
      </c>
      <c r="C16" s="14">
        <f>COUNTIF(P_Status,B16)</f>
        <v/>
      </c>
      <c r="M16" s="15" t="inlineStr">
        <is>
          <t>C</t>
        </is>
      </c>
      <c r="N16" s="17">
        <f>COUNTIFS(P_ABC,"C",P_XYZ,"X")</f>
        <v/>
      </c>
      <c r="O16" s="17">
        <f>COUNTIFS(P_ABC,"C",P_XYZ,"Y")</f>
        <v/>
      </c>
      <c r="P16" s="17">
        <f>COUNTIFS(P_ABC,"C",P_XYZ,"Z")</f>
        <v/>
      </c>
    </row>
    <row r="33">
      <c r="B33" s="5" t="inlineStr">
        <is>
          <t>What to order today</t>
        </is>
      </c>
    </row>
    <row r="34">
      <c r="B34" s="15" t="inlineStr">
        <is>
          <t>Product</t>
        </is>
      </c>
      <c r="C34" s="15" t="inlineStr">
        <is>
          <t>SKU</t>
        </is>
      </c>
      <c r="E34" s="15" t="inlineStr">
        <is>
          <t>Status</t>
        </is>
      </c>
      <c r="F34" s="15" t="inlineStr">
        <is>
          <t>Position</t>
        </is>
      </c>
      <c r="H34" s="15" t="inlineStr">
        <is>
          <t>Reorder point</t>
        </is>
      </c>
      <c r="I34" s="15" t="inlineStr">
        <is>
          <t>Order qty</t>
        </is>
      </c>
      <c r="K34" s="15" t="inlineStr">
        <is>
          <t>Supplier</t>
        </is>
      </c>
    </row>
    <row r="35">
      <c r="B35" s="14">
        <f>IF($R35="","",INDEX(P_Name,$R35))</f>
        <v/>
      </c>
      <c r="C35" s="14">
        <f>IF($R35="","",INDEX(P_SKU,$R35))</f>
        <v/>
      </c>
      <c r="E35" s="14">
        <f>IF($R35="","",INDEX(P_Status,$R35))</f>
        <v/>
      </c>
      <c r="F35" s="20">
        <f>IF($R35="","",INDEX(P_Pos,$R35))</f>
        <v/>
      </c>
      <c r="H35" s="20">
        <f>IF($R35="","",INDEX(P_ROP,$R35))</f>
        <v/>
      </c>
      <c r="I35" s="20">
        <f>IF($R35="","",INDEX(P_Order,$R35))</f>
        <v/>
      </c>
      <c r="K35" s="14">
        <f>IF($R35="","",INDEX(P_Sup,$R35))</f>
        <v/>
      </c>
      <c r="R35">
        <f>IFERROR(MATCH(1,P_ActRow,0),"")</f>
        <v/>
      </c>
    </row>
    <row r="36">
      <c r="B36" s="14">
        <f>IF($R36="","",INDEX(P_Name,$R36))</f>
        <v/>
      </c>
      <c r="C36" s="14">
        <f>IF($R36="","",INDEX(P_SKU,$R36))</f>
        <v/>
      </c>
      <c r="E36" s="14">
        <f>IF($R36="","",INDEX(P_Status,$R36))</f>
        <v/>
      </c>
      <c r="F36" s="20">
        <f>IF($R36="","",INDEX(P_Pos,$R36))</f>
        <v/>
      </c>
      <c r="H36" s="20">
        <f>IF($R36="","",INDEX(P_ROP,$R36))</f>
        <v/>
      </c>
      <c r="I36" s="20">
        <f>IF($R36="","",INDEX(P_Order,$R36))</f>
        <v/>
      </c>
      <c r="K36" s="14">
        <f>IF($R36="","",INDEX(P_Sup,$R36))</f>
        <v/>
      </c>
      <c r="R36">
        <f>IFERROR(MATCH(2,P_ActRow,0),"")</f>
        <v/>
      </c>
    </row>
    <row r="37">
      <c r="B37" s="14">
        <f>IF($R37="","",INDEX(P_Name,$R37))</f>
        <v/>
      </c>
      <c r="C37" s="14">
        <f>IF($R37="","",INDEX(P_SKU,$R37))</f>
        <v/>
      </c>
      <c r="E37" s="14">
        <f>IF($R37="","",INDEX(P_Status,$R37))</f>
        <v/>
      </c>
      <c r="F37" s="20">
        <f>IF($R37="","",INDEX(P_Pos,$R37))</f>
        <v/>
      </c>
      <c r="H37" s="20">
        <f>IF($R37="","",INDEX(P_ROP,$R37))</f>
        <v/>
      </c>
      <c r="I37" s="20">
        <f>IF($R37="","",INDEX(P_Order,$R37))</f>
        <v/>
      </c>
      <c r="K37" s="14">
        <f>IF($R37="","",INDEX(P_Sup,$R37))</f>
        <v/>
      </c>
      <c r="R37">
        <f>IFERROR(MATCH(3,P_ActRow,0),"")</f>
        <v/>
      </c>
    </row>
    <row r="38">
      <c r="B38" s="14">
        <f>IF($R38="","",INDEX(P_Name,$R38))</f>
        <v/>
      </c>
      <c r="C38" s="14">
        <f>IF($R38="","",INDEX(P_SKU,$R38))</f>
        <v/>
      </c>
      <c r="E38" s="14">
        <f>IF($R38="","",INDEX(P_Status,$R38))</f>
        <v/>
      </c>
      <c r="F38" s="20">
        <f>IF($R38="","",INDEX(P_Pos,$R38))</f>
        <v/>
      </c>
      <c r="H38" s="20">
        <f>IF($R38="","",INDEX(P_ROP,$R38))</f>
        <v/>
      </c>
      <c r="I38" s="20">
        <f>IF($R38="","",INDEX(P_Order,$R38))</f>
        <v/>
      </c>
      <c r="K38" s="14">
        <f>IF($R38="","",INDEX(P_Sup,$R38))</f>
        <v/>
      </c>
      <c r="R38">
        <f>IFERROR(MATCH(4,P_ActRow,0),"")</f>
        <v/>
      </c>
    </row>
    <row r="39">
      <c r="B39" s="14">
        <f>IF($R39="","",INDEX(P_Name,$R39))</f>
        <v/>
      </c>
      <c r="C39" s="14">
        <f>IF($R39="","",INDEX(P_SKU,$R39))</f>
        <v/>
      </c>
      <c r="E39" s="14">
        <f>IF($R39="","",INDEX(P_Status,$R39))</f>
        <v/>
      </c>
      <c r="F39" s="20">
        <f>IF($R39="","",INDEX(P_Pos,$R39))</f>
        <v/>
      </c>
      <c r="H39" s="20">
        <f>IF($R39="","",INDEX(P_ROP,$R39))</f>
        <v/>
      </c>
      <c r="I39" s="20">
        <f>IF($R39="","",INDEX(P_Order,$R39))</f>
        <v/>
      </c>
      <c r="K39" s="14">
        <f>IF($R39="","",INDEX(P_Sup,$R39))</f>
        <v/>
      </c>
      <c r="R39">
        <f>IFERROR(MATCH(5,P_ActRow,0),"")</f>
        <v/>
      </c>
    </row>
    <row r="40">
      <c r="B40" s="14">
        <f>IF($R40="","",INDEX(P_Name,$R40))</f>
        <v/>
      </c>
      <c r="C40" s="14">
        <f>IF($R40="","",INDEX(P_SKU,$R40))</f>
        <v/>
      </c>
      <c r="E40" s="14">
        <f>IF($R40="","",INDEX(P_Status,$R40))</f>
        <v/>
      </c>
      <c r="F40" s="20">
        <f>IF($R40="","",INDEX(P_Pos,$R40))</f>
        <v/>
      </c>
      <c r="H40" s="20">
        <f>IF($R40="","",INDEX(P_ROP,$R40))</f>
        <v/>
      </c>
      <c r="I40" s="20">
        <f>IF($R40="","",INDEX(P_Order,$R40))</f>
        <v/>
      </c>
      <c r="K40" s="14">
        <f>IF($R40="","",INDEX(P_Sup,$R40))</f>
        <v/>
      </c>
      <c r="R40">
        <f>IFERROR(MATCH(6,P_ActRow,0),"")</f>
        <v/>
      </c>
    </row>
    <row r="41">
      <c r="B41" s="14">
        <f>IF($R41="","",INDEX(P_Name,$R41))</f>
        <v/>
      </c>
      <c r="C41" s="14">
        <f>IF($R41="","",INDEX(P_SKU,$R41))</f>
        <v/>
      </c>
      <c r="E41" s="14">
        <f>IF($R41="","",INDEX(P_Status,$R41))</f>
        <v/>
      </c>
      <c r="F41" s="20">
        <f>IF($R41="","",INDEX(P_Pos,$R41))</f>
        <v/>
      </c>
      <c r="H41" s="20">
        <f>IF($R41="","",INDEX(P_ROP,$R41))</f>
        <v/>
      </c>
      <c r="I41" s="20">
        <f>IF($R41="","",INDEX(P_Order,$R41))</f>
        <v/>
      </c>
      <c r="K41" s="14">
        <f>IF($R41="","",INDEX(P_Sup,$R41))</f>
        <v/>
      </c>
      <c r="R41">
        <f>IFERROR(MATCH(7,P_ActRow,0),"")</f>
        <v/>
      </c>
    </row>
    <row r="42">
      <c r="B42" s="14">
        <f>IF($R42="","",INDEX(P_Name,$R42))</f>
        <v/>
      </c>
      <c r="C42" s="14">
        <f>IF($R42="","",INDEX(P_SKU,$R42))</f>
        <v/>
      </c>
      <c r="E42" s="14">
        <f>IF($R42="","",INDEX(P_Status,$R42))</f>
        <v/>
      </c>
      <c r="F42" s="20">
        <f>IF($R42="","",INDEX(P_Pos,$R42))</f>
        <v/>
      </c>
      <c r="H42" s="20">
        <f>IF($R42="","",INDEX(P_ROP,$R42))</f>
        <v/>
      </c>
      <c r="I42" s="20">
        <f>IF($R42="","",INDEX(P_Order,$R42))</f>
        <v/>
      </c>
      <c r="K42" s="14">
        <f>IF($R42="","",INDEX(P_Sup,$R42))</f>
        <v/>
      </c>
      <c r="R42">
        <f>IFERROR(MATCH(8,P_ActRow,0),"")</f>
        <v/>
      </c>
    </row>
    <row r="43">
      <c r="B43" s="14">
        <f>IF($R43="","",INDEX(P_Name,$R43))</f>
        <v/>
      </c>
      <c r="C43" s="14">
        <f>IF($R43="","",INDEX(P_SKU,$R43))</f>
        <v/>
      </c>
      <c r="E43" s="14">
        <f>IF($R43="","",INDEX(P_Status,$R43))</f>
        <v/>
      </c>
      <c r="F43" s="20">
        <f>IF($R43="","",INDEX(P_Pos,$R43))</f>
        <v/>
      </c>
      <c r="H43" s="20">
        <f>IF($R43="","",INDEX(P_ROP,$R43))</f>
        <v/>
      </c>
      <c r="I43" s="20">
        <f>IF($R43="","",INDEX(P_Order,$R43))</f>
        <v/>
      </c>
      <c r="K43" s="14">
        <f>IF($R43="","",INDEX(P_Sup,$R43))</f>
        <v/>
      </c>
      <c r="R43">
        <f>IFERROR(MATCH(9,P_ActRow,0),"")</f>
        <v/>
      </c>
    </row>
    <row r="44">
      <c r="B44" s="14">
        <f>IF($R44="","",INDEX(P_Name,$R44))</f>
        <v/>
      </c>
      <c r="C44" s="14">
        <f>IF($R44="","",INDEX(P_SKU,$R44))</f>
        <v/>
      </c>
      <c r="E44" s="14">
        <f>IF($R44="","",INDEX(P_Status,$R44))</f>
        <v/>
      </c>
      <c r="F44" s="20">
        <f>IF($R44="","",INDEX(P_Pos,$R44))</f>
        <v/>
      </c>
      <c r="H44" s="20">
        <f>IF($R44="","",INDEX(P_ROP,$R44))</f>
        <v/>
      </c>
      <c r="I44" s="20">
        <f>IF($R44="","",INDEX(P_Order,$R44))</f>
        <v/>
      </c>
      <c r="K44" s="14">
        <f>IF($R44="","",INDEX(P_Sup,$R44))</f>
        <v/>
      </c>
      <c r="R44">
        <f>IFERROR(MATCH(10,P_ActRow,0),"")</f>
        <v/>
      </c>
    </row>
    <row r="45">
      <c r="B45" s="14">
        <f>IF($R45="","",INDEX(P_Name,$R45))</f>
        <v/>
      </c>
      <c r="C45" s="14">
        <f>IF($R45="","",INDEX(P_SKU,$R45))</f>
        <v/>
      </c>
      <c r="E45" s="14">
        <f>IF($R45="","",INDEX(P_Status,$R45))</f>
        <v/>
      </c>
      <c r="F45" s="20">
        <f>IF($R45="","",INDEX(P_Pos,$R45))</f>
        <v/>
      </c>
      <c r="H45" s="20">
        <f>IF($R45="","",INDEX(P_ROP,$R45))</f>
        <v/>
      </c>
      <c r="I45" s="20">
        <f>IF($R45="","",INDEX(P_Order,$R45))</f>
        <v/>
      </c>
      <c r="K45" s="14">
        <f>IF($R45="","",INDEX(P_Sup,$R45))</f>
        <v/>
      </c>
      <c r="R45">
        <f>IFERROR(MATCH(11,P_ActRow,0),"")</f>
        <v/>
      </c>
    </row>
    <row r="46">
      <c r="B46" s="14">
        <f>IF($R46="","",INDEX(P_Name,$R46))</f>
        <v/>
      </c>
      <c r="C46" s="14">
        <f>IF($R46="","",INDEX(P_SKU,$R46))</f>
        <v/>
      </c>
      <c r="E46" s="14">
        <f>IF($R46="","",INDEX(P_Status,$R46))</f>
        <v/>
      </c>
      <c r="F46" s="20">
        <f>IF($R46="","",INDEX(P_Pos,$R46))</f>
        <v/>
      </c>
      <c r="H46" s="20">
        <f>IF($R46="","",INDEX(P_ROP,$R46))</f>
        <v/>
      </c>
      <c r="I46" s="20">
        <f>IF($R46="","",INDEX(P_Order,$R46))</f>
        <v/>
      </c>
      <c r="K46" s="14">
        <f>IF($R46="","",INDEX(P_Sup,$R46))</f>
        <v/>
      </c>
      <c r="R46">
        <f>IFERROR(MATCH(12,P_ActRow,0),"")</f>
        <v/>
      </c>
    </row>
    <row r="47">
      <c r="B47" s="14">
        <f>IF($R47="","",INDEX(P_Name,$R47))</f>
        <v/>
      </c>
      <c r="C47" s="14">
        <f>IF($R47="","",INDEX(P_SKU,$R47))</f>
        <v/>
      </c>
      <c r="E47" s="14">
        <f>IF($R47="","",INDEX(P_Status,$R47))</f>
        <v/>
      </c>
      <c r="F47" s="20">
        <f>IF($R47="","",INDEX(P_Pos,$R47))</f>
        <v/>
      </c>
      <c r="H47" s="20">
        <f>IF($R47="","",INDEX(P_ROP,$R47))</f>
        <v/>
      </c>
      <c r="I47" s="20">
        <f>IF($R47="","",INDEX(P_Order,$R47))</f>
        <v/>
      </c>
      <c r="K47" s="14">
        <f>IF($R47="","",INDEX(P_Sup,$R47))</f>
        <v/>
      </c>
      <c r="R47">
        <f>IFERROR(MATCH(13,P_ActRow,0),"")</f>
        <v/>
      </c>
    </row>
    <row r="48">
      <c r="B48" s="14">
        <f>IF($R48="","",INDEX(P_Name,$R48))</f>
        <v/>
      </c>
      <c r="C48" s="14">
        <f>IF($R48="","",INDEX(P_SKU,$R48))</f>
        <v/>
      </c>
      <c r="E48" s="14">
        <f>IF($R48="","",INDEX(P_Status,$R48))</f>
        <v/>
      </c>
      <c r="F48" s="20">
        <f>IF($R48="","",INDEX(P_Pos,$R48))</f>
        <v/>
      </c>
      <c r="H48" s="20">
        <f>IF($R48="","",INDEX(P_ROP,$R48))</f>
        <v/>
      </c>
      <c r="I48" s="20">
        <f>IF($R48="","",INDEX(P_Order,$R48))</f>
        <v/>
      </c>
      <c r="K48" s="14">
        <f>IF($R48="","",INDEX(P_Sup,$R48))</f>
        <v/>
      </c>
      <c r="R48">
        <f>IFERROR(MATCH(14,P_ActRow,0),"")</f>
        <v/>
      </c>
    </row>
    <row r="49">
      <c r="B49" s="14">
        <f>IF($R49="","",INDEX(P_Name,$R49))</f>
        <v/>
      </c>
      <c r="C49" s="14">
        <f>IF($R49="","",INDEX(P_SKU,$R49))</f>
        <v/>
      </c>
      <c r="E49" s="14">
        <f>IF($R49="","",INDEX(P_Status,$R49))</f>
        <v/>
      </c>
      <c r="F49" s="20">
        <f>IF($R49="","",INDEX(P_Pos,$R49))</f>
        <v/>
      </c>
      <c r="H49" s="20">
        <f>IF($R49="","",INDEX(P_ROP,$R49))</f>
        <v/>
      </c>
      <c r="I49" s="20">
        <f>IF($R49="","",INDEX(P_Order,$R49))</f>
        <v/>
      </c>
      <c r="K49" s="14">
        <f>IF($R49="","",INDEX(P_Sup,$R49))</f>
        <v/>
      </c>
      <c r="R49">
        <f>IFERROR(MATCH(15,P_ActRow,0),"")</f>
        <v/>
      </c>
    </row>
    <row r="50">
      <c r="B50" s="14">
        <f>IF($R50="","",INDEX(P_Name,$R50))</f>
        <v/>
      </c>
      <c r="C50" s="14">
        <f>IF($R50="","",INDEX(P_SKU,$R50))</f>
        <v/>
      </c>
      <c r="E50" s="14">
        <f>IF($R50="","",INDEX(P_Status,$R50))</f>
        <v/>
      </c>
      <c r="F50" s="20">
        <f>IF($R50="","",INDEX(P_Pos,$R50))</f>
        <v/>
      </c>
      <c r="H50" s="20">
        <f>IF($R50="","",INDEX(P_ROP,$R50))</f>
        <v/>
      </c>
      <c r="I50" s="20">
        <f>IF($R50="","",INDEX(P_Order,$R50))</f>
        <v/>
      </c>
      <c r="K50" s="14">
        <f>IF($R50="","",INDEX(P_Sup,$R50))</f>
        <v/>
      </c>
      <c r="R50">
        <f>IFERROR(MATCH(16,P_ActRow,0),"")</f>
        <v/>
      </c>
    </row>
    <row r="51">
      <c r="B51" s="14">
        <f>IF($R51="","",INDEX(P_Name,$R51))</f>
        <v/>
      </c>
      <c r="C51" s="14">
        <f>IF($R51="","",INDEX(P_SKU,$R51))</f>
        <v/>
      </c>
      <c r="E51" s="14">
        <f>IF($R51="","",INDEX(P_Status,$R51))</f>
        <v/>
      </c>
      <c r="F51" s="20">
        <f>IF($R51="","",INDEX(P_Pos,$R51))</f>
        <v/>
      </c>
      <c r="H51" s="20">
        <f>IF($R51="","",INDEX(P_ROP,$R51))</f>
        <v/>
      </c>
      <c r="I51" s="20">
        <f>IF($R51="","",INDEX(P_Order,$R51))</f>
        <v/>
      </c>
      <c r="K51" s="14">
        <f>IF($R51="","",INDEX(P_Sup,$R51))</f>
        <v/>
      </c>
      <c r="R51">
        <f>IFERROR(MATCH(17,P_ActRow,0),"")</f>
        <v/>
      </c>
    </row>
    <row r="52">
      <c r="B52" s="14">
        <f>IF($R52="","",INDEX(P_Name,$R52))</f>
        <v/>
      </c>
      <c r="C52" s="14">
        <f>IF($R52="","",INDEX(P_SKU,$R52))</f>
        <v/>
      </c>
      <c r="E52" s="14">
        <f>IF($R52="","",INDEX(P_Status,$R52))</f>
        <v/>
      </c>
      <c r="F52" s="20">
        <f>IF($R52="","",INDEX(P_Pos,$R52))</f>
        <v/>
      </c>
      <c r="H52" s="20">
        <f>IF($R52="","",INDEX(P_ROP,$R52))</f>
        <v/>
      </c>
      <c r="I52" s="20">
        <f>IF($R52="","",INDEX(P_Order,$R52))</f>
        <v/>
      </c>
      <c r="K52" s="14">
        <f>IF($R52="","",INDEX(P_Sup,$R52))</f>
        <v/>
      </c>
      <c r="R52">
        <f>IFERROR(MATCH(18,P_ActRow,0),"")</f>
        <v/>
      </c>
    </row>
    <row r="53">
      <c r="B53" s="14">
        <f>IF($R53="","",INDEX(P_Name,$R53))</f>
        <v/>
      </c>
      <c r="C53" s="14">
        <f>IF($R53="","",INDEX(P_SKU,$R53))</f>
        <v/>
      </c>
      <c r="E53" s="14">
        <f>IF($R53="","",INDEX(P_Status,$R53))</f>
        <v/>
      </c>
      <c r="F53" s="20">
        <f>IF($R53="","",INDEX(P_Pos,$R53))</f>
        <v/>
      </c>
      <c r="H53" s="20">
        <f>IF($R53="","",INDEX(P_ROP,$R53))</f>
        <v/>
      </c>
      <c r="I53" s="20">
        <f>IF($R53="","",INDEX(P_Order,$R53))</f>
        <v/>
      </c>
      <c r="K53" s="14">
        <f>IF($R53="","",INDEX(P_Sup,$R53))</f>
        <v/>
      </c>
      <c r="R53">
        <f>IFERROR(MATCH(19,P_ActRow,0),"")</f>
        <v/>
      </c>
    </row>
    <row r="54">
      <c r="B54" s="14">
        <f>IF($R54="","",INDEX(P_Name,$R54))</f>
        <v/>
      </c>
      <c r="C54" s="14">
        <f>IF($R54="","",INDEX(P_SKU,$R54))</f>
        <v/>
      </c>
      <c r="E54" s="14">
        <f>IF($R54="","",INDEX(P_Status,$R54))</f>
        <v/>
      </c>
      <c r="F54" s="20">
        <f>IF($R54="","",INDEX(P_Pos,$R54))</f>
        <v/>
      </c>
      <c r="H54" s="20">
        <f>IF($R54="","",INDEX(P_ROP,$R54))</f>
        <v/>
      </c>
      <c r="I54" s="20">
        <f>IF($R54="","",INDEX(P_Order,$R54))</f>
        <v/>
      </c>
      <c r="K54" s="14">
        <f>IF($R54="","",INDEX(P_Sup,$R54))</f>
        <v/>
      </c>
      <c r="R54">
        <f>IFERROR(MATCH(20,P_ActRow,0),"")</f>
        <v/>
      </c>
    </row>
    <row r="55">
      <c r="B55" s="2">
        <f>IF(COUNT(P_ActRow)&gt;20,"+ "&amp;(COUNT(P_ActRow)-20)&amp;" more on the Inventory_Policy sheet","")</f>
        <v/>
      </c>
    </row>
  </sheetData>
  <mergeCells count="24">
    <mergeCell ref="H10:I10"/>
    <mergeCell ref="K9:L9"/>
    <mergeCell ref="E5:F5"/>
    <mergeCell ref="K5:L5"/>
    <mergeCell ref="H4:I4"/>
    <mergeCell ref="K4:L4"/>
    <mergeCell ref="E8:F8"/>
    <mergeCell ref="H9:I9"/>
    <mergeCell ref="E4:F4"/>
    <mergeCell ref="H6:I6"/>
    <mergeCell ref="E10:F10"/>
    <mergeCell ref="E9:F9"/>
    <mergeCell ref="B8:C8"/>
    <mergeCell ref="E6:F6"/>
    <mergeCell ref="K8:L8"/>
    <mergeCell ref="B10:C10"/>
    <mergeCell ref="B9:C9"/>
    <mergeCell ref="B6:C6"/>
    <mergeCell ref="B5:C5"/>
    <mergeCell ref="K10:L10"/>
    <mergeCell ref="H5:I5"/>
    <mergeCell ref="H8:I8"/>
    <mergeCell ref="K6:L6"/>
    <mergeCell ref="B4:C4"/>
  </mergeCells>
  <conditionalFormatting sqref="N14:P16">
    <cfRule type="colorScale" priority="1">
      <colorScale>
        <cfvo type="min"/>
        <cfvo type="max"/>
        <color rgb="00EEF5FD"/>
        <color rgb="004F92DE"/>
      </colorScale>
    </cfRule>
  </conditionalFormatting>
  <conditionalFormatting sqref="E35:E54">
    <cfRule type="cellIs" priority="2" operator="equal" dxfId="0">
      <formula>"Critical - expedite"</formula>
    </cfRule>
    <cfRule type="cellIs" priority="3" operator="equal" dxfId="1">
      <formula>"Order now"</formula>
    </cfRule>
    <cfRule type="cellIs" priority="4" operator="equal" dxfId="2">
      <formula>"Healthy"</formula>
    </cfRule>
    <cfRule type="cellIs" priority="5" operator="equal" dxfId="3">
      <formula>"Overstock"</formula>
    </cfRule>
  </conditionalFormatting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FAB219"/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70" customWidth="1" min="3" max="3"/>
  </cols>
  <sheetData>
    <row r="1">
      <c r="A1" s="1" t="inlineStr">
        <is>
          <t>Assumptions</t>
        </is>
      </c>
    </row>
    <row r="2">
      <c r="A2" s="2" t="inlineStr">
        <is>
          <t>Blue text on yellow = inputs you can change. Everything else in the workbook recalculates.</t>
        </is>
      </c>
    </row>
    <row r="4">
      <c r="A4" s="3" t="inlineStr">
        <is>
          <t>Inventory policy</t>
        </is>
      </c>
      <c r="B4" s="21" t="n"/>
      <c r="C4" s="21" t="n"/>
    </row>
    <row r="5">
      <c r="A5" s="14" t="inlineStr">
        <is>
          <t>Service level</t>
        </is>
      </c>
      <c r="B5" s="22" t="n">
        <v>0.95</v>
      </c>
      <c r="C5" s="2" t="inlineStr">
        <is>
          <t>Target share of order cycles with no stockout</t>
        </is>
      </c>
    </row>
    <row r="6">
      <c r="A6" s="14" t="inlineStr">
        <is>
          <t>z-score</t>
        </is>
      </c>
      <c r="B6" s="23">
        <f>NORMSINV(ServiceLevel)</f>
        <v/>
      </c>
      <c r="C6" s="2" t="inlineStr">
        <is>
          <t>Calculated from the service level (95% -&gt; 1.645)</t>
        </is>
      </c>
    </row>
    <row r="7">
      <c r="A7" s="14" t="inlineStr">
        <is>
          <t>Ordering cost per PO (CAD)</t>
        </is>
      </c>
      <c r="B7" s="24" t="n">
        <v>85</v>
      </c>
      <c r="C7" s="2" t="inlineStr">
        <is>
          <t>Admin, freight booking, receiving. Assumption</t>
        </is>
      </c>
    </row>
    <row r="8">
      <c r="A8" s="14" t="inlineStr">
        <is>
          <t>Annual holding cost rate</t>
        </is>
      </c>
      <c r="B8" s="22" t="n">
        <v>0.22</v>
      </c>
      <c r="C8" s="2" t="inlineStr">
        <is>
          <t>Capital, storage, insurance, obsolescence. Assumption</t>
        </is>
      </c>
    </row>
    <row r="9">
      <c r="A9" s="14" t="inlineStr">
        <is>
          <t>Weeks per year</t>
        </is>
      </c>
      <c r="B9" s="25" t="n">
        <v>52</v>
      </c>
      <c r="C9" s="2" t="inlineStr"/>
    </row>
    <row r="10">
      <c r="A10" s="14" t="inlineStr">
        <is>
          <t>Current ordering habit (weeks of demand per PO)</t>
        </is>
      </c>
      <c r="B10" s="25" t="n">
        <v>4</v>
      </c>
      <c r="C10" s="2" t="inlineStr">
        <is>
          <t>Used to compare today's ordering with EOQ</t>
        </is>
      </c>
    </row>
    <row r="11">
      <c r="A11" s="14" t="inlineStr">
        <is>
          <t>Last week in data</t>
        </is>
      </c>
      <c r="B11" s="26">
        <f>MAX(Weekly_Demand!$A$2:$A$5097)</f>
        <v/>
      </c>
      <c r="C11" s="2" t="inlineStr">
        <is>
          <t>Analysis uses the 52 weeks up to this date</t>
        </is>
      </c>
    </row>
    <row r="12">
      <c r="A12" s="3" t="inlineStr">
        <is>
          <t>Classification</t>
        </is>
      </c>
      <c r="B12" s="21" t="n"/>
      <c r="C12" s="21" t="n"/>
    </row>
    <row r="13">
      <c r="A13" s="14" t="inlineStr">
        <is>
          <t>ABC: A-class cut-off (cumulative spend)</t>
        </is>
      </c>
      <c r="B13" s="22" t="n">
        <v>0.8</v>
      </c>
      <c r="C13" s="2" t="inlineStr">
        <is>
          <t>First 80% of spend = A</t>
        </is>
      </c>
    </row>
    <row r="14">
      <c r="A14" s="14" t="inlineStr">
        <is>
          <t>ABC: B-class cut-off</t>
        </is>
      </c>
      <c r="B14" s="22" t="n">
        <v>0.95</v>
      </c>
      <c r="C14" s="2" t="inlineStr">
        <is>
          <t>Next 15% = B, rest = C</t>
        </is>
      </c>
    </row>
    <row r="15">
      <c r="A15" s="14" t="inlineStr">
        <is>
          <t>XYZ: X max coefficient of variation</t>
        </is>
      </c>
      <c r="B15" s="22" t="n">
        <v>0.25</v>
      </c>
      <c r="C15" s="2" t="inlineStr">
        <is>
          <t>Stable demand</t>
        </is>
      </c>
    </row>
    <row r="16">
      <c r="A16" s="14" t="inlineStr">
        <is>
          <t>XYZ: Y max coefficient of variation</t>
        </is>
      </c>
      <c r="B16" s="22" t="n">
        <v>0.5</v>
      </c>
      <c r="C16" s="2" t="inlineStr">
        <is>
          <t>Variable demand; above = Z (erratic)</t>
        </is>
      </c>
    </row>
    <row r="17">
      <c r="A17" s="3" t="inlineStr">
        <is>
          <t>Supplier risk weights (must total 100%)</t>
        </is>
      </c>
      <c r="B17" s="21" t="n"/>
      <c r="C17" s="21" t="n"/>
    </row>
    <row r="18">
      <c r="A18" s="14" t="inlineStr">
        <is>
          <t>Weight: late delivery</t>
        </is>
      </c>
      <c r="B18" s="22" t="n">
        <v>0.3</v>
      </c>
      <c r="C18" s="2" t="inlineStr"/>
    </row>
    <row r="19">
      <c r="A19" s="14" t="inlineStr">
        <is>
          <t>Weight: lead-time variability</t>
        </is>
      </c>
      <c r="B19" s="22" t="n">
        <v>0.2</v>
      </c>
      <c r="C19" s="2" t="inlineStr"/>
    </row>
    <row r="20">
      <c r="A20" s="14" t="inlineStr">
        <is>
          <t>Weight: quality (defects)</t>
        </is>
      </c>
      <c r="B20" s="22" t="n">
        <v>0.2</v>
      </c>
      <c r="C20" s="2" t="inlineStr"/>
    </row>
    <row r="21">
      <c r="A21" s="14" t="inlineStr">
        <is>
          <t>Weight: country / route risk</t>
        </is>
      </c>
      <c r="B21" s="22" t="n">
        <v>0.15</v>
      </c>
      <c r="C21" s="2" t="inlineStr"/>
    </row>
    <row r="22">
      <c r="A22" s="14" t="inlineStr">
        <is>
          <t>Weight: spend dependency</t>
        </is>
      </c>
      <c r="B22" s="22" t="n">
        <v>0.15</v>
      </c>
      <c r="C22" s="2" t="inlineStr"/>
    </row>
    <row r="23">
      <c r="A23" s="14" t="inlineStr">
        <is>
          <t>Check: weights total</t>
        </is>
      </c>
      <c r="B23" s="27">
        <f>wLate+wLTV+wQuality+wCountry+wSpend</f>
        <v/>
      </c>
      <c r="C23" s="2" t="inlineStr">
        <is>
          <t>Should be 100%</t>
        </is>
      </c>
    </row>
    <row r="24">
      <c r="A24" s="3" t="inlineStr">
        <is>
          <t>'Clearly bad' thresholds (factor score = 1)</t>
        </is>
      </c>
      <c r="B24" s="21" t="n"/>
      <c r="C24" s="21" t="n"/>
    </row>
    <row r="25">
      <c r="A25" s="14" t="inlineStr">
        <is>
          <t>Late-delivery rate</t>
        </is>
      </c>
      <c r="B25" s="22" t="n">
        <v>0.35</v>
      </c>
      <c r="C25" s="2" t="inlineStr">
        <is>
          <t>35% of POs late</t>
        </is>
      </c>
    </row>
    <row r="26">
      <c r="A26" s="14" t="inlineStr">
        <is>
          <t>Lead-time coefficient of variation</t>
        </is>
      </c>
      <c r="B26" s="22" t="n">
        <v>0.3</v>
      </c>
      <c r="C26" s="2" t="inlineStr"/>
    </row>
    <row r="27">
      <c r="A27" s="14" t="inlineStr">
        <is>
          <t>Defect rate</t>
        </is>
      </c>
      <c r="B27" s="22" t="n">
        <v>0.025</v>
      </c>
      <c r="C27" s="2" t="inlineStr">
        <is>
          <t>2.5% of units defective</t>
        </is>
      </c>
    </row>
    <row r="28">
      <c r="A28" s="14" t="inlineStr">
        <is>
          <t>Share of total spend with one supplier</t>
        </is>
      </c>
      <c r="B28" s="22" t="n">
        <v>0.3</v>
      </c>
      <c r="C28" s="2" t="inlineStr"/>
    </row>
    <row r="29">
      <c r="A29" s="3" t="inlineStr">
        <is>
          <t>Disruption simulator</t>
        </is>
      </c>
      <c r="B29" s="21" t="n"/>
      <c r="C29" s="21" t="n"/>
    </row>
    <row r="30">
      <c r="A30" s="14" t="inlineStr">
        <is>
          <t>Selling price markup on cost</t>
        </is>
      </c>
      <c r="B30" s="28" t="n">
        <v>1.35</v>
      </c>
      <c r="C30" s="2" t="inlineStr">
        <is>
          <t>Used to turn units short into revenue at risk. Assumption</t>
        </is>
      </c>
    </row>
    <row r="32">
      <c r="A32" s="3" t="inlineStr">
        <is>
          <t>Country / route risk (1 = low, 5 = high)</t>
        </is>
      </c>
      <c r="B32" s="21" t="n"/>
      <c r="C32" s="21" t="n"/>
    </row>
    <row r="33">
      <c r="A33" s="14" t="inlineStr">
        <is>
          <t>Canada</t>
        </is>
      </c>
      <c r="B33" s="25" t="n">
        <v>1</v>
      </c>
      <c r="C33" s="2" t="inlineStr">
        <is>
          <t>Illustrative assumptions (distance, port congestion, tariffs, geopolitics), not official ratings</t>
        </is>
      </c>
    </row>
    <row r="34">
      <c r="A34" s="14" t="inlineStr">
        <is>
          <t>USA</t>
        </is>
      </c>
      <c r="B34" s="25" t="n">
        <v>2</v>
      </c>
    </row>
    <row r="35">
      <c r="A35" s="14" t="inlineStr">
        <is>
          <t>Germany</t>
        </is>
      </c>
      <c r="B35" s="25" t="n">
        <v>2</v>
      </c>
    </row>
    <row r="36">
      <c r="A36" s="14" t="inlineStr">
        <is>
          <t>Mexico</t>
        </is>
      </c>
      <c r="B36" s="25" t="n">
        <v>3</v>
      </c>
    </row>
    <row r="37">
      <c r="A37" s="14" t="inlineStr">
        <is>
          <t>Malaysia</t>
        </is>
      </c>
      <c r="B37" s="25" t="n">
        <v>3</v>
      </c>
    </row>
    <row r="38">
      <c r="A38" s="14" t="inlineStr">
        <is>
          <t>India</t>
        </is>
      </c>
      <c r="B38" s="25" t="n">
        <v>4</v>
      </c>
    </row>
    <row r="39">
      <c r="A39" s="14" t="inlineStr">
        <is>
          <t>Vietnam</t>
        </is>
      </c>
      <c r="B39" s="25" t="n">
        <v>4</v>
      </c>
    </row>
    <row r="40">
      <c r="A40" s="14" t="inlineStr">
        <is>
          <t>China</t>
        </is>
      </c>
      <c r="B40" s="25" t="n">
        <v>5</v>
      </c>
    </row>
    <row r="42">
      <c r="A42" s="3" t="inlineStr">
        <is>
          <t>Recommended action by main risk driver</t>
        </is>
      </c>
      <c r="B42" s="21" t="n"/>
      <c r="C42" s="21" t="n"/>
    </row>
    <row r="43">
      <c r="A43" s="14" t="inlineStr">
        <is>
          <t>late delivery</t>
        </is>
      </c>
      <c r="C43" s="14" t="inlineStr">
        <is>
          <t>Quarterly business review with OTD target; add late-delivery clause to contract</t>
        </is>
      </c>
    </row>
    <row r="44">
      <c r="A44" s="14" t="inlineStr">
        <is>
          <t>lead time variability</t>
        </is>
      </c>
      <c r="C44" s="14" t="inlineStr">
        <is>
          <t>Raise safety stock on its SKUs; book freight earlier; track via ASN</t>
        </is>
      </c>
    </row>
    <row r="45">
      <c r="A45" s="14" t="inlineStr">
        <is>
          <t>quality</t>
        </is>
      </c>
      <c r="C45" s="14" t="inlineStr">
        <is>
          <t>Supplier corrective action request (SCAR); increase incoming inspection</t>
        </is>
      </c>
    </row>
    <row r="46">
      <c r="A46" s="14" t="inlineStr">
        <is>
          <t>country risk</t>
        </is>
      </c>
      <c r="C46" s="14" t="inlineStr">
        <is>
          <t>Qualify a nearshore/domestic second source for critical SKUs</t>
        </is>
      </c>
    </row>
    <row r="47">
      <c r="A47" s="14" t="inlineStr">
        <is>
          <t>spend dependency</t>
        </is>
      </c>
      <c r="C47" s="14" t="inlineStr">
        <is>
          <t>Dual-source top SKUs to reduce concentration risk</t>
        </is>
      </c>
    </row>
    <row r="49">
      <c r="A49" s="3" t="inlineStr">
        <is>
          <t>Stocking strategy by ABC-XYZ segment</t>
        </is>
      </c>
      <c r="B49" s="21" t="n"/>
      <c r="C49" s="21" t="n"/>
    </row>
    <row r="50">
      <c r="A50" s="14" t="inlineStr">
        <is>
          <t>AX</t>
        </is>
      </c>
      <c r="C50" s="14" t="inlineStr">
        <is>
          <t>Tight control, frequent review, low safety stock, consider VMI/automation</t>
        </is>
      </c>
    </row>
    <row r="51">
      <c r="A51" s="14" t="inlineStr">
        <is>
          <t>AY</t>
        </is>
      </c>
      <c r="C51" s="14" t="inlineStr">
        <is>
          <t>Weekly review, forecast-driven replenishment, moderate safety stock</t>
        </is>
      </c>
    </row>
    <row r="52">
      <c r="A52" s="14" t="inlineStr">
        <is>
          <t>AZ</t>
        </is>
      </c>
      <c r="C52" s="14" t="inlineStr">
        <is>
          <t>Highest attention: collaborate with customers, dual-source, buffer stock</t>
        </is>
      </c>
    </row>
    <row r="53">
      <c r="A53" s="14" t="inlineStr">
        <is>
          <t>BX</t>
        </is>
      </c>
      <c r="C53" s="14" t="inlineStr">
        <is>
          <t>Automated reorder point, periodic review</t>
        </is>
      </c>
    </row>
    <row r="54">
      <c r="A54" s="14" t="inlineStr">
        <is>
          <t>BY</t>
        </is>
      </c>
      <c r="C54" s="14" t="inlineStr">
        <is>
          <t>Standard reorder point policy, monthly review</t>
        </is>
      </c>
    </row>
    <row r="55">
      <c r="A55" s="14" t="inlineStr">
        <is>
          <t>BZ</t>
        </is>
      </c>
      <c r="C55" s="14" t="inlineStr">
        <is>
          <t>Higher safety stock or make-to-order where possible</t>
        </is>
      </c>
    </row>
    <row r="56">
      <c r="A56" s="14" t="inlineStr">
        <is>
          <t>CX</t>
        </is>
      </c>
      <c r="C56" s="14" t="inlineStr">
        <is>
          <t>Automate fully, order in larger batches</t>
        </is>
      </c>
    </row>
    <row r="57">
      <c r="A57" s="14" t="inlineStr">
        <is>
          <t>CY</t>
        </is>
      </c>
      <c r="C57" s="14" t="inlineStr">
        <is>
          <t>Automate, larger batches, low review effort</t>
        </is>
      </c>
    </row>
    <row r="58">
      <c r="A58" s="14" t="inlineStr">
        <is>
          <t>CZ</t>
        </is>
      </c>
      <c r="C58" s="14" t="inlineStr">
        <is>
          <t>Review if SKU is needed; consider dropping or ordering on demand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5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16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10" customWidth="1" min="10" max="10"/>
    <col width="6" customWidth="1" min="11" max="11"/>
    <col width="8" customWidth="1" min="12" max="12"/>
    <col width="6" customWidth="1" min="13" max="13"/>
    <col width="8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9" customWidth="1" min="23" max="23"/>
    <col width="17" customWidth="1" min="24" max="24"/>
    <col width="10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55" customWidth="1" min="31" max="31"/>
    <col width="9" customWidth="1" min="32" max="32"/>
    <col width="9" customWidth="1" min="33" max="33"/>
  </cols>
  <sheetData>
    <row r="1">
      <c r="A1" s="1" t="inlineStr">
        <is>
          <t>Inventory Policy: ABC-XYZ, Safety Stock, Reorder Point, EOQ</t>
        </is>
      </c>
    </row>
    <row r="2">
      <c r="A2" s="2" t="inlineStr">
        <is>
          <t>One row per SKU. Demand statistics use the last 52 weeks. Status compares inventory position (on hand + on order) with safety stock and reorder point.</t>
        </is>
      </c>
    </row>
    <row r="4" ht="30" customHeight="1">
      <c r="A4" s="29" t="inlineStr">
        <is>
          <t>SKU</t>
        </is>
      </c>
      <c r="B4" s="29" t="inlineStr">
        <is>
          <t>Product</t>
        </is>
      </c>
      <c r="C4" s="29" t="inlineStr">
        <is>
          <t>Category</t>
        </is>
      </c>
      <c r="D4" s="29" t="inlineStr">
        <is>
          <t>Supplier ID</t>
        </is>
      </c>
      <c r="E4" s="29" t="inlineStr">
        <is>
          <t>Unit cost (CAD)</t>
        </is>
      </c>
      <c r="F4" s="29" t="inlineStr">
        <is>
          <t>Annual units (52w)</t>
        </is>
      </c>
      <c r="G4" s="29" t="inlineStr">
        <is>
          <t>Avg weekly demand</t>
        </is>
      </c>
      <c r="H4" s="29" t="inlineStr">
        <is>
          <t>Weekly demand std</t>
        </is>
      </c>
      <c r="I4" s="29" t="inlineStr">
        <is>
          <t>Annual spend (CAD)</t>
        </is>
      </c>
      <c r="J4" s="29" t="inlineStr">
        <is>
          <t>Cum. spend share before SKU</t>
        </is>
      </c>
      <c r="K4" s="29" t="inlineStr">
        <is>
          <t>ABC</t>
        </is>
      </c>
      <c r="L4" s="29" t="inlineStr">
        <is>
          <t>Demand CV</t>
        </is>
      </c>
      <c r="M4" s="29" t="inlineStr">
        <is>
          <t>XYZ</t>
        </is>
      </c>
      <c r="N4" s="29" t="inlineStr">
        <is>
          <t>Segment</t>
        </is>
      </c>
      <c r="O4" s="29" t="inlineStr">
        <is>
          <t>Lead time (wks)</t>
        </is>
      </c>
      <c r="P4" s="29" t="inlineStr">
        <is>
          <t>Lead time std (wks)</t>
        </is>
      </c>
      <c r="Q4" s="29" t="inlineStr">
        <is>
          <t>Safety stock</t>
        </is>
      </c>
      <c r="R4" s="29" t="inlineStr">
        <is>
          <t>Reorder point</t>
        </is>
      </c>
      <c r="S4" s="29" t="inlineStr">
        <is>
          <t>EOQ</t>
        </is>
      </c>
      <c r="T4" s="29" t="inlineStr">
        <is>
          <t>On hand</t>
        </is>
      </c>
      <c r="U4" s="29" t="inlineStr">
        <is>
          <t>On order</t>
        </is>
      </c>
      <c r="V4" s="29" t="inlineStr">
        <is>
          <t>Inventory position</t>
        </is>
      </c>
      <c r="W4" s="29" t="inlineStr">
        <is>
          <t>Weeks of cover</t>
        </is>
      </c>
      <c r="X4" s="29" t="inlineStr">
        <is>
          <t>Status</t>
        </is>
      </c>
      <c r="Y4" s="29" t="inlineStr">
        <is>
          <t>Suggested order qty</t>
        </is>
      </c>
      <c r="Z4" s="29" t="inlineStr">
        <is>
          <t>Excess value (CAD)</t>
        </is>
      </c>
      <c r="AA4" s="29" t="inlineStr">
        <is>
          <t>Safety stock value (CAD)</t>
        </is>
      </c>
      <c r="AB4" s="29" t="inlineStr">
        <is>
          <t>Current ordering cost/yr</t>
        </is>
      </c>
      <c r="AC4" s="29" t="inlineStr">
        <is>
          <t>EOQ ordering cost/yr</t>
        </is>
      </c>
      <c r="AD4" s="29" t="inlineStr">
        <is>
          <t>Annual saving (CAD)</t>
        </is>
      </c>
      <c r="AE4" s="29" t="inlineStr">
        <is>
          <t>Strategy</t>
        </is>
      </c>
      <c r="AF4" s="29" t="inlineStr">
        <is>
          <t>helper: simulator row</t>
        </is>
      </c>
      <c r="AG4" s="29" t="inlineStr">
        <is>
          <t>helper: action row</t>
        </is>
      </c>
    </row>
    <row r="5">
      <c r="A5" s="30">
        <f>Products!A2</f>
        <v/>
      </c>
      <c r="B5" s="30">
        <f>Products!B2</f>
        <v/>
      </c>
      <c r="C5" s="30">
        <f>Products!C2</f>
        <v/>
      </c>
      <c r="D5" s="30">
        <f>Products!E2</f>
        <v/>
      </c>
      <c r="E5" s="31">
        <f>Products!D2</f>
        <v/>
      </c>
      <c r="F5" s="32">
        <f>SUMIFS(D_Units,D_SKU,A5,D_Last52,1)</f>
        <v/>
      </c>
      <c r="G5" s="33">
        <f>IFERROR(AVERAGEIFS(D_Units,D_SKU,A5,D_Last52,1),0)</f>
        <v/>
      </c>
      <c r="H5" s="33">
        <f>IFERROR(SQRT(MAX(0,(SUMIFS(D_Units2,D_SKU,A5)-COUNTIFS(D_SKU,A5,D_Last52,1)*G5^2)/(COUNTIFS(D_SKU,A5,D_Last52,1)-1))),0)</f>
        <v/>
      </c>
      <c r="I5" s="34">
        <f>F5*E5</f>
        <v/>
      </c>
      <c r="J5" s="35">
        <f>IFERROR(SUMIF($I$5:$I$53,"&gt;"&amp;I5)/SUM($I$5:$I$53),0)</f>
        <v/>
      </c>
      <c r="K5" s="36">
        <f>IF(J5&lt;ACut,"A",IF(J5&lt;BCut,"B","C"))</f>
        <v/>
      </c>
      <c r="L5" s="37">
        <f>IFERROR(H5/G5,0)</f>
        <v/>
      </c>
      <c r="M5" s="36">
        <f>IF(L5&lt;=XMaxCV,"X",IF(L5&lt;=YMaxCV,"Y","Z"))</f>
        <v/>
      </c>
      <c r="N5" s="36">
        <f>K5&amp;M5</f>
        <v/>
      </c>
      <c r="O5" s="33">
        <f>IFERROR(INDEX(SC_LT,MATCH(D5,SC_ID,0)),0)</f>
        <v/>
      </c>
      <c r="P5" s="33">
        <f>IFERROR(INDEX(SC_LTStd,MATCH(D5,SC_ID,0)),0)</f>
        <v/>
      </c>
      <c r="Q5" s="32">
        <f>ROUNDUP(z*SQRT(O5*H5^2+G5^2*P5^2),0)</f>
        <v/>
      </c>
      <c r="R5" s="32">
        <f>ROUNDUP(G5*O5+Q5,0)</f>
        <v/>
      </c>
      <c r="S5" s="32">
        <f>IFERROR(ROUNDUP(SQRT(2*G5*WeeksYear*OrderCost/(E5*HoldRate)),0),0)</f>
        <v/>
      </c>
      <c r="T5" s="32">
        <f>IFERROR(INDEX(Inventory!$B:$B,MATCH(A5,Inventory!$A:$A,0)),0)</f>
        <v/>
      </c>
      <c r="U5" s="32">
        <f>IFERROR(INDEX(Inventory!$C:$C,MATCH(A5,Inventory!$A:$A,0)),0)</f>
        <v/>
      </c>
      <c r="V5" s="32">
        <f>T5+U5</f>
        <v/>
      </c>
      <c r="W5" s="33">
        <f>IFERROR(T5/G5,0)</f>
        <v/>
      </c>
      <c r="X5" s="36">
        <f>IF(V5&lt;Q5,"Critical - expedite",IF(V5&lt;=R5,"Order now",IF(V5&gt;R5+S5,"Overstock","Healthy")))</f>
        <v/>
      </c>
      <c r="Y5" s="32">
        <f>IF(OR(X5="Critical - expedite",X5="Order now"),MAX(S5,R5+S5-V5),0)</f>
        <v/>
      </c>
      <c r="Z5" s="34">
        <f>IF(X5="Overstock",(V5-R5-S5)*E5,0)</f>
        <v/>
      </c>
      <c r="AA5" s="34">
        <f>Q5*E5</f>
        <v/>
      </c>
      <c r="AB5" s="34">
        <f>IFERROR(G5*WeeksYear/(G5*CurrentCoverWks)*OrderCost+G5*CurrentCoverWks/2*E5*HoldRate,0)</f>
        <v/>
      </c>
      <c r="AC5" s="34">
        <f>IFERROR(G5*WeeksYear/S5*OrderCost+S5/2*E5*HoldRate,0)</f>
        <v/>
      </c>
      <c r="AD5" s="34">
        <f>AB5-AC5</f>
        <v/>
      </c>
      <c r="AE5" s="36">
        <f>IFERROR(INDEX(SegStrategy,MATCH(N5,SegList,0)),"")</f>
        <v/>
      </c>
      <c r="AF5" s="36">
        <f>IF(D5=SimSupplier,COUNTIF($D$5:D5,SimSupplier),"")</f>
        <v/>
      </c>
      <c r="AG5" s="36">
        <f>IF(OR(X5="Critical - expedite",X5="Order now"),COUNTIF($X$5:X5,"Critical - expedite")+COUNTIF($X$5:X5,"Order now"),"")</f>
        <v/>
      </c>
    </row>
    <row r="6">
      <c r="A6" s="30">
        <f>Products!A3</f>
        <v/>
      </c>
      <c r="B6" s="30">
        <f>Products!B3</f>
        <v/>
      </c>
      <c r="C6" s="30">
        <f>Products!C3</f>
        <v/>
      </c>
      <c r="D6" s="30">
        <f>Products!E3</f>
        <v/>
      </c>
      <c r="E6" s="31">
        <f>Products!D3</f>
        <v/>
      </c>
      <c r="F6" s="32">
        <f>SUMIFS(D_Units,D_SKU,A6,D_Last52,1)</f>
        <v/>
      </c>
      <c r="G6" s="33">
        <f>IFERROR(AVERAGEIFS(D_Units,D_SKU,A6,D_Last52,1),0)</f>
        <v/>
      </c>
      <c r="H6" s="33">
        <f>IFERROR(SQRT(MAX(0,(SUMIFS(D_Units2,D_SKU,A6)-COUNTIFS(D_SKU,A6,D_Last52,1)*G6^2)/(COUNTIFS(D_SKU,A6,D_Last52,1)-1))),0)</f>
        <v/>
      </c>
      <c r="I6" s="34">
        <f>F6*E6</f>
        <v/>
      </c>
      <c r="J6" s="35">
        <f>IFERROR(SUMIF($I$5:$I$53,"&gt;"&amp;I6)/SUM($I$5:$I$53),0)</f>
        <v/>
      </c>
      <c r="K6" s="36">
        <f>IF(J6&lt;ACut,"A",IF(J6&lt;BCut,"B","C"))</f>
        <v/>
      </c>
      <c r="L6" s="37">
        <f>IFERROR(H6/G6,0)</f>
        <v/>
      </c>
      <c r="M6" s="36">
        <f>IF(L6&lt;=XMaxCV,"X",IF(L6&lt;=YMaxCV,"Y","Z"))</f>
        <v/>
      </c>
      <c r="N6" s="36">
        <f>K6&amp;M6</f>
        <v/>
      </c>
      <c r="O6" s="33">
        <f>IFERROR(INDEX(SC_LT,MATCH(D6,SC_ID,0)),0)</f>
        <v/>
      </c>
      <c r="P6" s="33">
        <f>IFERROR(INDEX(SC_LTStd,MATCH(D6,SC_ID,0)),0)</f>
        <v/>
      </c>
      <c r="Q6" s="32">
        <f>ROUNDUP(z*SQRT(O6*H6^2+G6^2*P6^2),0)</f>
        <v/>
      </c>
      <c r="R6" s="32">
        <f>ROUNDUP(G6*O6+Q6,0)</f>
        <v/>
      </c>
      <c r="S6" s="32">
        <f>IFERROR(ROUNDUP(SQRT(2*G6*WeeksYear*OrderCost/(E6*HoldRate)),0),0)</f>
        <v/>
      </c>
      <c r="T6" s="32">
        <f>IFERROR(INDEX(Inventory!$B:$B,MATCH(A6,Inventory!$A:$A,0)),0)</f>
        <v/>
      </c>
      <c r="U6" s="32">
        <f>IFERROR(INDEX(Inventory!$C:$C,MATCH(A6,Inventory!$A:$A,0)),0)</f>
        <v/>
      </c>
      <c r="V6" s="32">
        <f>T6+U6</f>
        <v/>
      </c>
      <c r="W6" s="33">
        <f>IFERROR(T6/G6,0)</f>
        <v/>
      </c>
      <c r="X6" s="36">
        <f>IF(V6&lt;Q6,"Critical - expedite",IF(V6&lt;=R6,"Order now",IF(V6&gt;R6+S6,"Overstock","Healthy")))</f>
        <v/>
      </c>
      <c r="Y6" s="32">
        <f>IF(OR(X6="Critical - expedite",X6="Order now"),MAX(S6,R6+S6-V6),0)</f>
        <v/>
      </c>
      <c r="Z6" s="34">
        <f>IF(X6="Overstock",(V6-R6-S6)*E6,0)</f>
        <v/>
      </c>
      <c r="AA6" s="34">
        <f>Q6*E6</f>
        <v/>
      </c>
      <c r="AB6" s="34">
        <f>IFERROR(G6*WeeksYear/(G6*CurrentCoverWks)*OrderCost+G6*CurrentCoverWks/2*E6*HoldRate,0)</f>
        <v/>
      </c>
      <c r="AC6" s="34">
        <f>IFERROR(G6*WeeksYear/S6*OrderCost+S6/2*E6*HoldRate,0)</f>
        <v/>
      </c>
      <c r="AD6" s="34">
        <f>AB6-AC6</f>
        <v/>
      </c>
      <c r="AE6" s="36">
        <f>IFERROR(INDEX(SegStrategy,MATCH(N6,SegList,0)),"")</f>
        <v/>
      </c>
      <c r="AF6" s="36">
        <f>IF(D6=SimSupplier,COUNTIF($D$5:D6,SimSupplier),"")</f>
        <v/>
      </c>
      <c r="AG6" s="36">
        <f>IF(OR(X6="Critical - expedite",X6="Order now"),COUNTIF($X$5:X6,"Critical - expedite")+COUNTIF($X$5:X6,"Order now"),"")</f>
        <v/>
      </c>
    </row>
    <row r="7">
      <c r="A7" s="30">
        <f>Products!A4</f>
        <v/>
      </c>
      <c r="B7" s="30">
        <f>Products!B4</f>
        <v/>
      </c>
      <c r="C7" s="30">
        <f>Products!C4</f>
        <v/>
      </c>
      <c r="D7" s="30">
        <f>Products!E4</f>
        <v/>
      </c>
      <c r="E7" s="31">
        <f>Products!D4</f>
        <v/>
      </c>
      <c r="F7" s="32">
        <f>SUMIFS(D_Units,D_SKU,A7,D_Last52,1)</f>
        <v/>
      </c>
      <c r="G7" s="33">
        <f>IFERROR(AVERAGEIFS(D_Units,D_SKU,A7,D_Last52,1),0)</f>
        <v/>
      </c>
      <c r="H7" s="33">
        <f>IFERROR(SQRT(MAX(0,(SUMIFS(D_Units2,D_SKU,A7)-COUNTIFS(D_SKU,A7,D_Last52,1)*G7^2)/(COUNTIFS(D_SKU,A7,D_Last52,1)-1))),0)</f>
        <v/>
      </c>
      <c r="I7" s="34">
        <f>F7*E7</f>
        <v/>
      </c>
      <c r="J7" s="35">
        <f>IFERROR(SUMIF($I$5:$I$53,"&gt;"&amp;I7)/SUM($I$5:$I$53),0)</f>
        <v/>
      </c>
      <c r="K7" s="36">
        <f>IF(J7&lt;ACut,"A",IF(J7&lt;BCut,"B","C"))</f>
        <v/>
      </c>
      <c r="L7" s="37">
        <f>IFERROR(H7/G7,0)</f>
        <v/>
      </c>
      <c r="M7" s="36">
        <f>IF(L7&lt;=XMaxCV,"X",IF(L7&lt;=YMaxCV,"Y","Z"))</f>
        <v/>
      </c>
      <c r="N7" s="36">
        <f>K7&amp;M7</f>
        <v/>
      </c>
      <c r="O7" s="33">
        <f>IFERROR(INDEX(SC_LT,MATCH(D7,SC_ID,0)),0)</f>
        <v/>
      </c>
      <c r="P7" s="33">
        <f>IFERROR(INDEX(SC_LTStd,MATCH(D7,SC_ID,0)),0)</f>
        <v/>
      </c>
      <c r="Q7" s="32">
        <f>ROUNDUP(z*SQRT(O7*H7^2+G7^2*P7^2),0)</f>
        <v/>
      </c>
      <c r="R7" s="32">
        <f>ROUNDUP(G7*O7+Q7,0)</f>
        <v/>
      </c>
      <c r="S7" s="32">
        <f>IFERROR(ROUNDUP(SQRT(2*G7*WeeksYear*OrderCost/(E7*HoldRate)),0),0)</f>
        <v/>
      </c>
      <c r="T7" s="32">
        <f>IFERROR(INDEX(Inventory!$B:$B,MATCH(A7,Inventory!$A:$A,0)),0)</f>
        <v/>
      </c>
      <c r="U7" s="32">
        <f>IFERROR(INDEX(Inventory!$C:$C,MATCH(A7,Inventory!$A:$A,0)),0)</f>
        <v/>
      </c>
      <c r="V7" s="32">
        <f>T7+U7</f>
        <v/>
      </c>
      <c r="W7" s="33">
        <f>IFERROR(T7/G7,0)</f>
        <v/>
      </c>
      <c r="X7" s="36">
        <f>IF(V7&lt;Q7,"Critical - expedite",IF(V7&lt;=R7,"Order now",IF(V7&gt;R7+S7,"Overstock","Healthy")))</f>
        <v/>
      </c>
      <c r="Y7" s="32">
        <f>IF(OR(X7="Critical - expedite",X7="Order now"),MAX(S7,R7+S7-V7),0)</f>
        <v/>
      </c>
      <c r="Z7" s="34">
        <f>IF(X7="Overstock",(V7-R7-S7)*E7,0)</f>
        <v/>
      </c>
      <c r="AA7" s="34">
        <f>Q7*E7</f>
        <v/>
      </c>
      <c r="AB7" s="34">
        <f>IFERROR(G7*WeeksYear/(G7*CurrentCoverWks)*OrderCost+G7*CurrentCoverWks/2*E7*HoldRate,0)</f>
        <v/>
      </c>
      <c r="AC7" s="34">
        <f>IFERROR(G7*WeeksYear/S7*OrderCost+S7/2*E7*HoldRate,0)</f>
        <v/>
      </c>
      <c r="AD7" s="34">
        <f>AB7-AC7</f>
        <v/>
      </c>
      <c r="AE7" s="36">
        <f>IFERROR(INDEX(SegStrategy,MATCH(N7,SegList,0)),"")</f>
        <v/>
      </c>
      <c r="AF7" s="36">
        <f>IF(D7=SimSupplier,COUNTIF($D$5:D7,SimSupplier),"")</f>
        <v/>
      </c>
      <c r="AG7" s="36">
        <f>IF(OR(X7="Critical - expedite",X7="Order now"),COUNTIF($X$5:X7,"Critical - expedite")+COUNTIF($X$5:X7,"Order now"),"")</f>
        <v/>
      </c>
    </row>
    <row r="8">
      <c r="A8" s="30">
        <f>Products!A5</f>
        <v/>
      </c>
      <c r="B8" s="30">
        <f>Products!B5</f>
        <v/>
      </c>
      <c r="C8" s="30">
        <f>Products!C5</f>
        <v/>
      </c>
      <c r="D8" s="30">
        <f>Products!E5</f>
        <v/>
      </c>
      <c r="E8" s="31">
        <f>Products!D5</f>
        <v/>
      </c>
      <c r="F8" s="32">
        <f>SUMIFS(D_Units,D_SKU,A8,D_Last52,1)</f>
        <v/>
      </c>
      <c r="G8" s="33">
        <f>IFERROR(AVERAGEIFS(D_Units,D_SKU,A8,D_Last52,1),0)</f>
        <v/>
      </c>
      <c r="H8" s="33">
        <f>IFERROR(SQRT(MAX(0,(SUMIFS(D_Units2,D_SKU,A8)-COUNTIFS(D_SKU,A8,D_Last52,1)*G8^2)/(COUNTIFS(D_SKU,A8,D_Last52,1)-1))),0)</f>
        <v/>
      </c>
      <c r="I8" s="34">
        <f>F8*E8</f>
        <v/>
      </c>
      <c r="J8" s="35">
        <f>IFERROR(SUMIF($I$5:$I$53,"&gt;"&amp;I8)/SUM($I$5:$I$53),0)</f>
        <v/>
      </c>
      <c r="K8" s="36">
        <f>IF(J8&lt;ACut,"A",IF(J8&lt;BCut,"B","C"))</f>
        <v/>
      </c>
      <c r="L8" s="37">
        <f>IFERROR(H8/G8,0)</f>
        <v/>
      </c>
      <c r="M8" s="36">
        <f>IF(L8&lt;=XMaxCV,"X",IF(L8&lt;=YMaxCV,"Y","Z"))</f>
        <v/>
      </c>
      <c r="N8" s="36">
        <f>K8&amp;M8</f>
        <v/>
      </c>
      <c r="O8" s="33">
        <f>IFERROR(INDEX(SC_LT,MATCH(D8,SC_ID,0)),0)</f>
        <v/>
      </c>
      <c r="P8" s="33">
        <f>IFERROR(INDEX(SC_LTStd,MATCH(D8,SC_ID,0)),0)</f>
        <v/>
      </c>
      <c r="Q8" s="32">
        <f>ROUNDUP(z*SQRT(O8*H8^2+G8^2*P8^2),0)</f>
        <v/>
      </c>
      <c r="R8" s="32">
        <f>ROUNDUP(G8*O8+Q8,0)</f>
        <v/>
      </c>
      <c r="S8" s="32">
        <f>IFERROR(ROUNDUP(SQRT(2*G8*WeeksYear*OrderCost/(E8*HoldRate)),0),0)</f>
        <v/>
      </c>
      <c r="T8" s="32">
        <f>IFERROR(INDEX(Inventory!$B:$B,MATCH(A8,Inventory!$A:$A,0)),0)</f>
        <v/>
      </c>
      <c r="U8" s="32">
        <f>IFERROR(INDEX(Inventory!$C:$C,MATCH(A8,Inventory!$A:$A,0)),0)</f>
        <v/>
      </c>
      <c r="V8" s="32">
        <f>T8+U8</f>
        <v/>
      </c>
      <c r="W8" s="33">
        <f>IFERROR(T8/G8,0)</f>
        <v/>
      </c>
      <c r="X8" s="36">
        <f>IF(V8&lt;Q8,"Critical - expedite",IF(V8&lt;=R8,"Order now",IF(V8&gt;R8+S8,"Overstock","Healthy")))</f>
        <v/>
      </c>
      <c r="Y8" s="32">
        <f>IF(OR(X8="Critical - expedite",X8="Order now"),MAX(S8,R8+S8-V8),0)</f>
        <v/>
      </c>
      <c r="Z8" s="34">
        <f>IF(X8="Overstock",(V8-R8-S8)*E8,0)</f>
        <v/>
      </c>
      <c r="AA8" s="34">
        <f>Q8*E8</f>
        <v/>
      </c>
      <c r="AB8" s="34">
        <f>IFERROR(G8*WeeksYear/(G8*CurrentCoverWks)*OrderCost+G8*CurrentCoverWks/2*E8*HoldRate,0)</f>
        <v/>
      </c>
      <c r="AC8" s="34">
        <f>IFERROR(G8*WeeksYear/S8*OrderCost+S8/2*E8*HoldRate,0)</f>
        <v/>
      </c>
      <c r="AD8" s="34">
        <f>AB8-AC8</f>
        <v/>
      </c>
      <c r="AE8" s="36">
        <f>IFERROR(INDEX(SegStrategy,MATCH(N8,SegList,0)),"")</f>
        <v/>
      </c>
      <c r="AF8" s="36">
        <f>IF(D8=SimSupplier,COUNTIF($D$5:D8,SimSupplier),"")</f>
        <v/>
      </c>
      <c r="AG8" s="36">
        <f>IF(OR(X8="Critical - expedite",X8="Order now"),COUNTIF($X$5:X8,"Critical - expedite")+COUNTIF($X$5:X8,"Order now"),"")</f>
        <v/>
      </c>
    </row>
    <row r="9">
      <c r="A9" s="30">
        <f>Products!A6</f>
        <v/>
      </c>
      <c r="B9" s="30">
        <f>Products!B6</f>
        <v/>
      </c>
      <c r="C9" s="30">
        <f>Products!C6</f>
        <v/>
      </c>
      <c r="D9" s="30">
        <f>Products!E6</f>
        <v/>
      </c>
      <c r="E9" s="31">
        <f>Products!D6</f>
        <v/>
      </c>
      <c r="F9" s="32">
        <f>SUMIFS(D_Units,D_SKU,A9,D_Last52,1)</f>
        <v/>
      </c>
      <c r="G9" s="33">
        <f>IFERROR(AVERAGEIFS(D_Units,D_SKU,A9,D_Last52,1),0)</f>
        <v/>
      </c>
      <c r="H9" s="33">
        <f>IFERROR(SQRT(MAX(0,(SUMIFS(D_Units2,D_SKU,A9)-COUNTIFS(D_SKU,A9,D_Last52,1)*G9^2)/(COUNTIFS(D_SKU,A9,D_Last52,1)-1))),0)</f>
        <v/>
      </c>
      <c r="I9" s="34">
        <f>F9*E9</f>
        <v/>
      </c>
      <c r="J9" s="35">
        <f>IFERROR(SUMIF($I$5:$I$53,"&gt;"&amp;I9)/SUM($I$5:$I$53),0)</f>
        <v/>
      </c>
      <c r="K9" s="36">
        <f>IF(J9&lt;ACut,"A",IF(J9&lt;BCut,"B","C"))</f>
        <v/>
      </c>
      <c r="L9" s="37">
        <f>IFERROR(H9/G9,0)</f>
        <v/>
      </c>
      <c r="M9" s="36">
        <f>IF(L9&lt;=XMaxCV,"X",IF(L9&lt;=YMaxCV,"Y","Z"))</f>
        <v/>
      </c>
      <c r="N9" s="36">
        <f>K9&amp;M9</f>
        <v/>
      </c>
      <c r="O9" s="33">
        <f>IFERROR(INDEX(SC_LT,MATCH(D9,SC_ID,0)),0)</f>
        <v/>
      </c>
      <c r="P9" s="33">
        <f>IFERROR(INDEX(SC_LTStd,MATCH(D9,SC_ID,0)),0)</f>
        <v/>
      </c>
      <c r="Q9" s="32">
        <f>ROUNDUP(z*SQRT(O9*H9^2+G9^2*P9^2),0)</f>
        <v/>
      </c>
      <c r="R9" s="32">
        <f>ROUNDUP(G9*O9+Q9,0)</f>
        <v/>
      </c>
      <c r="S9" s="32">
        <f>IFERROR(ROUNDUP(SQRT(2*G9*WeeksYear*OrderCost/(E9*HoldRate)),0),0)</f>
        <v/>
      </c>
      <c r="T9" s="32">
        <f>IFERROR(INDEX(Inventory!$B:$B,MATCH(A9,Inventory!$A:$A,0)),0)</f>
        <v/>
      </c>
      <c r="U9" s="32">
        <f>IFERROR(INDEX(Inventory!$C:$C,MATCH(A9,Inventory!$A:$A,0)),0)</f>
        <v/>
      </c>
      <c r="V9" s="32">
        <f>T9+U9</f>
        <v/>
      </c>
      <c r="W9" s="33">
        <f>IFERROR(T9/G9,0)</f>
        <v/>
      </c>
      <c r="X9" s="36">
        <f>IF(V9&lt;Q9,"Critical - expedite",IF(V9&lt;=R9,"Order now",IF(V9&gt;R9+S9,"Overstock","Healthy")))</f>
        <v/>
      </c>
      <c r="Y9" s="32">
        <f>IF(OR(X9="Critical - expedite",X9="Order now"),MAX(S9,R9+S9-V9),0)</f>
        <v/>
      </c>
      <c r="Z9" s="34">
        <f>IF(X9="Overstock",(V9-R9-S9)*E9,0)</f>
        <v/>
      </c>
      <c r="AA9" s="34">
        <f>Q9*E9</f>
        <v/>
      </c>
      <c r="AB9" s="34">
        <f>IFERROR(G9*WeeksYear/(G9*CurrentCoverWks)*OrderCost+G9*CurrentCoverWks/2*E9*HoldRate,0)</f>
        <v/>
      </c>
      <c r="AC9" s="34">
        <f>IFERROR(G9*WeeksYear/S9*OrderCost+S9/2*E9*HoldRate,0)</f>
        <v/>
      </c>
      <c r="AD9" s="34">
        <f>AB9-AC9</f>
        <v/>
      </c>
      <c r="AE9" s="36">
        <f>IFERROR(INDEX(SegStrategy,MATCH(N9,SegList,0)),"")</f>
        <v/>
      </c>
      <c r="AF9" s="36">
        <f>IF(D9=SimSupplier,COUNTIF($D$5:D9,SimSupplier),"")</f>
        <v/>
      </c>
      <c r="AG9" s="36">
        <f>IF(OR(X9="Critical - expedite",X9="Order now"),COUNTIF($X$5:X9,"Critical - expedite")+COUNTIF($X$5:X9,"Order now"),"")</f>
        <v/>
      </c>
    </row>
    <row r="10">
      <c r="A10" s="30">
        <f>Products!A7</f>
        <v/>
      </c>
      <c r="B10" s="30">
        <f>Products!B7</f>
        <v/>
      </c>
      <c r="C10" s="30">
        <f>Products!C7</f>
        <v/>
      </c>
      <c r="D10" s="30">
        <f>Products!E7</f>
        <v/>
      </c>
      <c r="E10" s="31">
        <f>Products!D7</f>
        <v/>
      </c>
      <c r="F10" s="32">
        <f>SUMIFS(D_Units,D_SKU,A10,D_Last52,1)</f>
        <v/>
      </c>
      <c r="G10" s="33">
        <f>IFERROR(AVERAGEIFS(D_Units,D_SKU,A10,D_Last52,1),0)</f>
        <v/>
      </c>
      <c r="H10" s="33">
        <f>IFERROR(SQRT(MAX(0,(SUMIFS(D_Units2,D_SKU,A10)-COUNTIFS(D_SKU,A10,D_Last52,1)*G10^2)/(COUNTIFS(D_SKU,A10,D_Last52,1)-1))),0)</f>
        <v/>
      </c>
      <c r="I10" s="34">
        <f>F10*E10</f>
        <v/>
      </c>
      <c r="J10" s="35">
        <f>IFERROR(SUMIF($I$5:$I$53,"&gt;"&amp;I10)/SUM($I$5:$I$53),0)</f>
        <v/>
      </c>
      <c r="K10" s="36">
        <f>IF(J10&lt;ACut,"A",IF(J10&lt;BCut,"B","C"))</f>
        <v/>
      </c>
      <c r="L10" s="37">
        <f>IFERROR(H10/G10,0)</f>
        <v/>
      </c>
      <c r="M10" s="36">
        <f>IF(L10&lt;=XMaxCV,"X",IF(L10&lt;=YMaxCV,"Y","Z"))</f>
        <v/>
      </c>
      <c r="N10" s="36">
        <f>K10&amp;M10</f>
        <v/>
      </c>
      <c r="O10" s="33">
        <f>IFERROR(INDEX(SC_LT,MATCH(D10,SC_ID,0)),0)</f>
        <v/>
      </c>
      <c r="P10" s="33">
        <f>IFERROR(INDEX(SC_LTStd,MATCH(D10,SC_ID,0)),0)</f>
        <v/>
      </c>
      <c r="Q10" s="32">
        <f>ROUNDUP(z*SQRT(O10*H10^2+G10^2*P10^2),0)</f>
        <v/>
      </c>
      <c r="R10" s="32">
        <f>ROUNDUP(G10*O10+Q10,0)</f>
        <v/>
      </c>
      <c r="S10" s="32">
        <f>IFERROR(ROUNDUP(SQRT(2*G10*WeeksYear*OrderCost/(E10*HoldRate)),0),0)</f>
        <v/>
      </c>
      <c r="T10" s="32">
        <f>IFERROR(INDEX(Inventory!$B:$B,MATCH(A10,Inventory!$A:$A,0)),0)</f>
        <v/>
      </c>
      <c r="U10" s="32">
        <f>IFERROR(INDEX(Inventory!$C:$C,MATCH(A10,Inventory!$A:$A,0)),0)</f>
        <v/>
      </c>
      <c r="V10" s="32">
        <f>T10+U10</f>
        <v/>
      </c>
      <c r="W10" s="33">
        <f>IFERROR(T10/G10,0)</f>
        <v/>
      </c>
      <c r="X10" s="36">
        <f>IF(V10&lt;Q10,"Critical - expedite",IF(V10&lt;=R10,"Order now",IF(V10&gt;R10+S10,"Overstock","Healthy")))</f>
        <v/>
      </c>
      <c r="Y10" s="32">
        <f>IF(OR(X10="Critical - expedite",X10="Order now"),MAX(S10,R10+S10-V10),0)</f>
        <v/>
      </c>
      <c r="Z10" s="34">
        <f>IF(X10="Overstock",(V10-R10-S10)*E10,0)</f>
        <v/>
      </c>
      <c r="AA10" s="34">
        <f>Q10*E10</f>
        <v/>
      </c>
      <c r="AB10" s="34">
        <f>IFERROR(G10*WeeksYear/(G10*CurrentCoverWks)*OrderCost+G10*CurrentCoverWks/2*E10*HoldRate,0)</f>
        <v/>
      </c>
      <c r="AC10" s="34">
        <f>IFERROR(G10*WeeksYear/S10*OrderCost+S10/2*E10*HoldRate,0)</f>
        <v/>
      </c>
      <c r="AD10" s="34">
        <f>AB10-AC10</f>
        <v/>
      </c>
      <c r="AE10" s="36">
        <f>IFERROR(INDEX(SegStrategy,MATCH(N10,SegList,0)),"")</f>
        <v/>
      </c>
      <c r="AF10" s="36">
        <f>IF(D10=SimSupplier,COUNTIF($D$5:D10,SimSupplier),"")</f>
        <v/>
      </c>
      <c r="AG10" s="36">
        <f>IF(OR(X10="Critical - expedite",X10="Order now"),COUNTIF($X$5:X10,"Critical - expedite")+COUNTIF($X$5:X10,"Order now"),"")</f>
        <v/>
      </c>
    </row>
    <row r="11">
      <c r="A11" s="30">
        <f>Products!A8</f>
        <v/>
      </c>
      <c r="B11" s="30">
        <f>Products!B8</f>
        <v/>
      </c>
      <c r="C11" s="30">
        <f>Products!C8</f>
        <v/>
      </c>
      <c r="D11" s="30">
        <f>Products!E8</f>
        <v/>
      </c>
      <c r="E11" s="31">
        <f>Products!D8</f>
        <v/>
      </c>
      <c r="F11" s="32">
        <f>SUMIFS(D_Units,D_SKU,A11,D_Last52,1)</f>
        <v/>
      </c>
      <c r="G11" s="33">
        <f>IFERROR(AVERAGEIFS(D_Units,D_SKU,A11,D_Last52,1),0)</f>
        <v/>
      </c>
      <c r="H11" s="33">
        <f>IFERROR(SQRT(MAX(0,(SUMIFS(D_Units2,D_SKU,A11)-COUNTIFS(D_SKU,A11,D_Last52,1)*G11^2)/(COUNTIFS(D_SKU,A11,D_Last52,1)-1))),0)</f>
        <v/>
      </c>
      <c r="I11" s="34">
        <f>F11*E11</f>
        <v/>
      </c>
      <c r="J11" s="35">
        <f>IFERROR(SUMIF($I$5:$I$53,"&gt;"&amp;I11)/SUM($I$5:$I$53),0)</f>
        <v/>
      </c>
      <c r="K11" s="36">
        <f>IF(J11&lt;ACut,"A",IF(J11&lt;BCut,"B","C"))</f>
        <v/>
      </c>
      <c r="L11" s="37">
        <f>IFERROR(H11/G11,0)</f>
        <v/>
      </c>
      <c r="M11" s="36">
        <f>IF(L11&lt;=XMaxCV,"X",IF(L11&lt;=YMaxCV,"Y","Z"))</f>
        <v/>
      </c>
      <c r="N11" s="36">
        <f>K11&amp;M11</f>
        <v/>
      </c>
      <c r="O11" s="33">
        <f>IFERROR(INDEX(SC_LT,MATCH(D11,SC_ID,0)),0)</f>
        <v/>
      </c>
      <c r="P11" s="33">
        <f>IFERROR(INDEX(SC_LTStd,MATCH(D11,SC_ID,0)),0)</f>
        <v/>
      </c>
      <c r="Q11" s="32">
        <f>ROUNDUP(z*SQRT(O11*H11^2+G11^2*P11^2),0)</f>
        <v/>
      </c>
      <c r="R11" s="32">
        <f>ROUNDUP(G11*O11+Q11,0)</f>
        <v/>
      </c>
      <c r="S11" s="32">
        <f>IFERROR(ROUNDUP(SQRT(2*G11*WeeksYear*OrderCost/(E11*HoldRate)),0),0)</f>
        <v/>
      </c>
      <c r="T11" s="32">
        <f>IFERROR(INDEX(Inventory!$B:$B,MATCH(A11,Inventory!$A:$A,0)),0)</f>
        <v/>
      </c>
      <c r="U11" s="32">
        <f>IFERROR(INDEX(Inventory!$C:$C,MATCH(A11,Inventory!$A:$A,0)),0)</f>
        <v/>
      </c>
      <c r="V11" s="32">
        <f>T11+U11</f>
        <v/>
      </c>
      <c r="W11" s="33">
        <f>IFERROR(T11/G11,0)</f>
        <v/>
      </c>
      <c r="X11" s="36">
        <f>IF(V11&lt;Q11,"Critical - expedite",IF(V11&lt;=R11,"Order now",IF(V11&gt;R11+S11,"Overstock","Healthy")))</f>
        <v/>
      </c>
      <c r="Y11" s="32">
        <f>IF(OR(X11="Critical - expedite",X11="Order now"),MAX(S11,R11+S11-V11),0)</f>
        <v/>
      </c>
      <c r="Z11" s="34">
        <f>IF(X11="Overstock",(V11-R11-S11)*E11,0)</f>
        <v/>
      </c>
      <c r="AA11" s="34">
        <f>Q11*E11</f>
        <v/>
      </c>
      <c r="AB11" s="34">
        <f>IFERROR(G11*WeeksYear/(G11*CurrentCoverWks)*OrderCost+G11*CurrentCoverWks/2*E11*HoldRate,0)</f>
        <v/>
      </c>
      <c r="AC11" s="34">
        <f>IFERROR(G11*WeeksYear/S11*OrderCost+S11/2*E11*HoldRate,0)</f>
        <v/>
      </c>
      <c r="AD11" s="34">
        <f>AB11-AC11</f>
        <v/>
      </c>
      <c r="AE11" s="36">
        <f>IFERROR(INDEX(SegStrategy,MATCH(N11,SegList,0)),"")</f>
        <v/>
      </c>
      <c r="AF11" s="36">
        <f>IF(D11=SimSupplier,COUNTIF($D$5:D11,SimSupplier),"")</f>
        <v/>
      </c>
      <c r="AG11" s="36">
        <f>IF(OR(X11="Critical - expedite",X11="Order now"),COUNTIF($X$5:X11,"Critical - expedite")+COUNTIF($X$5:X11,"Order now"),"")</f>
        <v/>
      </c>
    </row>
    <row r="12">
      <c r="A12" s="30">
        <f>Products!A9</f>
        <v/>
      </c>
      <c r="B12" s="30">
        <f>Products!B9</f>
        <v/>
      </c>
      <c r="C12" s="30">
        <f>Products!C9</f>
        <v/>
      </c>
      <c r="D12" s="30">
        <f>Products!E9</f>
        <v/>
      </c>
      <c r="E12" s="31">
        <f>Products!D9</f>
        <v/>
      </c>
      <c r="F12" s="32">
        <f>SUMIFS(D_Units,D_SKU,A12,D_Last52,1)</f>
        <v/>
      </c>
      <c r="G12" s="33">
        <f>IFERROR(AVERAGEIFS(D_Units,D_SKU,A12,D_Last52,1),0)</f>
        <v/>
      </c>
      <c r="H12" s="33">
        <f>IFERROR(SQRT(MAX(0,(SUMIFS(D_Units2,D_SKU,A12)-COUNTIFS(D_SKU,A12,D_Last52,1)*G12^2)/(COUNTIFS(D_SKU,A12,D_Last52,1)-1))),0)</f>
        <v/>
      </c>
      <c r="I12" s="34">
        <f>F12*E12</f>
        <v/>
      </c>
      <c r="J12" s="35">
        <f>IFERROR(SUMIF($I$5:$I$53,"&gt;"&amp;I12)/SUM($I$5:$I$53),0)</f>
        <v/>
      </c>
      <c r="K12" s="36">
        <f>IF(J12&lt;ACut,"A",IF(J12&lt;BCut,"B","C"))</f>
        <v/>
      </c>
      <c r="L12" s="37">
        <f>IFERROR(H12/G12,0)</f>
        <v/>
      </c>
      <c r="M12" s="36">
        <f>IF(L12&lt;=XMaxCV,"X",IF(L12&lt;=YMaxCV,"Y","Z"))</f>
        <v/>
      </c>
      <c r="N12" s="36">
        <f>K12&amp;M12</f>
        <v/>
      </c>
      <c r="O12" s="33">
        <f>IFERROR(INDEX(SC_LT,MATCH(D12,SC_ID,0)),0)</f>
        <v/>
      </c>
      <c r="P12" s="33">
        <f>IFERROR(INDEX(SC_LTStd,MATCH(D12,SC_ID,0)),0)</f>
        <v/>
      </c>
      <c r="Q12" s="32">
        <f>ROUNDUP(z*SQRT(O12*H12^2+G12^2*P12^2),0)</f>
        <v/>
      </c>
      <c r="R12" s="32">
        <f>ROUNDUP(G12*O12+Q12,0)</f>
        <v/>
      </c>
      <c r="S12" s="32">
        <f>IFERROR(ROUNDUP(SQRT(2*G12*WeeksYear*OrderCost/(E12*HoldRate)),0),0)</f>
        <v/>
      </c>
      <c r="T12" s="32">
        <f>IFERROR(INDEX(Inventory!$B:$B,MATCH(A12,Inventory!$A:$A,0)),0)</f>
        <v/>
      </c>
      <c r="U12" s="32">
        <f>IFERROR(INDEX(Inventory!$C:$C,MATCH(A12,Inventory!$A:$A,0)),0)</f>
        <v/>
      </c>
      <c r="V12" s="32">
        <f>T12+U12</f>
        <v/>
      </c>
      <c r="W12" s="33">
        <f>IFERROR(T12/G12,0)</f>
        <v/>
      </c>
      <c r="X12" s="36">
        <f>IF(V12&lt;Q12,"Critical - expedite",IF(V12&lt;=R12,"Order now",IF(V12&gt;R12+S12,"Overstock","Healthy")))</f>
        <v/>
      </c>
      <c r="Y12" s="32">
        <f>IF(OR(X12="Critical - expedite",X12="Order now"),MAX(S12,R12+S12-V12),0)</f>
        <v/>
      </c>
      <c r="Z12" s="34">
        <f>IF(X12="Overstock",(V12-R12-S12)*E12,0)</f>
        <v/>
      </c>
      <c r="AA12" s="34">
        <f>Q12*E12</f>
        <v/>
      </c>
      <c r="AB12" s="34">
        <f>IFERROR(G12*WeeksYear/(G12*CurrentCoverWks)*OrderCost+G12*CurrentCoverWks/2*E12*HoldRate,0)</f>
        <v/>
      </c>
      <c r="AC12" s="34">
        <f>IFERROR(G12*WeeksYear/S12*OrderCost+S12/2*E12*HoldRate,0)</f>
        <v/>
      </c>
      <c r="AD12" s="34">
        <f>AB12-AC12</f>
        <v/>
      </c>
      <c r="AE12" s="36">
        <f>IFERROR(INDEX(SegStrategy,MATCH(N12,SegList,0)),"")</f>
        <v/>
      </c>
      <c r="AF12" s="36">
        <f>IF(D12=SimSupplier,COUNTIF($D$5:D12,SimSupplier),"")</f>
        <v/>
      </c>
      <c r="AG12" s="36">
        <f>IF(OR(X12="Critical - expedite",X12="Order now"),COUNTIF($X$5:X12,"Critical - expedite")+COUNTIF($X$5:X12,"Order now"),"")</f>
        <v/>
      </c>
    </row>
    <row r="13">
      <c r="A13" s="30">
        <f>Products!A10</f>
        <v/>
      </c>
      <c r="B13" s="30">
        <f>Products!B10</f>
        <v/>
      </c>
      <c r="C13" s="30">
        <f>Products!C10</f>
        <v/>
      </c>
      <c r="D13" s="30">
        <f>Products!E10</f>
        <v/>
      </c>
      <c r="E13" s="31">
        <f>Products!D10</f>
        <v/>
      </c>
      <c r="F13" s="32">
        <f>SUMIFS(D_Units,D_SKU,A13,D_Last52,1)</f>
        <v/>
      </c>
      <c r="G13" s="33">
        <f>IFERROR(AVERAGEIFS(D_Units,D_SKU,A13,D_Last52,1),0)</f>
        <v/>
      </c>
      <c r="H13" s="33">
        <f>IFERROR(SQRT(MAX(0,(SUMIFS(D_Units2,D_SKU,A13)-COUNTIFS(D_SKU,A13,D_Last52,1)*G13^2)/(COUNTIFS(D_SKU,A13,D_Last52,1)-1))),0)</f>
        <v/>
      </c>
      <c r="I13" s="34">
        <f>F13*E13</f>
        <v/>
      </c>
      <c r="J13" s="35">
        <f>IFERROR(SUMIF($I$5:$I$53,"&gt;"&amp;I13)/SUM($I$5:$I$53),0)</f>
        <v/>
      </c>
      <c r="K13" s="36">
        <f>IF(J13&lt;ACut,"A",IF(J13&lt;BCut,"B","C"))</f>
        <v/>
      </c>
      <c r="L13" s="37">
        <f>IFERROR(H13/G13,0)</f>
        <v/>
      </c>
      <c r="M13" s="36">
        <f>IF(L13&lt;=XMaxCV,"X",IF(L13&lt;=YMaxCV,"Y","Z"))</f>
        <v/>
      </c>
      <c r="N13" s="36">
        <f>K13&amp;M13</f>
        <v/>
      </c>
      <c r="O13" s="33">
        <f>IFERROR(INDEX(SC_LT,MATCH(D13,SC_ID,0)),0)</f>
        <v/>
      </c>
      <c r="P13" s="33">
        <f>IFERROR(INDEX(SC_LTStd,MATCH(D13,SC_ID,0)),0)</f>
        <v/>
      </c>
      <c r="Q13" s="32">
        <f>ROUNDUP(z*SQRT(O13*H13^2+G13^2*P13^2),0)</f>
        <v/>
      </c>
      <c r="R13" s="32">
        <f>ROUNDUP(G13*O13+Q13,0)</f>
        <v/>
      </c>
      <c r="S13" s="32">
        <f>IFERROR(ROUNDUP(SQRT(2*G13*WeeksYear*OrderCost/(E13*HoldRate)),0),0)</f>
        <v/>
      </c>
      <c r="T13" s="32">
        <f>IFERROR(INDEX(Inventory!$B:$B,MATCH(A13,Inventory!$A:$A,0)),0)</f>
        <v/>
      </c>
      <c r="U13" s="32">
        <f>IFERROR(INDEX(Inventory!$C:$C,MATCH(A13,Inventory!$A:$A,0)),0)</f>
        <v/>
      </c>
      <c r="V13" s="32">
        <f>T13+U13</f>
        <v/>
      </c>
      <c r="W13" s="33">
        <f>IFERROR(T13/G13,0)</f>
        <v/>
      </c>
      <c r="X13" s="36">
        <f>IF(V13&lt;Q13,"Critical - expedite",IF(V13&lt;=R13,"Order now",IF(V13&gt;R13+S13,"Overstock","Healthy")))</f>
        <v/>
      </c>
      <c r="Y13" s="32">
        <f>IF(OR(X13="Critical - expedite",X13="Order now"),MAX(S13,R13+S13-V13),0)</f>
        <v/>
      </c>
      <c r="Z13" s="34">
        <f>IF(X13="Overstock",(V13-R13-S13)*E13,0)</f>
        <v/>
      </c>
      <c r="AA13" s="34">
        <f>Q13*E13</f>
        <v/>
      </c>
      <c r="AB13" s="34">
        <f>IFERROR(G13*WeeksYear/(G13*CurrentCoverWks)*OrderCost+G13*CurrentCoverWks/2*E13*HoldRate,0)</f>
        <v/>
      </c>
      <c r="AC13" s="34">
        <f>IFERROR(G13*WeeksYear/S13*OrderCost+S13/2*E13*HoldRate,0)</f>
        <v/>
      </c>
      <c r="AD13" s="34">
        <f>AB13-AC13</f>
        <v/>
      </c>
      <c r="AE13" s="36">
        <f>IFERROR(INDEX(SegStrategy,MATCH(N13,SegList,0)),"")</f>
        <v/>
      </c>
      <c r="AF13" s="36">
        <f>IF(D13=SimSupplier,COUNTIF($D$5:D13,SimSupplier),"")</f>
        <v/>
      </c>
      <c r="AG13" s="36">
        <f>IF(OR(X13="Critical - expedite",X13="Order now"),COUNTIF($X$5:X13,"Critical - expedite")+COUNTIF($X$5:X13,"Order now"),"")</f>
        <v/>
      </c>
    </row>
    <row r="14">
      <c r="A14" s="30">
        <f>Products!A11</f>
        <v/>
      </c>
      <c r="B14" s="30">
        <f>Products!B11</f>
        <v/>
      </c>
      <c r="C14" s="30">
        <f>Products!C11</f>
        <v/>
      </c>
      <c r="D14" s="30">
        <f>Products!E11</f>
        <v/>
      </c>
      <c r="E14" s="31">
        <f>Products!D11</f>
        <v/>
      </c>
      <c r="F14" s="32">
        <f>SUMIFS(D_Units,D_SKU,A14,D_Last52,1)</f>
        <v/>
      </c>
      <c r="G14" s="33">
        <f>IFERROR(AVERAGEIFS(D_Units,D_SKU,A14,D_Last52,1),0)</f>
        <v/>
      </c>
      <c r="H14" s="33">
        <f>IFERROR(SQRT(MAX(0,(SUMIFS(D_Units2,D_SKU,A14)-COUNTIFS(D_SKU,A14,D_Last52,1)*G14^2)/(COUNTIFS(D_SKU,A14,D_Last52,1)-1))),0)</f>
        <v/>
      </c>
      <c r="I14" s="34">
        <f>F14*E14</f>
        <v/>
      </c>
      <c r="J14" s="35">
        <f>IFERROR(SUMIF($I$5:$I$53,"&gt;"&amp;I14)/SUM($I$5:$I$53),0)</f>
        <v/>
      </c>
      <c r="K14" s="36">
        <f>IF(J14&lt;ACut,"A",IF(J14&lt;BCut,"B","C"))</f>
        <v/>
      </c>
      <c r="L14" s="37">
        <f>IFERROR(H14/G14,0)</f>
        <v/>
      </c>
      <c r="M14" s="36">
        <f>IF(L14&lt;=XMaxCV,"X",IF(L14&lt;=YMaxCV,"Y","Z"))</f>
        <v/>
      </c>
      <c r="N14" s="36">
        <f>K14&amp;M14</f>
        <v/>
      </c>
      <c r="O14" s="33">
        <f>IFERROR(INDEX(SC_LT,MATCH(D14,SC_ID,0)),0)</f>
        <v/>
      </c>
      <c r="P14" s="33">
        <f>IFERROR(INDEX(SC_LTStd,MATCH(D14,SC_ID,0)),0)</f>
        <v/>
      </c>
      <c r="Q14" s="32">
        <f>ROUNDUP(z*SQRT(O14*H14^2+G14^2*P14^2),0)</f>
        <v/>
      </c>
      <c r="R14" s="32">
        <f>ROUNDUP(G14*O14+Q14,0)</f>
        <v/>
      </c>
      <c r="S14" s="32">
        <f>IFERROR(ROUNDUP(SQRT(2*G14*WeeksYear*OrderCost/(E14*HoldRate)),0),0)</f>
        <v/>
      </c>
      <c r="T14" s="32">
        <f>IFERROR(INDEX(Inventory!$B:$B,MATCH(A14,Inventory!$A:$A,0)),0)</f>
        <v/>
      </c>
      <c r="U14" s="32">
        <f>IFERROR(INDEX(Inventory!$C:$C,MATCH(A14,Inventory!$A:$A,0)),0)</f>
        <v/>
      </c>
      <c r="V14" s="32">
        <f>T14+U14</f>
        <v/>
      </c>
      <c r="W14" s="33">
        <f>IFERROR(T14/G14,0)</f>
        <v/>
      </c>
      <c r="X14" s="36">
        <f>IF(V14&lt;Q14,"Critical - expedite",IF(V14&lt;=R14,"Order now",IF(V14&gt;R14+S14,"Overstock","Healthy")))</f>
        <v/>
      </c>
      <c r="Y14" s="32">
        <f>IF(OR(X14="Critical - expedite",X14="Order now"),MAX(S14,R14+S14-V14),0)</f>
        <v/>
      </c>
      <c r="Z14" s="34">
        <f>IF(X14="Overstock",(V14-R14-S14)*E14,0)</f>
        <v/>
      </c>
      <c r="AA14" s="34">
        <f>Q14*E14</f>
        <v/>
      </c>
      <c r="AB14" s="34">
        <f>IFERROR(G14*WeeksYear/(G14*CurrentCoverWks)*OrderCost+G14*CurrentCoverWks/2*E14*HoldRate,0)</f>
        <v/>
      </c>
      <c r="AC14" s="34">
        <f>IFERROR(G14*WeeksYear/S14*OrderCost+S14/2*E14*HoldRate,0)</f>
        <v/>
      </c>
      <c r="AD14" s="34">
        <f>AB14-AC14</f>
        <v/>
      </c>
      <c r="AE14" s="36">
        <f>IFERROR(INDEX(SegStrategy,MATCH(N14,SegList,0)),"")</f>
        <v/>
      </c>
      <c r="AF14" s="36">
        <f>IF(D14=SimSupplier,COUNTIF($D$5:D14,SimSupplier),"")</f>
        <v/>
      </c>
      <c r="AG14" s="36">
        <f>IF(OR(X14="Critical - expedite",X14="Order now"),COUNTIF($X$5:X14,"Critical - expedite")+COUNTIF($X$5:X14,"Order now"),"")</f>
        <v/>
      </c>
    </row>
    <row r="15">
      <c r="A15" s="30">
        <f>Products!A12</f>
        <v/>
      </c>
      <c r="B15" s="30">
        <f>Products!B12</f>
        <v/>
      </c>
      <c r="C15" s="30">
        <f>Products!C12</f>
        <v/>
      </c>
      <c r="D15" s="30">
        <f>Products!E12</f>
        <v/>
      </c>
      <c r="E15" s="31">
        <f>Products!D12</f>
        <v/>
      </c>
      <c r="F15" s="32">
        <f>SUMIFS(D_Units,D_SKU,A15,D_Last52,1)</f>
        <v/>
      </c>
      <c r="G15" s="33">
        <f>IFERROR(AVERAGEIFS(D_Units,D_SKU,A15,D_Last52,1),0)</f>
        <v/>
      </c>
      <c r="H15" s="33">
        <f>IFERROR(SQRT(MAX(0,(SUMIFS(D_Units2,D_SKU,A15)-COUNTIFS(D_SKU,A15,D_Last52,1)*G15^2)/(COUNTIFS(D_SKU,A15,D_Last52,1)-1))),0)</f>
        <v/>
      </c>
      <c r="I15" s="34">
        <f>F15*E15</f>
        <v/>
      </c>
      <c r="J15" s="35">
        <f>IFERROR(SUMIF($I$5:$I$53,"&gt;"&amp;I15)/SUM($I$5:$I$53),0)</f>
        <v/>
      </c>
      <c r="K15" s="36">
        <f>IF(J15&lt;ACut,"A",IF(J15&lt;BCut,"B","C"))</f>
        <v/>
      </c>
      <c r="L15" s="37">
        <f>IFERROR(H15/G15,0)</f>
        <v/>
      </c>
      <c r="M15" s="36">
        <f>IF(L15&lt;=XMaxCV,"X",IF(L15&lt;=YMaxCV,"Y","Z"))</f>
        <v/>
      </c>
      <c r="N15" s="36">
        <f>K15&amp;M15</f>
        <v/>
      </c>
      <c r="O15" s="33">
        <f>IFERROR(INDEX(SC_LT,MATCH(D15,SC_ID,0)),0)</f>
        <v/>
      </c>
      <c r="P15" s="33">
        <f>IFERROR(INDEX(SC_LTStd,MATCH(D15,SC_ID,0)),0)</f>
        <v/>
      </c>
      <c r="Q15" s="32">
        <f>ROUNDUP(z*SQRT(O15*H15^2+G15^2*P15^2),0)</f>
        <v/>
      </c>
      <c r="R15" s="32">
        <f>ROUNDUP(G15*O15+Q15,0)</f>
        <v/>
      </c>
      <c r="S15" s="32">
        <f>IFERROR(ROUNDUP(SQRT(2*G15*WeeksYear*OrderCost/(E15*HoldRate)),0),0)</f>
        <v/>
      </c>
      <c r="T15" s="32">
        <f>IFERROR(INDEX(Inventory!$B:$B,MATCH(A15,Inventory!$A:$A,0)),0)</f>
        <v/>
      </c>
      <c r="U15" s="32">
        <f>IFERROR(INDEX(Inventory!$C:$C,MATCH(A15,Inventory!$A:$A,0)),0)</f>
        <v/>
      </c>
      <c r="V15" s="32">
        <f>T15+U15</f>
        <v/>
      </c>
      <c r="W15" s="33">
        <f>IFERROR(T15/G15,0)</f>
        <v/>
      </c>
      <c r="X15" s="36">
        <f>IF(V15&lt;Q15,"Critical - expedite",IF(V15&lt;=R15,"Order now",IF(V15&gt;R15+S15,"Overstock","Healthy")))</f>
        <v/>
      </c>
      <c r="Y15" s="32">
        <f>IF(OR(X15="Critical - expedite",X15="Order now"),MAX(S15,R15+S15-V15),0)</f>
        <v/>
      </c>
      <c r="Z15" s="34">
        <f>IF(X15="Overstock",(V15-R15-S15)*E15,0)</f>
        <v/>
      </c>
      <c r="AA15" s="34">
        <f>Q15*E15</f>
        <v/>
      </c>
      <c r="AB15" s="34">
        <f>IFERROR(G15*WeeksYear/(G15*CurrentCoverWks)*OrderCost+G15*CurrentCoverWks/2*E15*HoldRate,0)</f>
        <v/>
      </c>
      <c r="AC15" s="34">
        <f>IFERROR(G15*WeeksYear/S15*OrderCost+S15/2*E15*HoldRate,0)</f>
        <v/>
      </c>
      <c r="AD15" s="34">
        <f>AB15-AC15</f>
        <v/>
      </c>
      <c r="AE15" s="36">
        <f>IFERROR(INDEX(SegStrategy,MATCH(N15,SegList,0)),"")</f>
        <v/>
      </c>
      <c r="AF15" s="36">
        <f>IF(D15=SimSupplier,COUNTIF($D$5:D15,SimSupplier),"")</f>
        <v/>
      </c>
      <c r="AG15" s="36">
        <f>IF(OR(X15="Critical - expedite",X15="Order now"),COUNTIF($X$5:X15,"Critical - expedite")+COUNTIF($X$5:X15,"Order now"),"")</f>
        <v/>
      </c>
    </row>
    <row r="16">
      <c r="A16" s="30">
        <f>Products!A13</f>
        <v/>
      </c>
      <c r="B16" s="30">
        <f>Products!B13</f>
        <v/>
      </c>
      <c r="C16" s="30">
        <f>Products!C13</f>
        <v/>
      </c>
      <c r="D16" s="30">
        <f>Products!E13</f>
        <v/>
      </c>
      <c r="E16" s="31">
        <f>Products!D13</f>
        <v/>
      </c>
      <c r="F16" s="32">
        <f>SUMIFS(D_Units,D_SKU,A16,D_Last52,1)</f>
        <v/>
      </c>
      <c r="G16" s="33">
        <f>IFERROR(AVERAGEIFS(D_Units,D_SKU,A16,D_Last52,1),0)</f>
        <v/>
      </c>
      <c r="H16" s="33">
        <f>IFERROR(SQRT(MAX(0,(SUMIFS(D_Units2,D_SKU,A16)-COUNTIFS(D_SKU,A16,D_Last52,1)*G16^2)/(COUNTIFS(D_SKU,A16,D_Last52,1)-1))),0)</f>
        <v/>
      </c>
      <c r="I16" s="34">
        <f>F16*E16</f>
        <v/>
      </c>
      <c r="J16" s="35">
        <f>IFERROR(SUMIF($I$5:$I$53,"&gt;"&amp;I16)/SUM($I$5:$I$53),0)</f>
        <v/>
      </c>
      <c r="K16" s="36">
        <f>IF(J16&lt;ACut,"A",IF(J16&lt;BCut,"B","C"))</f>
        <v/>
      </c>
      <c r="L16" s="37">
        <f>IFERROR(H16/G16,0)</f>
        <v/>
      </c>
      <c r="M16" s="36">
        <f>IF(L16&lt;=XMaxCV,"X",IF(L16&lt;=YMaxCV,"Y","Z"))</f>
        <v/>
      </c>
      <c r="N16" s="36">
        <f>K16&amp;M16</f>
        <v/>
      </c>
      <c r="O16" s="33">
        <f>IFERROR(INDEX(SC_LT,MATCH(D16,SC_ID,0)),0)</f>
        <v/>
      </c>
      <c r="P16" s="33">
        <f>IFERROR(INDEX(SC_LTStd,MATCH(D16,SC_ID,0)),0)</f>
        <v/>
      </c>
      <c r="Q16" s="32">
        <f>ROUNDUP(z*SQRT(O16*H16^2+G16^2*P16^2),0)</f>
        <v/>
      </c>
      <c r="R16" s="32">
        <f>ROUNDUP(G16*O16+Q16,0)</f>
        <v/>
      </c>
      <c r="S16" s="32">
        <f>IFERROR(ROUNDUP(SQRT(2*G16*WeeksYear*OrderCost/(E16*HoldRate)),0),0)</f>
        <v/>
      </c>
      <c r="T16" s="32">
        <f>IFERROR(INDEX(Inventory!$B:$B,MATCH(A16,Inventory!$A:$A,0)),0)</f>
        <v/>
      </c>
      <c r="U16" s="32">
        <f>IFERROR(INDEX(Inventory!$C:$C,MATCH(A16,Inventory!$A:$A,0)),0)</f>
        <v/>
      </c>
      <c r="V16" s="32">
        <f>T16+U16</f>
        <v/>
      </c>
      <c r="W16" s="33">
        <f>IFERROR(T16/G16,0)</f>
        <v/>
      </c>
      <c r="X16" s="36">
        <f>IF(V16&lt;Q16,"Critical - expedite",IF(V16&lt;=R16,"Order now",IF(V16&gt;R16+S16,"Overstock","Healthy")))</f>
        <v/>
      </c>
      <c r="Y16" s="32">
        <f>IF(OR(X16="Critical - expedite",X16="Order now"),MAX(S16,R16+S16-V16),0)</f>
        <v/>
      </c>
      <c r="Z16" s="34">
        <f>IF(X16="Overstock",(V16-R16-S16)*E16,0)</f>
        <v/>
      </c>
      <c r="AA16" s="34">
        <f>Q16*E16</f>
        <v/>
      </c>
      <c r="AB16" s="34">
        <f>IFERROR(G16*WeeksYear/(G16*CurrentCoverWks)*OrderCost+G16*CurrentCoverWks/2*E16*HoldRate,0)</f>
        <v/>
      </c>
      <c r="AC16" s="34">
        <f>IFERROR(G16*WeeksYear/S16*OrderCost+S16/2*E16*HoldRate,0)</f>
        <v/>
      </c>
      <c r="AD16" s="34">
        <f>AB16-AC16</f>
        <v/>
      </c>
      <c r="AE16" s="36">
        <f>IFERROR(INDEX(SegStrategy,MATCH(N16,SegList,0)),"")</f>
        <v/>
      </c>
      <c r="AF16" s="36">
        <f>IF(D16=SimSupplier,COUNTIF($D$5:D16,SimSupplier),"")</f>
        <v/>
      </c>
      <c r="AG16" s="36">
        <f>IF(OR(X16="Critical - expedite",X16="Order now"),COUNTIF($X$5:X16,"Critical - expedite")+COUNTIF($X$5:X16,"Order now"),"")</f>
        <v/>
      </c>
    </row>
    <row r="17">
      <c r="A17" s="30">
        <f>Products!A14</f>
        <v/>
      </c>
      <c r="B17" s="30">
        <f>Products!B14</f>
        <v/>
      </c>
      <c r="C17" s="30">
        <f>Products!C14</f>
        <v/>
      </c>
      <c r="D17" s="30">
        <f>Products!E14</f>
        <v/>
      </c>
      <c r="E17" s="31">
        <f>Products!D14</f>
        <v/>
      </c>
      <c r="F17" s="32">
        <f>SUMIFS(D_Units,D_SKU,A17,D_Last52,1)</f>
        <v/>
      </c>
      <c r="G17" s="33">
        <f>IFERROR(AVERAGEIFS(D_Units,D_SKU,A17,D_Last52,1),0)</f>
        <v/>
      </c>
      <c r="H17" s="33">
        <f>IFERROR(SQRT(MAX(0,(SUMIFS(D_Units2,D_SKU,A17)-COUNTIFS(D_SKU,A17,D_Last52,1)*G17^2)/(COUNTIFS(D_SKU,A17,D_Last52,1)-1))),0)</f>
        <v/>
      </c>
      <c r="I17" s="34">
        <f>F17*E17</f>
        <v/>
      </c>
      <c r="J17" s="35">
        <f>IFERROR(SUMIF($I$5:$I$53,"&gt;"&amp;I17)/SUM($I$5:$I$53),0)</f>
        <v/>
      </c>
      <c r="K17" s="36">
        <f>IF(J17&lt;ACut,"A",IF(J17&lt;BCut,"B","C"))</f>
        <v/>
      </c>
      <c r="L17" s="37">
        <f>IFERROR(H17/G17,0)</f>
        <v/>
      </c>
      <c r="M17" s="36">
        <f>IF(L17&lt;=XMaxCV,"X",IF(L17&lt;=YMaxCV,"Y","Z"))</f>
        <v/>
      </c>
      <c r="N17" s="36">
        <f>K17&amp;M17</f>
        <v/>
      </c>
      <c r="O17" s="33">
        <f>IFERROR(INDEX(SC_LT,MATCH(D17,SC_ID,0)),0)</f>
        <v/>
      </c>
      <c r="P17" s="33">
        <f>IFERROR(INDEX(SC_LTStd,MATCH(D17,SC_ID,0)),0)</f>
        <v/>
      </c>
      <c r="Q17" s="32">
        <f>ROUNDUP(z*SQRT(O17*H17^2+G17^2*P17^2),0)</f>
        <v/>
      </c>
      <c r="R17" s="32">
        <f>ROUNDUP(G17*O17+Q17,0)</f>
        <v/>
      </c>
      <c r="S17" s="32">
        <f>IFERROR(ROUNDUP(SQRT(2*G17*WeeksYear*OrderCost/(E17*HoldRate)),0),0)</f>
        <v/>
      </c>
      <c r="T17" s="32">
        <f>IFERROR(INDEX(Inventory!$B:$B,MATCH(A17,Inventory!$A:$A,0)),0)</f>
        <v/>
      </c>
      <c r="U17" s="32">
        <f>IFERROR(INDEX(Inventory!$C:$C,MATCH(A17,Inventory!$A:$A,0)),0)</f>
        <v/>
      </c>
      <c r="V17" s="32">
        <f>T17+U17</f>
        <v/>
      </c>
      <c r="W17" s="33">
        <f>IFERROR(T17/G17,0)</f>
        <v/>
      </c>
      <c r="X17" s="36">
        <f>IF(V17&lt;Q17,"Critical - expedite",IF(V17&lt;=R17,"Order now",IF(V17&gt;R17+S17,"Overstock","Healthy")))</f>
        <v/>
      </c>
      <c r="Y17" s="32">
        <f>IF(OR(X17="Critical - expedite",X17="Order now"),MAX(S17,R17+S17-V17),0)</f>
        <v/>
      </c>
      <c r="Z17" s="34">
        <f>IF(X17="Overstock",(V17-R17-S17)*E17,0)</f>
        <v/>
      </c>
      <c r="AA17" s="34">
        <f>Q17*E17</f>
        <v/>
      </c>
      <c r="AB17" s="34">
        <f>IFERROR(G17*WeeksYear/(G17*CurrentCoverWks)*OrderCost+G17*CurrentCoverWks/2*E17*HoldRate,0)</f>
        <v/>
      </c>
      <c r="AC17" s="34">
        <f>IFERROR(G17*WeeksYear/S17*OrderCost+S17/2*E17*HoldRate,0)</f>
        <v/>
      </c>
      <c r="AD17" s="34">
        <f>AB17-AC17</f>
        <v/>
      </c>
      <c r="AE17" s="36">
        <f>IFERROR(INDEX(SegStrategy,MATCH(N17,SegList,0)),"")</f>
        <v/>
      </c>
      <c r="AF17" s="36">
        <f>IF(D17=SimSupplier,COUNTIF($D$5:D17,SimSupplier),"")</f>
        <v/>
      </c>
      <c r="AG17" s="36">
        <f>IF(OR(X17="Critical - expedite",X17="Order now"),COUNTIF($X$5:X17,"Critical - expedite")+COUNTIF($X$5:X17,"Order now"),"")</f>
        <v/>
      </c>
    </row>
    <row r="18">
      <c r="A18" s="30">
        <f>Products!A15</f>
        <v/>
      </c>
      <c r="B18" s="30">
        <f>Products!B15</f>
        <v/>
      </c>
      <c r="C18" s="30">
        <f>Products!C15</f>
        <v/>
      </c>
      <c r="D18" s="30">
        <f>Products!E15</f>
        <v/>
      </c>
      <c r="E18" s="31">
        <f>Products!D15</f>
        <v/>
      </c>
      <c r="F18" s="32">
        <f>SUMIFS(D_Units,D_SKU,A18,D_Last52,1)</f>
        <v/>
      </c>
      <c r="G18" s="33">
        <f>IFERROR(AVERAGEIFS(D_Units,D_SKU,A18,D_Last52,1),0)</f>
        <v/>
      </c>
      <c r="H18" s="33">
        <f>IFERROR(SQRT(MAX(0,(SUMIFS(D_Units2,D_SKU,A18)-COUNTIFS(D_SKU,A18,D_Last52,1)*G18^2)/(COUNTIFS(D_SKU,A18,D_Last52,1)-1))),0)</f>
        <v/>
      </c>
      <c r="I18" s="34">
        <f>F18*E18</f>
        <v/>
      </c>
      <c r="J18" s="35">
        <f>IFERROR(SUMIF($I$5:$I$53,"&gt;"&amp;I18)/SUM($I$5:$I$53),0)</f>
        <v/>
      </c>
      <c r="K18" s="36">
        <f>IF(J18&lt;ACut,"A",IF(J18&lt;BCut,"B","C"))</f>
        <v/>
      </c>
      <c r="L18" s="37">
        <f>IFERROR(H18/G18,0)</f>
        <v/>
      </c>
      <c r="M18" s="36">
        <f>IF(L18&lt;=XMaxCV,"X",IF(L18&lt;=YMaxCV,"Y","Z"))</f>
        <v/>
      </c>
      <c r="N18" s="36">
        <f>K18&amp;M18</f>
        <v/>
      </c>
      <c r="O18" s="33">
        <f>IFERROR(INDEX(SC_LT,MATCH(D18,SC_ID,0)),0)</f>
        <v/>
      </c>
      <c r="P18" s="33">
        <f>IFERROR(INDEX(SC_LTStd,MATCH(D18,SC_ID,0)),0)</f>
        <v/>
      </c>
      <c r="Q18" s="32">
        <f>ROUNDUP(z*SQRT(O18*H18^2+G18^2*P18^2),0)</f>
        <v/>
      </c>
      <c r="R18" s="32">
        <f>ROUNDUP(G18*O18+Q18,0)</f>
        <v/>
      </c>
      <c r="S18" s="32">
        <f>IFERROR(ROUNDUP(SQRT(2*G18*WeeksYear*OrderCost/(E18*HoldRate)),0),0)</f>
        <v/>
      </c>
      <c r="T18" s="32">
        <f>IFERROR(INDEX(Inventory!$B:$B,MATCH(A18,Inventory!$A:$A,0)),0)</f>
        <v/>
      </c>
      <c r="U18" s="32">
        <f>IFERROR(INDEX(Inventory!$C:$C,MATCH(A18,Inventory!$A:$A,0)),0)</f>
        <v/>
      </c>
      <c r="V18" s="32">
        <f>T18+U18</f>
        <v/>
      </c>
      <c r="W18" s="33">
        <f>IFERROR(T18/G18,0)</f>
        <v/>
      </c>
      <c r="X18" s="36">
        <f>IF(V18&lt;Q18,"Critical - expedite",IF(V18&lt;=R18,"Order now",IF(V18&gt;R18+S18,"Overstock","Healthy")))</f>
        <v/>
      </c>
      <c r="Y18" s="32">
        <f>IF(OR(X18="Critical - expedite",X18="Order now"),MAX(S18,R18+S18-V18),0)</f>
        <v/>
      </c>
      <c r="Z18" s="34">
        <f>IF(X18="Overstock",(V18-R18-S18)*E18,0)</f>
        <v/>
      </c>
      <c r="AA18" s="34">
        <f>Q18*E18</f>
        <v/>
      </c>
      <c r="AB18" s="34">
        <f>IFERROR(G18*WeeksYear/(G18*CurrentCoverWks)*OrderCost+G18*CurrentCoverWks/2*E18*HoldRate,0)</f>
        <v/>
      </c>
      <c r="AC18" s="34">
        <f>IFERROR(G18*WeeksYear/S18*OrderCost+S18/2*E18*HoldRate,0)</f>
        <v/>
      </c>
      <c r="AD18" s="34">
        <f>AB18-AC18</f>
        <v/>
      </c>
      <c r="AE18" s="36">
        <f>IFERROR(INDEX(SegStrategy,MATCH(N18,SegList,0)),"")</f>
        <v/>
      </c>
      <c r="AF18" s="36">
        <f>IF(D18=SimSupplier,COUNTIF($D$5:D18,SimSupplier),"")</f>
        <v/>
      </c>
      <c r="AG18" s="36">
        <f>IF(OR(X18="Critical - expedite",X18="Order now"),COUNTIF($X$5:X18,"Critical - expedite")+COUNTIF($X$5:X18,"Order now"),"")</f>
        <v/>
      </c>
    </row>
    <row r="19">
      <c r="A19" s="30">
        <f>Products!A16</f>
        <v/>
      </c>
      <c r="B19" s="30">
        <f>Products!B16</f>
        <v/>
      </c>
      <c r="C19" s="30">
        <f>Products!C16</f>
        <v/>
      </c>
      <c r="D19" s="30">
        <f>Products!E16</f>
        <v/>
      </c>
      <c r="E19" s="31">
        <f>Products!D16</f>
        <v/>
      </c>
      <c r="F19" s="32">
        <f>SUMIFS(D_Units,D_SKU,A19,D_Last52,1)</f>
        <v/>
      </c>
      <c r="G19" s="33">
        <f>IFERROR(AVERAGEIFS(D_Units,D_SKU,A19,D_Last52,1),0)</f>
        <v/>
      </c>
      <c r="H19" s="33">
        <f>IFERROR(SQRT(MAX(0,(SUMIFS(D_Units2,D_SKU,A19)-COUNTIFS(D_SKU,A19,D_Last52,1)*G19^2)/(COUNTIFS(D_SKU,A19,D_Last52,1)-1))),0)</f>
        <v/>
      </c>
      <c r="I19" s="34">
        <f>F19*E19</f>
        <v/>
      </c>
      <c r="J19" s="35">
        <f>IFERROR(SUMIF($I$5:$I$53,"&gt;"&amp;I19)/SUM($I$5:$I$53),0)</f>
        <v/>
      </c>
      <c r="K19" s="36">
        <f>IF(J19&lt;ACut,"A",IF(J19&lt;BCut,"B","C"))</f>
        <v/>
      </c>
      <c r="L19" s="37">
        <f>IFERROR(H19/G19,0)</f>
        <v/>
      </c>
      <c r="M19" s="36">
        <f>IF(L19&lt;=XMaxCV,"X",IF(L19&lt;=YMaxCV,"Y","Z"))</f>
        <v/>
      </c>
      <c r="N19" s="36">
        <f>K19&amp;M19</f>
        <v/>
      </c>
      <c r="O19" s="33">
        <f>IFERROR(INDEX(SC_LT,MATCH(D19,SC_ID,0)),0)</f>
        <v/>
      </c>
      <c r="P19" s="33">
        <f>IFERROR(INDEX(SC_LTStd,MATCH(D19,SC_ID,0)),0)</f>
        <v/>
      </c>
      <c r="Q19" s="32">
        <f>ROUNDUP(z*SQRT(O19*H19^2+G19^2*P19^2),0)</f>
        <v/>
      </c>
      <c r="R19" s="32">
        <f>ROUNDUP(G19*O19+Q19,0)</f>
        <v/>
      </c>
      <c r="S19" s="32">
        <f>IFERROR(ROUNDUP(SQRT(2*G19*WeeksYear*OrderCost/(E19*HoldRate)),0),0)</f>
        <v/>
      </c>
      <c r="T19" s="32">
        <f>IFERROR(INDEX(Inventory!$B:$B,MATCH(A19,Inventory!$A:$A,0)),0)</f>
        <v/>
      </c>
      <c r="U19" s="32">
        <f>IFERROR(INDEX(Inventory!$C:$C,MATCH(A19,Inventory!$A:$A,0)),0)</f>
        <v/>
      </c>
      <c r="V19" s="32">
        <f>T19+U19</f>
        <v/>
      </c>
      <c r="W19" s="33">
        <f>IFERROR(T19/G19,0)</f>
        <v/>
      </c>
      <c r="X19" s="36">
        <f>IF(V19&lt;Q19,"Critical - expedite",IF(V19&lt;=R19,"Order now",IF(V19&gt;R19+S19,"Overstock","Healthy")))</f>
        <v/>
      </c>
      <c r="Y19" s="32">
        <f>IF(OR(X19="Critical - expedite",X19="Order now"),MAX(S19,R19+S19-V19),0)</f>
        <v/>
      </c>
      <c r="Z19" s="34">
        <f>IF(X19="Overstock",(V19-R19-S19)*E19,0)</f>
        <v/>
      </c>
      <c r="AA19" s="34">
        <f>Q19*E19</f>
        <v/>
      </c>
      <c r="AB19" s="34">
        <f>IFERROR(G19*WeeksYear/(G19*CurrentCoverWks)*OrderCost+G19*CurrentCoverWks/2*E19*HoldRate,0)</f>
        <v/>
      </c>
      <c r="AC19" s="34">
        <f>IFERROR(G19*WeeksYear/S19*OrderCost+S19/2*E19*HoldRate,0)</f>
        <v/>
      </c>
      <c r="AD19" s="34">
        <f>AB19-AC19</f>
        <v/>
      </c>
      <c r="AE19" s="36">
        <f>IFERROR(INDEX(SegStrategy,MATCH(N19,SegList,0)),"")</f>
        <v/>
      </c>
      <c r="AF19" s="36">
        <f>IF(D19=SimSupplier,COUNTIF($D$5:D19,SimSupplier),"")</f>
        <v/>
      </c>
      <c r="AG19" s="36">
        <f>IF(OR(X19="Critical - expedite",X19="Order now"),COUNTIF($X$5:X19,"Critical - expedite")+COUNTIF($X$5:X19,"Order now"),"")</f>
        <v/>
      </c>
    </row>
    <row r="20">
      <c r="A20" s="30">
        <f>Products!A17</f>
        <v/>
      </c>
      <c r="B20" s="30">
        <f>Products!B17</f>
        <v/>
      </c>
      <c r="C20" s="30">
        <f>Products!C17</f>
        <v/>
      </c>
      <c r="D20" s="30">
        <f>Products!E17</f>
        <v/>
      </c>
      <c r="E20" s="31">
        <f>Products!D17</f>
        <v/>
      </c>
      <c r="F20" s="32">
        <f>SUMIFS(D_Units,D_SKU,A20,D_Last52,1)</f>
        <v/>
      </c>
      <c r="G20" s="33">
        <f>IFERROR(AVERAGEIFS(D_Units,D_SKU,A20,D_Last52,1),0)</f>
        <v/>
      </c>
      <c r="H20" s="33">
        <f>IFERROR(SQRT(MAX(0,(SUMIFS(D_Units2,D_SKU,A20)-COUNTIFS(D_SKU,A20,D_Last52,1)*G20^2)/(COUNTIFS(D_SKU,A20,D_Last52,1)-1))),0)</f>
        <v/>
      </c>
      <c r="I20" s="34">
        <f>F20*E20</f>
        <v/>
      </c>
      <c r="J20" s="35">
        <f>IFERROR(SUMIF($I$5:$I$53,"&gt;"&amp;I20)/SUM($I$5:$I$53),0)</f>
        <v/>
      </c>
      <c r="K20" s="36">
        <f>IF(J20&lt;ACut,"A",IF(J20&lt;BCut,"B","C"))</f>
        <v/>
      </c>
      <c r="L20" s="37">
        <f>IFERROR(H20/G20,0)</f>
        <v/>
      </c>
      <c r="M20" s="36">
        <f>IF(L20&lt;=XMaxCV,"X",IF(L20&lt;=YMaxCV,"Y","Z"))</f>
        <v/>
      </c>
      <c r="N20" s="36">
        <f>K20&amp;M20</f>
        <v/>
      </c>
      <c r="O20" s="33">
        <f>IFERROR(INDEX(SC_LT,MATCH(D20,SC_ID,0)),0)</f>
        <v/>
      </c>
      <c r="P20" s="33">
        <f>IFERROR(INDEX(SC_LTStd,MATCH(D20,SC_ID,0)),0)</f>
        <v/>
      </c>
      <c r="Q20" s="32">
        <f>ROUNDUP(z*SQRT(O20*H20^2+G20^2*P20^2),0)</f>
        <v/>
      </c>
      <c r="R20" s="32">
        <f>ROUNDUP(G20*O20+Q20,0)</f>
        <v/>
      </c>
      <c r="S20" s="32">
        <f>IFERROR(ROUNDUP(SQRT(2*G20*WeeksYear*OrderCost/(E20*HoldRate)),0),0)</f>
        <v/>
      </c>
      <c r="T20" s="32">
        <f>IFERROR(INDEX(Inventory!$B:$B,MATCH(A20,Inventory!$A:$A,0)),0)</f>
        <v/>
      </c>
      <c r="U20" s="32">
        <f>IFERROR(INDEX(Inventory!$C:$C,MATCH(A20,Inventory!$A:$A,0)),0)</f>
        <v/>
      </c>
      <c r="V20" s="32">
        <f>T20+U20</f>
        <v/>
      </c>
      <c r="W20" s="33">
        <f>IFERROR(T20/G20,0)</f>
        <v/>
      </c>
      <c r="X20" s="36">
        <f>IF(V20&lt;Q20,"Critical - expedite",IF(V20&lt;=R20,"Order now",IF(V20&gt;R20+S20,"Overstock","Healthy")))</f>
        <v/>
      </c>
      <c r="Y20" s="32">
        <f>IF(OR(X20="Critical - expedite",X20="Order now"),MAX(S20,R20+S20-V20),0)</f>
        <v/>
      </c>
      <c r="Z20" s="34">
        <f>IF(X20="Overstock",(V20-R20-S20)*E20,0)</f>
        <v/>
      </c>
      <c r="AA20" s="34">
        <f>Q20*E20</f>
        <v/>
      </c>
      <c r="AB20" s="34">
        <f>IFERROR(G20*WeeksYear/(G20*CurrentCoverWks)*OrderCost+G20*CurrentCoverWks/2*E20*HoldRate,0)</f>
        <v/>
      </c>
      <c r="AC20" s="34">
        <f>IFERROR(G20*WeeksYear/S20*OrderCost+S20/2*E20*HoldRate,0)</f>
        <v/>
      </c>
      <c r="AD20" s="34">
        <f>AB20-AC20</f>
        <v/>
      </c>
      <c r="AE20" s="36">
        <f>IFERROR(INDEX(SegStrategy,MATCH(N20,SegList,0)),"")</f>
        <v/>
      </c>
      <c r="AF20" s="36">
        <f>IF(D20=SimSupplier,COUNTIF($D$5:D20,SimSupplier),"")</f>
        <v/>
      </c>
      <c r="AG20" s="36">
        <f>IF(OR(X20="Critical - expedite",X20="Order now"),COUNTIF($X$5:X20,"Critical - expedite")+COUNTIF($X$5:X20,"Order now"),"")</f>
        <v/>
      </c>
    </row>
    <row r="21">
      <c r="A21" s="30">
        <f>Products!A18</f>
        <v/>
      </c>
      <c r="B21" s="30">
        <f>Products!B18</f>
        <v/>
      </c>
      <c r="C21" s="30">
        <f>Products!C18</f>
        <v/>
      </c>
      <c r="D21" s="30">
        <f>Products!E18</f>
        <v/>
      </c>
      <c r="E21" s="31">
        <f>Products!D18</f>
        <v/>
      </c>
      <c r="F21" s="32">
        <f>SUMIFS(D_Units,D_SKU,A21,D_Last52,1)</f>
        <v/>
      </c>
      <c r="G21" s="33">
        <f>IFERROR(AVERAGEIFS(D_Units,D_SKU,A21,D_Last52,1),0)</f>
        <v/>
      </c>
      <c r="H21" s="33">
        <f>IFERROR(SQRT(MAX(0,(SUMIFS(D_Units2,D_SKU,A21)-COUNTIFS(D_SKU,A21,D_Last52,1)*G21^2)/(COUNTIFS(D_SKU,A21,D_Last52,1)-1))),0)</f>
        <v/>
      </c>
      <c r="I21" s="34">
        <f>F21*E21</f>
        <v/>
      </c>
      <c r="J21" s="35">
        <f>IFERROR(SUMIF($I$5:$I$53,"&gt;"&amp;I21)/SUM($I$5:$I$53),0)</f>
        <v/>
      </c>
      <c r="K21" s="36">
        <f>IF(J21&lt;ACut,"A",IF(J21&lt;BCut,"B","C"))</f>
        <v/>
      </c>
      <c r="L21" s="37">
        <f>IFERROR(H21/G21,0)</f>
        <v/>
      </c>
      <c r="M21" s="36">
        <f>IF(L21&lt;=XMaxCV,"X",IF(L21&lt;=YMaxCV,"Y","Z"))</f>
        <v/>
      </c>
      <c r="N21" s="36">
        <f>K21&amp;M21</f>
        <v/>
      </c>
      <c r="O21" s="33">
        <f>IFERROR(INDEX(SC_LT,MATCH(D21,SC_ID,0)),0)</f>
        <v/>
      </c>
      <c r="P21" s="33">
        <f>IFERROR(INDEX(SC_LTStd,MATCH(D21,SC_ID,0)),0)</f>
        <v/>
      </c>
      <c r="Q21" s="32">
        <f>ROUNDUP(z*SQRT(O21*H21^2+G21^2*P21^2),0)</f>
        <v/>
      </c>
      <c r="R21" s="32">
        <f>ROUNDUP(G21*O21+Q21,0)</f>
        <v/>
      </c>
      <c r="S21" s="32">
        <f>IFERROR(ROUNDUP(SQRT(2*G21*WeeksYear*OrderCost/(E21*HoldRate)),0),0)</f>
        <v/>
      </c>
      <c r="T21" s="32">
        <f>IFERROR(INDEX(Inventory!$B:$B,MATCH(A21,Inventory!$A:$A,0)),0)</f>
        <v/>
      </c>
      <c r="U21" s="32">
        <f>IFERROR(INDEX(Inventory!$C:$C,MATCH(A21,Inventory!$A:$A,0)),0)</f>
        <v/>
      </c>
      <c r="V21" s="32">
        <f>T21+U21</f>
        <v/>
      </c>
      <c r="W21" s="33">
        <f>IFERROR(T21/G21,0)</f>
        <v/>
      </c>
      <c r="X21" s="36">
        <f>IF(V21&lt;Q21,"Critical - expedite",IF(V21&lt;=R21,"Order now",IF(V21&gt;R21+S21,"Overstock","Healthy")))</f>
        <v/>
      </c>
      <c r="Y21" s="32">
        <f>IF(OR(X21="Critical - expedite",X21="Order now"),MAX(S21,R21+S21-V21),0)</f>
        <v/>
      </c>
      <c r="Z21" s="34">
        <f>IF(X21="Overstock",(V21-R21-S21)*E21,0)</f>
        <v/>
      </c>
      <c r="AA21" s="34">
        <f>Q21*E21</f>
        <v/>
      </c>
      <c r="AB21" s="34">
        <f>IFERROR(G21*WeeksYear/(G21*CurrentCoverWks)*OrderCost+G21*CurrentCoverWks/2*E21*HoldRate,0)</f>
        <v/>
      </c>
      <c r="AC21" s="34">
        <f>IFERROR(G21*WeeksYear/S21*OrderCost+S21/2*E21*HoldRate,0)</f>
        <v/>
      </c>
      <c r="AD21" s="34">
        <f>AB21-AC21</f>
        <v/>
      </c>
      <c r="AE21" s="36">
        <f>IFERROR(INDEX(SegStrategy,MATCH(N21,SegList,0)),"")</f>
        <v/>
      </c>
      <c r="AF21" s="36">
        <f>IF(D21=SimSupplier,COUNTIF($D$5:D21,SimSupplier),"")</f>
        <v/>
      </c>
      <c r="AG21" s="36">
        <f>IF(OR(X21="Critical - expedite",X21="Order now"),COUNTIF($X$5:X21,"Critical - expedite")+COUNTIF($X$5:X21,"Order now"),"")</f>
        <v/>
      </c>
    </row>
    <row r="22">
      <c r="A22" s="30">
        <f>Products!A19</f>
        <v/>
      </c>
      <c r="B22" s="30">
        <f>Products!B19</f>
        <v/>
      </c>
      <c r="C22" s="30">
        <f>Products!C19</f>
        <v/>
      </c>
      <c r="D22" s="30">
        <f>Products!E19</f>
        <v/>
      </c>
      <c r="E22" s="31">
        <f>Products!D19</f>
        <v/>
      </c>
      <c r="F22" s="32">
        <f>SUMIFS(D_Units,D_SKU,A22,D_Last52,1)</f>
        <v/>
      </c>
      <c r="G22" s="33">
        <f>IFERROR(AVERAGEIFS(D_Units,D_SKU,A22,D_Last52,1),0)</f>
        <v/>
      </c>
      <c r="H22" s="33">
        <f>IFERROR(SQRT(MAX(0,(SUMIFS(D_Units2,D_SKU,A22)-COUNTIFS(D_SKU,A22,D_Last52,1)*G22^2)/(COUNTIFS(D_SKU,A22,D_Last52,1)-1))),0)</f>
        <v/>
      </c>
      <c r="I22" s="34">
        <f>F22*E22</f>
        <v/>
      </c>
      <c r="J22" s="35">
        <f>IFERROR(SUMIF($I$5:$I$53,"&gt;"&amp;I22)/SUM($I$5:$I$53),0)</f>
        <v/>
      </c>
      <c r="K22" s="36">
        <f>IF(J22&lt;ACut,"A",IF(J22&lt;BCut,"B","C"))</f>
        <v/>
      </c>
      <c r="L22" s="37">
        <f>IFERROR(H22/G22,0)</f>
        <v/>
      </c>
      <c r="M22" s="36">
        <f>IF(L22&lt;=XMaxCV,"X",IF(L22&lt;=YMaxCV,"Y","Z"))</f>
        <v/>
      </c>
      <c r="N22" s="36">
        <f>K22&amp;M22</f>
        <v/>
      </c>
      <c r="O22" s="33">
        <f>IFERROR(INDEX(SC_LT,MATCH(D22,SC_ID,0)),0)</f>
        <v/>
      </c>
      <c r="P22" s="33">
        <f>IFERROR(INDEX(SC_LTStd,MATCH(D22,SC_ID,0)),0)</f>
        <v/>
      </c>
      <c r="Q22" s="32">
        <f>ROUNDUP(z*SQRT(O22*H22^2+G22^2*P22^2),0)</f>
        <v/>
      </c>
      <c r="R22" s="32">
        <f>ROUNDUP(G22*O22+Q22,0)</f>
        <v/>
      </c>
      <c r="S22" s="32">
        <f>IFERROR(ROUNDUP(SQRT(2*G22*WeeksYear*OrderCost/(E22*HoldRate)),0),0)</f>
        <v/>
      </c>
      <c r="T22" s="32">
        <f>IFERROR(INDEX(Inventory!$B:$B,MATCH(A22,Inventory!$A:$A,0)),0)</f>
        <v/>
      </c>
      <c r="U22" s="32">
        <f>IFERROR(INDEX(Inventory!$C:$C,MATCH(A22,Inventory!$A:$A,0)),0)</f>
        <v/>
      </c>
      <c r="V22" s="32">
        <f>T22+U22</f>
        <v/>
      </c>
      <c r="W22" s="33">
        <f>IFERROR(T22/G22,0)</f>
        <v/>
      </c>
      <c r="X22" s="36">
        <f>IF(V22&lt;Q22,"Critical - expedite",IF(V22&lt;=R22,"Order now",IF(V22&gt;R22+S22,"Overstock","Healthy")))</f>
        <v/>
      </c>
      <c r="Y22" s="32">
        <f>IF(OR(X22="Critical - expedite",X22="Order now"),MAX(S22,R22+S22-V22),0)</f>
        <v/>
      </c>
      <c r="Z22" s="34">
        <f>IF(X22="Overstock",(V22-R22-S22)*E22,0)</f>
        <v/>
      </c>
      <c r="AA22" s="34">
        <f>Q22*E22</f>
        <v/>
      </c>
      <c r="AB22" s="34">
        <f>IFERROR(G22*WeeksYear/(G22*CurrentCoverWks)*OrderCost+G22*CurrentCoverWks/2*E22*HoldRate,0)</f>
        <v/>
      </c>
      <c r="AC22" s="34">
        <f>IFERROR(G22*WeeksYear/S22*OrderCost+S22/2*E22*HoldRate,0)</f>
        <v/>
      </c>
      <c r="AD22" s="34">
        <f>AB22-AC22</f>
        <v/>
      </c>
      <c r="AE22" s="36">
        <f>IFERROR(INDEX(SegStrategy,MATCH(N22,SegList,0)),"")</f>
        <v/>
      </c>
      <c r="AF22" s="36">
        <f>IF(D22=SimSupplier,COUNTIF($D$5:D22,SimSupplier),"")</f>
        <v/>
      </c>
      <c r="AG22" s="36">
        <f>IF(OR(X22="Critical - expedite",X22="Order now"),COUNTIF($X$5:X22,"Critical - expedite")+COUNTIF($X$5:X22,"Order now"),"")</f>
        <v/>
      </c>
    </row>
    <row r="23">
      <c r="A23" s="30">
        <f>Products!A20</f>
        <v/>
      </c>
      <c r="B23" s="30">
        <f>Products!B20</f>
        <v/>
      </c>
      <c r="C23" s="30">
        <f>Products!C20</f>
        <v/>
      </c>
      <c r="D23" s="30">
        <f>Products!E20</f>
        <v/>
      </c>
      <c r="E23" s="31">
        <f>Products!D20</f>
        <v/>
      </c>
      <c r="F23" s="32">
        <f>SUMIFS(D_Units,D_SKU,A23,D_Last52,1)</f>
        <v/>
      </c>
      <c r="G23" s="33">
        <f>IFERROR(AVERAGEIFS(D_Units,D_SKU,A23,D_Last52,1),0)</f>
        <v/>
      </c>
      <c r="H23" s="33">
        <f>IFERROR(SQRT(MAX(0,(SUMIFS(D_Units2,D_SKU,A23)-COUNTIFS(D_SKU,A23,D_Last52,1)*G23^2)/(COUNTIFS(D_SKU,A23,D_Last52,1)-1))),0)</f>
        <v/>
      </c>
      <c r="I23" s="34">
        <f>F23*E23</f>
        <v/>
      </c>
      <c r="J23" s="35">
        <f>IFERROR(SUMIF($I$5:$I$53,"&gt;"&amp;I23)/SUM($I$5:$I$53),0)</f>
        <v/>
      </c>
      <c r="K23" s="36">
        <f>IF(J23&lt;ACut,"A",IF(J23&lt;BCut,"B","C"))</f>
        <v/>
      </c>
      <c r="L23" s="37">
        <f>IFERROR(H23/G23,0)</f>
        <v/>
      </c>
      <c r="M23" s="36">
        <f>IF(L23&lt;=XMaxCV,"X",IF(L23&lt;=YMaxCV,"Y","Z"))</f>
        <v/>
      </c>
      <c r="N23" s="36">
        <f>K23&amp;M23</f>
        <v/>
      </c>
      <c r="O23" s="33">
        <f>IFERROR(INDEX(SC_LT,MATCH(D23,SC_ID,0)),0)</f>
        <v/>
      </c>
      <c r="P23" s="33">
        <f>IFERROR(INDEX(SC_LTStd,MATCH(D23,SC_ID,0)),0)</f>
        <v/>
      </c>
      <c r="Q23" s="32">
        <f>ROUNDUP(z*SQRT(O23*H23^2+G23^2*P23^2),0)</f>
        <v/>
      </c>
      <c r="R23" s="32">
        <f>ROUNDUP(G23*O23+Q23,0)</f>
        <v/>
      </c>
      <c r="S23" s="32">
        <f>IFERROR(ROUNDUP(SQRT(2*G23*WeeksYear*OrderCost/(E23*HoldRate)),0),0)</f>
        <v/>
      </c>
      <c r="T23" s="32">
        <f>IFERROR(INDEX(Inventory!$B:$B,MATCH(A23,Inventory!$A:$A,0)),0)</f>
        <v/>
      </c>
      <c r="U23" s="32">
        <f>IFERROR(INDEX(Inventory!$C:$C,MATCH(A23,Inventory!$A:$A,0)),0)</f>
        <v/>
      </c>
      <c r="V23" s="32">
        <f>T23+U23</f>
        <v/>
      </c>
      <c r="W23" s="33">
        <f>IFERROR(T23/G23,0)</f>
        <v/>
      </c>
      <c r="X23" s="36">
        <f>IF(V23&lt;Q23,"Critical - expedite",IF(V23&lt;=R23,"Order now",IF(V23&gt;R23+S23,"Overstock","Healthy")))</f>
        <v/>
      </c>
      <c r="Y23" s="32">
        <f>IF(OR(X23="Critical - expedite",X23="Order now"),MAX(S23,R23+S23-V23),0)</f>
        <v/>
      </c>
      <c r="Z23" s="34">
        <f>IF(X23="Overstock",(V23-R23-S23)*E23,0)</f>
        <v/>
      </c>
      <c r="AA23" s="34">
        <f>Q23*E23</f>
        <v/>
      </c>
      <c r="AB23" s="34">
        <f>IFERROR(G23*WeeksYear/(G23*CurrentCoverWks)*OrderCost+G23*CurrentCoverWks/2*E23*HoldRate,0)</f>
        <v/>
      </c>
      <c r="AC23" s="34">
        <f>IFERROR(G23*WeeksYear/S23*OrderCost+S23/2*E23*HoldRate,0)</f>
        <v/>
      </c>
      <c r="AD23" s="34">
        <f>AB23-AC23</f>
        <v/>
      </c>
      <c r="AE23" s="36">
        <f>IFERROR(INDEX(SegStrategy,MATCH(N23,SegList,0)),"")</f>
        <v/>
      </c>
      <c r="AF23" s="36">
        <f>IF(D23=SimSupplier,COUNTIF($D$5:D23,SimSupplier),"")</f>
        <v/>
      </c>
      <c r="AG23" s="36">
        <f>IF(OR(X23="Critical - expedite",X23="Order now"),COUNTIF($X$5:X23,"Critical - expedite")+COUNTIF($X$5:X23,"Order now"),"")</f>
        <v/>
      </c>
    </row>
    <row r="24">
      <c r="A24" s="30">
        <f>Products!A21</f>
        <v/>
      </c>
      <c r="B24" s="30">
        <f>Products!B21</f>
        <v/>
      </c>
      <c r="C24" s="30">
        <f>Products!C21</f>
        <v/>
      </c>
      <c r="D24" s="30">
        <f>Products!E21</f>
        <v/>
      </c>
      <c r="E24" s="31">
        <f>Products!D21</f>
        <v/>
      </c>
      <c r="F24" s="32">
        <f>SUMIFS(D_Units,D_SKU,A24,D_Last52,1)</f>
        <v/>
      </c>
      <c r="G24" s="33">
        <f>IFERROR(AVERAGEIFS(D_Units,D_SKU,A24,D_Last52,1),0)</f>
        <v/>
      </c>
      <c r="H24" s="33">
        <f>IFERROR(SQRT(MAX(0,(SUMIFS(D_Units2,D_SKU,A24)-COUNTIFS(D_SKU,A24,D_Last52,1)*G24^2)/(COUNTIFS(D_SKU,A24,D_Last52,1)-1))),0)</f>
        <v/>
      </c>
      <c r="I24" s="34">
        <f>F24*E24</f>
        <v/>
      </c>
      <c r="J24" s="35">
        <f>IFERROR(SUMIF($I$5:$I$53,"&gt;"&amp;I24)/SUM($I$5:$I$53),0)</f>
        <v/>
      </c>
      <c r="K24" s="36">
        <f>IF(J24&lt;ACut,"A",IF(J24&lt;BCut,"B","C"))</f>
        <v/>
      </c>
      <c r="L24" s="37">
        <f>IFERROR(H24/G24,0)</f>
        <v/>
      </c>
      <c r="M24" s="36">
        <f>IF(L24&lt;=XMaxCV,"X",IF(L24&lt;=YMaxCV,"Y","Z"))</f>
        <v/>
      </c>
      <c r="N24" s="36">
        <f>K24&amp;M24</f>
        <v/>
      </c>
      <c r="O24" s="33">
        <f>IFERROR(INDEX(SC_LT,MATCH(D24,SC_ID,0)),0)</f>
        <v/>
      </c>
      <c r="P24" s="33">
        <f>IFERROR(INDEX(SC_LTStd,MATCH(D24,SC_ID,0)),0)</f>
        <v/>
      </c>
      <c r="Q24" s="32">
        <f>ROUNDUP(z*SQRT(O24*H24^2+G24^2*P24^2),0)</f>
        <v/>
      </c>
      <c r="R24" s="32">
        <f>ROUNDUP(G24*O24+Q24,0)</f>
        <v/>
      </c>
      <c r="S24" s="32">
        <f>IFERROR(ROUNDUP(SQRT(2*G24*WeeksYear*OrderCost/(E24*HoldRate)),0),0)</f>
        <v/>
      </c>
      <c r="T24" s="32">
        <f>IFERROR(INDEX(Inventory!$B:$B,MATCH(A24,Inventory!$A:$A,0)),0)</f>
        <v/>
      </c>
      <c r="U24" s="32">
        <f>IFERROR(INDEX(Inventory!$C:$C,MATCH(A24,Inventory!$A:$A,0)),0)</f>
        <v/>
      </c>
      <c r="V24" s="32">
        <f>T24+U24</f>
        <v/>
      </c>
      <c r="W24" s="33">
        <f>IFERROR(T24/G24,0)</f>
        <v/>
      </c>
      <c r="X24" s="36">
        <f>IF(V24&lt;Q24,"Critical - expedite",IF(V24&lt;=R24,"Order now",IF(V24&gt;R24+S24,"Overstock","Healthy")))</f>
        <v/>
      </c>
      <c r="Y24" s="32">
        <f>IF(OR(X24="Critical - expedite",X24="Order now"),MAX(S24,R24+S24-V24),0)</f>
        <v/>
      </c>
      <c r="Z24" s="34">
        <f>IF(X24="Overstock",(V24-R24-S24)*E24,0)</f>
        <v/>
      </c>
      <c r="AA24" s="34">
        <f>Q24*E24</f>
        <v/>
      </c>
      <c r="AB24" s="34">
        <f>IFERROR(G24*WeeksYear/(G24*CurrentCoverWks)*OrderCost+G24*CurrentCoverWks/2*E24*HoldRate,0)</f>
        <v/>
      </c>
      <c r="AC24" s="34">
        <f>IFERROR(G24*WeeksYear/S24*OrderCost+S24/2*E24*HoldRate,0)</f>
        <v/>
      </c>
      <c r="AD24" s="34">
        <f>AB24-AC24</f>
        <v/>
      </c>
      <c r="AE24" s="36">
        <f>IFERROR(INDEX(SegStrategy,MATCH(N24,SegList,0)),"")</f>
        <v/>
      </c>
      <c r="AF24" s="36">
        <f>IF(D24=SimSupplier,COUNTIF($D$5:D24,SimSupplier),"")</f>
        <v/>
      </c>
      <c r="AG24" s="36">
        <f>IF(OR(X24="Critical - expedite",X24="Order now"),COUNTIF($X$5:X24,"Critical - expedite")+COUNTIF($X$5:X24,"Order now"),"")</f>
        <v/>
      </c>
    </row>
    <row r="25">
      <c r="A25" s="30">
        <f>Products!A22</f>
        <v/>
      </c>
      <c r="B25" s="30">
        <f>Products!B22</f>
        <v/>
      </c>
      <c r="C25" s="30">
        <f>Products!C22</f>
        <v/>
      </c>
      <c r="D25" s="30">
        <f>Products!E22</f>
        <v/>
      </c>
      <c r="E25" s="31">
        <f>Products!D22</f>
        <v/>
      </c>
      <c r="F25" s="32">
        <f>SUMIFS(D_Units,D_SKU,A25,D_Last52,1)</f>
        <v/>
      </c>
      <c r="G25" s="33">
        <f>IFERROR(AVERAGEIFS(D_Units,D_SKU,A25,D_Last52,1),0)</f>
        <v/>
      </c>
      <c r="H25" s="33">
        <f>IFERROR(SQRT(MAX(0,(SUMIFS(D_Units2,D_SKU,A25)-COUNTIFS(D_SKU,A25,D_Last52,1)*G25^2)/(COUNTIFS(D_SKU,A25,D_Last52,1)-1))),0)</f>
        <v/>
      </c>
      <c r="I25" s="34">
        <f>F25*E25</f>
        <v/>
      </c>
      <c r="J25" s="35">
        <f>IFERROR(SUMIF($I$5:$I$53,"&gt;"&amp;I25)/SUM($I$5:$I$53),0)</f>
        <v/>
      </c>
      <c r="K25" s="36">
        <f>IF(J25&lt;ACut,"A",IF(J25&lt;BCut,"B","C"))</f>
        <v/>
      </c>
      <c r="L25" s="37">
        <f>IFERROR(H25/G25,0)</f>
        <v/>
      </c>
      <c r="M25" s="36">
        <f>IF(L25&lt;=XMaxCV,"X",IF(L25&lt;=YMaxCV,"Y","Z"))</f>
        <v/>
      </c>
      <c r="N25" s="36">
        <f>K25&amp;M25</f>
        <v/>
      </c>
      <c r="O25" s="33">
        <f>IFERROR(INDEX(SC_LT,MATCH(D25,SC_ID,0)),0)</f>
        <v/>
      </c>
      <c r="P25" s="33">
        <f>IFERROR(INDEX(SC_LTStd,MATCH(D25,SC_ID,0)),0)</f>
        <v/>
      </c>
      <c r="Q25" s="32">
        <f>ROUNDUP(z*SQRT(O25*H25^2+G25^2*P25^2),0)</f>
        <v/>
      </c>
      <c r="R25" s="32">
        <f>ROUNDUP(G25*O25+Q25,0)</f>
        <v/>
      </c>
      <c r="S25" s="32">
        <f>IFERROR(ROUNDUP(SQRT(2*G25*WeeksYear*OrderCost/(E25*HoldRate)),0),0)</f>
        <v/>
      </c>
      <c r="T25" s="32">
        <f>IFERROR(INDEX(Inventory!$B:$B,MATCH(A25,Inventory!$A:$A,0)),0)</f>
        <v/>
      </c>
      <c r="U25" s="32">
        <f>IFERROR(INDEX(Inventory!$C:$C,MATCH(A25,Inventory!$A:$A,0)),0)</f>
        <v/>
      </c>
      <c r="V25" s="32">
        <f>T25+U25</f>
        <v/>
      </c>
      <c r="W25" s="33">
        <f>IFERROR(T25/G25,0)</f>
        <v/>
      </c>
      <c r="X25" s="36">
        <f>IF(V25&lt;Q25,"Critical - expedite",IF(V25&lt;=R25,"Order now",IF(V25&gt;R25+S25,"Overstock","Healthy")))</f>
        <v/>
      </c>
      <c r="Y25" s="32">
        <f>IF(OR(X25="Critical - expedite",X25="Order now"),MAX(S25,R25+S25-V25),0)</f>
        <v/>
      </c>
      <c r="Z25" s="34">
        <f>IF(X25="Overstock",(V25-R25-S25)*E25,0)</f>
        <v/>
      </c>
      <c r="AA25" s="34">
        <f>Q25*E25</f>
        <v/>
      </c>
      <c r="AB25" s="34">
        <f>IFERROR(G25*WeeksYear/(G25*CurrentCoverWks)*OrderCost+G25*CurrentCoverWks/2*E25*HoldRate,0)</f>
        <v/>
      </c>
      <c r="AC25" s="34">
        <f>IFERROR(G25*WeeksYear/S25*OrderCost+S25/2*E25*HoldRate,0)</f>
        <v/>
      </c>
      <c r="AD25" s="34">
        <f>AB25-AC25</f>
        <v/>
      </c>
      <c r="AE25" s="36">
        <f>IFERROR(INDEX(SegStrategy,MATCH(N25,SegList,0)),"")</f>
        <v/>
      </c>
      <c r="AF25" s="36">
        <f>IF(D25=SimSupplier,COUNTIF($D$5:D25,SimSupplier),"")</f>
        <v/>
      </c>
      <c r="AG25" s="36">
        <f>IF(OR(X25="Critical - expedite",X25="Order now"),COUNTIF($X$5:X25,"Critical - expedite")+COUNTIF($X$5:X25,"Order now"),"")</f>
        <v/>
      </c>
    </row>
    <row r="26">
      <c r="A26" s="30">
        <f>Products!A23</f>
        <v/>
      </c>
      <c r="B26" s="30">
        <f>Products!B23</f>
        <v/>
      </c>
      <c r="C26" s="30">
        <f>Products!C23</f>
        <v/>
      </c>
      <c r="D26" s="30">
        <f>Products!E23</f>
        <v/>
      </c>
      <c r="E26" s="31">
        <f>Products!D23</f>
        <v/>
      </c>
      <c r="F26" s="32">
        <f>SUMIFS(D_Units,D_SKU,A26,D_Last52,1)</f>
        <v/>
      </c>
      <c r="G26" s="33">
        <f>IFERROR(AVERAGEIFS(D_Units,D_SKU,A26,D_Last52,1),0)</f>
        <v/>
      </c>
      <c r="H26" s="33">
        <f>IFERROR(SQRT(MAX(0,(SUMIFS(D_Units2,D_SKU,A26)-COUNTIFS(D_SKU,A26,D_Last52,1)*G26^2)/(COUNTIFS(D_SKU,A26,D_Last52,1)-1))),0)</f>
        <v/>
      </c>
      <c r="I26" s="34">
        <f>F26*E26</f>
        <v/>
      </c>
      <c r="J26" s="35">
        <f>IFERROR(SUMIF($I$5:$I$53,"&gt;"&amp;I26)/SUM($I$5:$I$53),0)</f>
        <v/>
      </c>
      <c r="K26" s="36">
        <f>IF(J26&lt;ACut,"A",IF(J26&lt;BCut,"B","C"))</f>
        <v/>
      </c>
      <c r="L26" s="37">
        <f>IFERROR(H26/G26,0)</f>
        <v/>
      </c>
      <c r="M26" s="36">
        <f>IF(L26&lt;=XMaxCV,"X",IF(L26&lt;=YMaxCV,"Y","Z"))</f>
        <v/>
      </c>
      <c r="N26" s="36">
        <f>K26&amp;M26</f>
        <v/>
      </c>
      <c r="O26" s="33">
        <f>IFERROR(INDEX(SC_LT,MATCH(D26,SC_ID,0)),0)</f>
        <v/>
      </c>
      <c r="P26" s="33">
        <f>IFERROR(INDEX(SC_LTStd,MATCH(D26,SC_ID,0)),0)</f>
        <v/>
      </c>
      <c r="Q26" s="32">
        <f>ROUNDUP(z*SQRT(O26*H26^2+G26^2*P26^2),0)</f>
        <v/>
      </c>
      <c r="R26" s="32">
        <f>ROUNDUP(G26*O26+Q26,0)</f>
        <v/>
      </c>
      <c r="S26" s="32">
        <f>IFERROR(ROUNDUP(SQRT(2*G26*WeeksYear*OrderCost/(E26*HoldRate)),0),0)</f>
        <v/>
      </c>
      <c r="T26" s="32">
        <f>IFERROR(INDEX(Inventory!$B:$B,MATCH(A26,Inventory!$A:$A,0)),0)</f>
        <v/>
      </c>
      <c r="U26" s="32">
        <f>IFERROR(INDEX(Inventory!$C:$C,MATCH(A26,Inventory!$A:$A,0)),0)</f>
        <v/>
      </c>
      <c r="V26" s="32">
        <f>T26+U26</f>
        <v/>
      </c>
      <c r="W26" s="33">
        <f>IFERROR(T26/G26,0)</f>
        <v/>
      </c>
      <c r="X26" s="36">
        <f>IF(V26&lt;Q26,"Critical - expedite",IF(V26&lt;=R26,"Order now",IF(V26&gt;R26+S26,"Overstock","Healthy")))</f>
        <v/>
      </c>
      <c r="Y26" s="32">
        <f>IF(OR(X26="Critical - expedite",X26="Order now"),MAX(S26,R26+S26-V26),0)</f>
        <v/>
      </c>
      <c r="Z26" s="34">
        <f>IF(X26="Overstock",(V26-R26-S26)*E26,0)</f>
        <v/>
      </c>
      <c r="AA26" s="34">
        <f>Q26*E26</f>
        <v/>
      </c>
      <c r="AB26" s="34">
        <f>IFERROR(G26*WeeksYear/(G26*CurrentCoverWks)*OrderCost+G26*CurrentCoverWks/2*E26*HoldRate,0)</f>
        <v/>
      </c>
      <c r="AC26" s="34">
        <f>IFERROR(G26*WeeksYear/S26*OrderCost+S26/2*E26*HoldRate,0)</f>
        <v/>
      </c>
      <c r="AD26" s="34">
        <f>AB26-AC26</f>
        <v/>
      </c>
      <c r="AE26" s="36">
        <f>IFERROR(INDEX(SegStrategy,MATCH(N26,SegList,0)),"")</f>
        <v/>
      </c>
      <c r="AF26" s="36">
        <f>IF(D26=SimSupplier,COUNTIF($D$5:D26,SimSupplier),"")</f>
        <v/>
      </c>
      <c r="AG26" s="36">
        <f>IF(OR(X26="Critical - expedite",X26="Order now"),COUNTIF($X$5:X26,"Critical - expedite")+COUNTIF($X$5:X26,"Order now"),"")</f>
        <v/>
      </c>
    </row>
    <row r="27">
      <c r="A27" s="30">
        <f>Products!A24</f>
        <v/>
      </c>
      <c r="B27" s="30">
        <f>Products!B24</f>
        <v/>
      </c>
      <c r="C27" s="30">
        <f>Products!C24</f>
        <v/>
      </c>
      <c r="D27" s="30">
        <f>Products!E24</f>
        <v/>
      </c>
      <c r="E27" s="31">
        <f>Products!D24</f>
        <v/>
      </c>
      <c r="F27" s="32">
        <f>SUMIFS(D_Units,D_SKU,A27,D_Last52,1)</f>
        <v/>
      </c>
      <c r="G27" s="33">
        <f>IFERROR(AVERAGEIFS(D_Units,D_SKU,A27,D_Last52,1),0)</f>
        <v/>
      </c>
      <c r="H27" s="33">
        <f>IFERROR(SQRT(MAX(0,(SUMIFS(D_Units2,D_SKU,A27)-COUNTIFS(D_SKU,A27,D_Last52,1)*G27^2)/(COUNTIFS(D_SKU,A27,D_Last52,1)-1))),0)</f>
        <v/>
      </c>
      <c r="I27" s="34">
        <f>F27*E27</f>
        <v/>
      </c>
      <c r="J27" s="35">
        <f>IFERROR(SUMIF($I$5:$I$53,"&gt;"&amp;I27)/SUM($I$5:$I$53),0)</f>
        <v/>
      </c>
      <c r="K27" s="36">
        <f>IF(J27&lt;ACut,"A",IF(J27&lt;BCut,"B","C"))</f>
        <v/>
      </c>
      <c r="L27" s="37">
        <f>IFERROR(H27/G27,0)</f>
        <v/>
      </c>
      <c r="M27" s="36">
        <f>IF(L27&lt;=XMaxCV,"X",IF(L27&lt;=YMaxCV,"Y","Z"))</f>
        <v/>
      </c>
      <c r="N27" s="36">
        <f>K27&amp;M27</f>
        <v/>
      </c>
      <c r="O27" s="33">
        <f>IFERROR(INDEX(SC_LT,MATCH(D27,SC_ID,0)),0)</f>
        <v/>
      </c>
      <c r="P27" s="33">
        <f>IFERROR(INDEX(SC_LTStd,MATCH(D27,SC_ID,0)),0)</f>
        <v/>
      </c>
      <c r="Q27" s="32">
        <f>ROUNDUP(z*SQRT(O27*H27^2+G27^2*P27^2),0)</f>
        <v/>
      </c>
      <c r="R27" s="32">
        <f>ROUNDUP(G27*O27+Q27,0)</f>
        <v/>
      </c>
      <c r="S27" s="32">
        <f>IFERROR(ROUNDUP(SQRT(2*G27*WeeksYear*OrderCost/(E27*HoldRate)),0),0)</f>
        <v/>
      </c>
      <c r="T27" s="32">
        <f>IFERROR(INDEX(Inventory!$B:$B,MATCH(A27,Inventory!$A:$A,0)),0)</f>
        <v/>
      </c>
      <c r="U27" s="32">
        <f>IFERROR(INDEX(Inventory!$C:$C,MATCH(A27,Inventory!$A:$A,0)),0)</f>
        <v/>
      </c>
      <c r="V27" s="32">
        <f>T27+U27</f>
        <v/>
      </c>
      <c r="W27" s="33">
        <f>IFERROR(T27/G27,0)</f>
        <v/>
      </c>
      <c r="X27" s="36">
        <f>IF(V27&lt;Q27,"Critical - expedite",IF(V27&lt;=R27,"Order now",IF(V27&gt;R27+S27,"Overstock","Healthy")))</f>
        <v/>
      </c>
      <c r="Y27" s="32">
        <f>IF(OR(X27="Critical - expedite",X27="Order now"),MAX(S27,R27+S27-V27),0)</f>
        <v/>
      </c>
      <c r="Z27" s="34">
        <f>IF(X27="Overstock",(V27-R27-S27)*E27,0)</f>
        <v/>
      </c>
      <c r="AA27" s="34">
        <f>Q27*E27</f>
        <v/>
      </c>
      <c r="AB27" s="34">
        <f>IFERROR(G27*WeeksYear/(G27*CurrentCoverWks)*OrderCost+G27*CurrentCoverWks/2*E27*HoldRate,0)</f>
        <v/>
      </c>
      <c r="AC27" s="34">
        <f>IFERROR(G27*WeeksYear/S27*OrderCost+S27/2*E27*HoldRate,0)</f>
        <v/>
      </c>
      <c r="AD27" s="34">
        <f>AB27-AC27</f>
        <v/>
      </c>
      <c r="AE27" s="36">
        <f>IFERROR(INDEX(SegStrategy,MATCH(N27,SegList,0)),"")</f>
        <v/>
      </c>
      <c r="AF27" s="36">
        <f>IF(D27=SimSupplier,COUNTIF($D$5:D27,SimSupplier),"")</f>
        <v/>
      </c>
      <c r="AG27" s="36">
        <f>IF(OR(X27="Critical - expedite",X27="Order now"),COUNTIF($X$5:X27,"Critical - expedite")+COUNTIF($X$5:X27,"Order now"),"")</f>
        <v/>
      </c>
    </row>
    <row r="28">
      <c r="A28" s="30">
        <f>Products!A25</f>
        <v/>
      </c>
      <c r="B28" s="30">
        <f>Products!B25</f>
        <v/>
      </c>
      <c r="C28" s="30">
        <f>Products!C25</f>
        <v/>
      </c>
      <c r="D28" s="30">
        <f>Products!E25</f>
        <v/>
      </c>
      <c r="E28" s="31">
        <f>Products!D25</f>
        <v/>
      </c>
      <c r="F28" s="32">
        <f>SUMIFS(D_Units,D_SKU,A28,D_Last52,1)</f>
        <v/>
      </c>
      <c r="G28" s="33">
        <f>IFERROR(AVERAGEIFS(D_Units,D_SKU,A28,D_Last52,1),0)</f>
        <v/>
      </c>
      <c r="H28" s="33">
        <f>IFERROR(SQRT(MAX(0,(SUMIFS(D_Units2,D_SKU,A28)-COUNTIFS(D_SKU,A28,D_Last52,1)*G28^2)/(COUNTIFS(D_SKU,A28,D_Last52,1)-1))),0)</f>
        <v/>
      </c>
      <c r="I28" s="34">
        <f>F28*E28</f>
        <v/>
      </c>
      <c r="J28" s="35">
        <f>IFERROR(SUMIF($I$5:$I$53,"&gt;"&amp;I28)/SUM($I$5:$I$53),0)</f>
        <v/>
      </c>
      <c r="K28" s="36">
        <f>IF(J28&lt;ACut,"A",IF(J28&lt;BCut,"B","C"))</f>
        <v/>
      </c>
      <c r="L28" s="37">
        <f>IFERROR(H28/G28,0)</f>
        <v/>
      </c>
      <c r="M28" s="36">
        <f>IF(L28&lt;=XMaxCV,"X",IF(L28&lt;=YMaxCV,"Y","Z"))</f>
        <v/>
      </c>
      <c r="N28" s="36">
        <f>K28&amp;M28</f>
        <v/>
      </c>
      <c r="O28" s="33">
        <f>IFERROR(INDEX(SC_LT,MATCH(D28,SC_ID,0)),0)</f>
        <v/>
      </c>
      <c r="P28" s="33">
        <f>IFERROR(INDEX(SC_LTStd,MATCH(D28,SC_ID,0)),0)</f>
        <v/>
      </c>
      <c r="Q28" s="32">
        <f>ROUNDUP(z*SQRT(O28*H28^2+G28^2*P28^2),0)</f>
        <v/>
      </c>
      <c r="R28" s="32">
        <f>ROUNDUP(G28*O28+Q28,0)</f>
        <v/>
      </c>
      <c r="S28" s="32">
        <f>IFERROR(ROUNDUP(SQRT(2*G28*WeeksYear*OrderCost/(E28*HoldRate)),0),0)</f>
        <v/>
      </c>
      <c r="T28" s="32">
        <f>IFERROR(INDEX(Inventory!$B:$B,MATCH(A28,Inventory!$A:$A,0)),0)</f>
        <v/>
      </c>
      <c r="U28" s="32">
        <f>IFERROR(INDEX(Inventory!$C:$C,MATCH(A28,Inventory!$A:$A,0)),0)</f>
        <v/>
      </c>
      <c r="V28" s="32">
        <f>T28+U28</f>
        <v/>
      </c>
      <c r="W28" s="33">
        <f>IFERROR(T28/G28,0)</f>
        <v/>
      </c>
      <c r="X28" s="36">
        <f>IF(V28&lt;Q28,"Critical - expedite",IF(V28&lt;=R28,"Order now",IF(V28&gt;R28+S28,"Overstock","Healthy")))</f>
        <v/>
      </c>
      <c r="Y28" s="32">
        <f>IF(OR(X28="Critical - expedite",X28="Order now"),MAX(S28,R28+S28-V28),0)</f>
        <v/>
      </c>
      <c r="Z28" s="34">
        <f>IF(X28="Overstock",(V28-R28-S28)*E28,0)</f>
        <v/>
      </c>
      <c r="AA28" s="34">
        <f>Q28*E28</f>
        <v/>
      </c>
      <c r="AB28" s="34">
        <f>IFERROR(G28*WeeksYear/(G28*CurrentCoverWks)*OrderCost+G28*CurrentCoverWks/2*E28*HoldRate,0)</f>
        <v/>
      </c>
      <c r="AC28" s="34">
        <f>IFERROR(G28*WeeksYear/S28*OrderCost+S28/2*E28*HoldRate,0)</f>
        <v/>
      </c>
      <c r="AD28" s="34">
        <f>AB28-AC28</f>
        <v/>
      </c>
      <c r="AE28" s="36">
        <f>IFERROR(INDEX(SegStrategy,MATCH(N28,SegList,0)),"")</f>
        <v/>
      </c>
      <c r="AF28" s="36">
        <f>IF(D28=SimSupplier,COUNTIF($D$5:D28,SimSupplier),"")</f>
        <v/>
      </c>
      <c r="AG28" s="36">
        <f>IF(OR(X28="Critical - expedite",X28="Order now"),COUNTIF($X$5:X28,"Critical - expedite")+COUNTIF($X$5:X28,"Order now"),"")</f>
        <v/>
      </c>
    </row>
    <row r="29">
      <c r="A29" s="30">
        <f>Products!A26</f>
        <v/>
      </c>
      <c r="B29" s="30">
        <f>Products!B26</f>
        <v/>
      </c>
      <c r="C29" s="30">
        <f>Products!C26</f>
        <v/>
      </c>
      <c r="D29" s="30">
        <f>Products!E26</f>
        <v/>
      </c>
      <c r="E29" s="31">
        <f>Products!D26</f>
        <v/>
      </c>
      <c r="F29" s="32">
        <f>SUMIFS(D_Units,D_SKU,A29,D_Last52,1)</f>
        <v/>
      </c>
      <c r="G29" s="33">
        <f>IFERROR(AVERAGEIFS(D_Units,D_SKU,A29,D_Last52,1),0)</f>
        <v/>
      </c>
      <c r="H29" s="33">
        <f>IFERROR(SQRT(MAX(0,(SUMIFS(D_Units2,D_SKU,A29)-COUNTIFS(D_SKU,A29,D_Last52,1)*G29^2)/(COUNTIFS(D_SKU,A29,D_Last52,1)-1))),0)</f>
        <v/>
      </c>
      <c r="I29" s="34">
        <f>F29*E29</f>
        <v/>
      </c>
      <c r="J29" s="35">
        <f>IFERROR(SUMIF($I$5:$I$53,"&gt;"&amp;I29)/SUM($I$5:$I$53),0)</f>
        <v/>
      </c>
      <c r="K29" s="36">
        <f>IF(J29&lt;ACut,"A",IF(J29&lt;BCut,"B","C"))</f>
        <v/>
      </c>
      <c r="L29" s="37">
        <f>IFERROR(H29/G29,0)</f>
        <v/>
      </c>
      <c r="M29" s="36">
        <f>IF(L29&lt;=XMaxCV,"X",IF(L29&lt;=YMaxCV,"Y","Z"))</f>
        <v/>
      </c>
      <c r="N29" s="36">
        <f>K29&amp;M29</f>
        <v/>
      </c>
      <c r="O29" s="33">
        <f>IFERROR(INDEX(SC_LT,MATCH(D29,SC_ID,0)),0)</f>
        <v/>
      </c>
      <c r="P29" s="33">
        <f>IFERROR(INDEX(SC_LTStd,MATCH(D29,SC_ID,0)),0)</f>
        <v/>
      </c>
      <c r="Q29" s="32">
        <f>ROUNDUP(z*SQRT(O29*H29^2+G29^2*P29^2),0)</f>
        <v/>
      </c>
      <c r="R29" s="32">
        <f>ROUNDUP(G29*O29+Q29,0)</f>
        <v/>
      </c>
      <c r="S29" s="32">
        <f>IFERROR(ROUNDUP(SQRT(2*G29*WeeksYear*OrderCost/(E29*HoldRate)),0),0)</f>
        <v/>
      </c>
      <c r="T29" s="32">
        <f>IFERROR(INDEX(Inventory!$B:$B,MATCH(A29,Inventory!$A:$A,0)),0)</f>
        <v/>
      </c>
      <c r="U29" s="32">
        <f>IFERROR(INDEX(Inventory!$C:$C,MATCH(A29,Inventory!$A:$A,0)),0)</f>
        <v/>
      </c>
      <c r="V29" s="32">
        <f>T29+U29</f>
        <v/>
      </c>
      <c r="W29" s="33">
        <f>IFERROR(T29/G29,0)</f>
        <v/>
      </c>
      <c r="X29" s="36">
        <f>IF(V29&lt;Q29,"Critical - expedite",IF(V29&lt;=R29,"Order now",IF(V29&gt;R29+S29,"Overstock","Healthy")))</f>
        <v/>
      </c>
      <c r="Y29" s="32">
        <f>IF(OR(X29="Critical - expedite",X29="Order now"),MAX(S29,R29+S29-V29),0)</f>
        <v/>
      </c>
      <c r="Z29" s="34">
        <f>IF(X29="Overstock",(V29-R29-S29)*E29,0)</f>
        <v/>
      </c>
      <c r="AA29" s="34">
        <f>Q29*E29</f>
        <v/>
      </c>
      <c r="AB29" s="34">
        <f>IFERROR(G29*WeeksYear/(G29*CurrentCoverWks)*OrderCost+G29*CurrentCoverWks/2*E29*HoldRate,0)</f>
        <v/>
      </c>
      <c r="AC29" s="34">
        <f>IFERROR(G29*WeeksYear/S29*OrderCost+S29/2*E29*HoldRate,0)</f>
        <v/>
      </c>
      <c r="AD29" s="34">
        <f>AB29-AC29</f>
        <v/>
      </c>
      <c r="AE29" s="36">
        <f>IFERROR(INDEX(SegStrategy,MATCH(N29,SegList,0)),"")</f>
        <v/>
      </c>
      <c r="AF29" s="36">
        <f>IF(D29=SimSupplier,COUNTIF($D$5:D29,SimSupplier),"")</f>
        <v/>
      </c>
      <c r="AG29" s="36">
        <f>IF(OR(X29="Critical - expedite",X29="Order now"),COUNTIF($X$5:X29,"Critical - expedite")+COUNTIF($X$5:X29,"Order now"),"")</f>
        <v/>
      </c>
    </row>
    <row r="30">
      <c r="A30" s="30">
        <f>Products!A27</f>
        <v/>
      </c>
      <c r="B30" s="30">
        <f>Products!B27</f>
        <v/>
      </c>
      <c r="C30" s="30">
        <f>Products!C27</f>
        <v/>
      </c>
      <c r="D30" s="30">
        <f>Products!E27</f>
        <v/>
      </c>
      <c r="E30" s="31">
        <f>Products!D27</f>
        <v/>
      </c>
      <c r="F30" s="32">
        <f>SUMIFS(D_Units,D_SKU,A30,D_Last52,1)</f>
        <v/>
      </c>
      <c r="G30" s="33">
        <f>IFERROR(AVERAGEIFS(D_Units,D_SKU,A30,D_Last52,1),0)</f>
        <v/>
      </c>
      <c r="H30" s="33">
        <f>IFERROR(SQRT(MAX(0,(SUMIFS(D_Units2,D_SKU,A30)-COUNTIFS(D_SKU,A30,D_Last52,1)*G30^2)/(COUNTIFS(D_SKU,A30,D_Last52,1)-1))),0)</f>
        <v/>
      </c>
      <c r="I30" s="34">
        <f>F30*E30</f>
        <v/>
      </c>
      <c r="J30" s="35">
        <f>IFERROR(SUMIF($I$5:$I$53,"&gt;"&amp;I30)/SUM($I$5:$I$53),0)</f>
        <v/>
      </c>
      <c r="K30" s="36">
        <f>IF(J30&lt;ACut,"A",IF(J30&lt;BCut,"B","C"))</f>
        <v/>
      </c>
      <c r="L30" s="37">
        <f>IFERROR(H30/G30,0)</f>
        <v/>
      </c>
      <c r="M30" s="36">
        <f>IF(L30&lt;=XMaxCV,"X",IF(L30&lt;=YMaxCV,"Y","Z"))</f>
        <v/>
      </c>
      <c r="N30" s="36">
        <f>K30&amp;M30</f>
        <v/>
      </c>
      <c r="O30" s="33">
        <f>IFERROR(INDEX(SC_LT,MATCH(D30,SC_ID,0)),0)</f>
        <v/>
      </c>
      <c r="P30" s="33">
        <f>IFERROR(INDEX(SC_LTStd,MATCH(D30,SC_ID,0)),0)</f>
        <v/>
      </c>
      <c r="Q30" s="32">
        <f>ROUNDUP(z*SQRT(O30*H30^2+G30^2*P30^2),0)</f>
        <v/>
      </c>
      <c r="R30" s="32">
        <f>ROUNDUP(G30*O30+Q30,0)</f>
        <v/>
      </c>
      <c r="S30" s="32">
        <f>IFERROR(ROUNDUP(SQRT(2*G30*WeeksYear*OrderCost/(E30*HoldRate)),0),0)</f>
        <v/>
      </c>
      <c r="T30" s="32">
        <f>IFERROR(INDEX(Inventory!$B:$B,MATCH(A30,Inventory!$A:$A,0)),0)</f>
        <v/>
      </c>
      <c r="U30" s="32">
        <f>IFERROR(INDEX(Inventory!$C:$C,MATCH(A30,Inventory!$A:$A,0)),0)</f>
        <v/>
      </c>
      <c r="V30" s="32">
        <f>T30+U30</f>
        <v/>
      </c>
      <c r="W30" s="33">
        <f>IFERROR(T30/G30,0)</f>
        <v/>
      </c>
      <c r="X30" s="36">
        <f>IF(V30&lt;Q30,"Critical - expedite",IF(V30&lt;=R30,"Order now",IF(V30&gt;R30+S30,"Overstock","Healthy")))</f>
        <v/>
      </c>
      <c r="Y30" s="32">
        <f>IF(OR(X30="Critical - expedite",X30="Order now"),MAX(S30,R30+S30-V30),0)</f>
        <v/>
      </c>
      <c r="Z30" s="34">
        <f>IF(X30="Overstock",(V30-R30-S30)*E30,0)</f>
        <v/>
      </c>
      <c r="AA30" s="34">
        <f>Q30*E30</f>
        <v/>
      </c>
      <c r="AB30" s="34">
        <f>IFERROR(G30*WeeksYear/(G30*CurrentCoverWks)*OrderCost+G30*CurrentCoverWks/2*E30*HoldRate,0)</f>
        <v/>
      </c>
      <c r="AC30" s="34">
        <f>IFERROR(G30*WeeksYear/S30*OrderCost+S30/2*E30*HoldRate,0)</f>
        <v/>
      </c>
      <c r="AD30" s="34">
        <f>AB30-AC30</f>
        <v/>
      </c>
      <c r="AE30" s="36">
        <f>IFERROR(INDEX(SegStrategy,MATCH(N30,SegList,0)),"")</f>
        <v/>
      </c>
      <c r="AF30" s="36">
        <f>IF(D30=SimSupplier,COUNTIF($D$5:D30,SimSupplier),"")</f>
        <v/>
      </c>
      <c r="AG30" s="36">
        <f>IF(OR(X30="Critical - expedite",X30="Order now"),COUNTIF($X$5:X30,"Critical - expedite")+COUNTIF($X$5:X30,"Order now"),"")</f>
        <v/>
      </c>
    </row>
    <row r="31">
      <c r="A31" s="30">
        <f>Products!A28</f>
        <v/>
      </c>
      <c r="B31" s="30">
        <f>Products!B28</f>
        <v/>
      </c>
      <c r="C31" s="30">
        <f>Products!C28</f>
        <v/>
      </c>
      <c r="D31" s="30">
        <f>Products!E28</f>
        <v/>
      </c>
      <c r="E31" s="31">
        <f>Products!D28</f>
        <v/>
      </c>
      <c r="F31" s="32">
        <f>SUMIFS(D_Units,D_SKU,A31,D_Last52,1)</f>
        <v/>
      </c>
      <c r="G31" s="33">
        <f>IFERROR(AVERAGEIFS(D_Units,D_SKU,A31,D_Last52,1),0)</f>
        <v/>
      </c>
      <c r="H31" s="33">
        <f>IFERROR(SQRT(MAX(0,(SUMIFS(D_Units2,D_SKU,A31)-COUNTIFS(D_SKU,A31,D_Last52,1)*G31^2)/(COUNTIFS(D_SKU,A31,D_Last52,1)-1))),0)</f>
        <v/>
      </c>
      <c r="I31" s="34">
        <f>F31*E31</f>
        <v/>
      </c>
      <c r="J31" s="35">
        <f>IFERROR(SUMIF($I$5:$I$53,"&gt;"&amp;I31)/SUM($I$5:$I$53),0)</f>
        <v/>
      </c>
      <c r="K31" s="36">
        <f>IF(J31&lt;ACut,"A",IF(J31&lt;BCut,"B","C"))</f>
        <v/>
      </c>
      <c r="L31" s="37">
        <f>IFERROR(H31/G31,0)</f>
        <v/>
      </c>
      <c r="M31" s="36">
        <f>IF(L31&lt;=XMaxCV,"X",IF(L31&lt;=YMaxCV,"Y","Z"))</f>
        <v/>
      </c>
      <c r="N31" s="36">
        <f>K31&amp;M31</f>
        <v/>
      </c>
      <c r="O31" s="33">
        <f>IFERROR(INDEX(SC_LT,MATCH(D31,SC_ID,0)),0)</f>
        <v/>
      </c>
      <c r="P31" s="33">
        <f>IFERROR(INDEX(SC_LTStd,MATCH(D31,SC_ID,0)),0)</f>
        <v/>
      </c>
      <c r="Q31" s="32">
        <f>ROUNDUP(z*SQRT(O31*H31^2+G31^2*P31^2),0)</f>
        <v/>
      </c>
      <c r="R31" s="32">
        <f>ROUNDUP(G31*O31+Q31,0)</f>
        <v/>
      </c>
      <c r="S31" s="32">
        <f>IFERROR(ROUNDUP(SQRT(2*G31*WeeksYear*OrderCost/(E31*HoldRate)),0),0)</f>
        <v/>
      </c>
      <c r="T31" s="32">
        <f>IFERROR(INDEX(Inventory!$B:$B,MATCH(A31,Inventory!$A:$A,0)),0)</f>
        <v/>
      </c>
      <c r="U31" s="32">
        <f>IFERROR(INDEX(Inventory!$C:$C,MATCH(A31,Inventory!$A:$A,0)),0)</f>
        <v/>
      </c>
      <c r="V31" s="32">
        <f>T31+U31</f>
        <v/>
      </c>
      <c r="W31" s="33">
        <f>IFERROR(T31/G31,0)</f>
        <v/>
      </c>
      <c r="X31" s="36">
        <f>IF(V31&lt;Q31,"Critical - expedite",IF(V31&lt;=R31,"Order now",IF(V31&gt;R31+S31,"Overstock","Healthy")))</f>
        <v/>
      </c>
      <c r="Y31" s="32">
        <f>IF(OR(X31="Critical - expedite",X31="Order now"),MAX(S31,R31+S31-V31),0)</f>
        <v/>
      </c>
      <c r="Z31" s="34">
        <f>IF(X31="Overstock",(V31-R31-S31)*E31,0)</f>
        <v/>
      </c>
      <c r="AA31" s="34">
        <f>Q31*E31</f>
        <v/>
      </c>
      <c r="AB31" s="34">
        <f>IFERROR(G31*WeeksYear/(G31*CurrentCoverWks)*OrderCost+G31*CurrentCoverWks/2*E31*HoldRate,0)</f>
        <v/>
      </c>
      <c r="AC31" s="34">
        <f>IFERROR(G31*WeeksYear/S31*OrderCost+S31/2*E31*HoldRate,0)</f>
        <v/>
      </c>
      <c r="AD31" s="34">
        <f>AB31-AC31</f>
        <v/>
      </c>
      <c r="AE31" s="36">
        <f>IFERROR(INDEX(SegStrategy,MATCH(N31,SegList,0)),"")</f>
        <v/>
      </c>
      <c r="AF31" s="36">
        <f>IF(D31=SimSupplier,COUNTIF($D$5:D31,SimSupplier),"")</f>
        <v/>
      </c>
      <c r="AG31" s="36">
        <f>IF(OR(X31="Critical - expedite",X31="Order now"),COUNTIF($X$5:X31,"Critical - expedite")+COUNTIF($X$5:X31,"Order now"),"")</f>
        <v/>
      </c>
    </row>
    <row r="32">
      <c r="A32" s="30">
        <f>Products!A29</f>
        <v/>
      </c>
      <c r="B32" s="30">
        <f>Products!B29</f>
        <v/>
      </c>
      <c r="C32" s="30">
        <f>Products!C29</f>
        <v/>
      </c>
      <c r="D32" s="30">
        <f>Products!E29</f>
        <v/>
      </c>
      <c r="E32" s="31">
        <f>Products!D29</f>
        <v/>
      </c>
      <c r="F32" s="32">
        <f>SUMIFS(D_Units,D_SKU,A32,D_Last52,1)</f>
        <v/>
      </c>
      <c r="G32" s="33">
        <f>IFERROR(AVERAGEIFS(D_Units,D_SKU,A32,D_Last52,1),0)</f>
        <v/>
      </c>
      <c r="H32" s="33">
        <f>IFERROR(SQRT(MAX(0,(SUMIFS(D_Units2,D_SKU,A32)-COUNTIFS(D_SKU,A32,D_Last52,1)*G32^2)/(COUNTIFS(D_SKU,A32,D_Last52,1)-1))),0)</f>
        <v/>
      </c>
      <c r="I32" s="34">
        <f>F32*E32</f>
        <v/>
      </c>
      <c r="J32" s="35">
        <f>IFERROR(SUMIF($I$5:$I$53,"&gt;"&amp;I32)/SUM($I$5:$I$53),0)</f>
        <v/>
      </c>
      <c r="K32" s="36">
        <f>IF(J32&lt;ACut,"A",IF(J32&lt;BCut,"B","C"))</f>
        <v/>
      </c>
      <c r="L32" s="37">
        <f>IFERROR(H32/G32,0)</f>
        <v/>
      </c>
      <c r="M32" s="36">
        <f>IF(L32&lt;=XMaxCV,"X",IF(L32&lt;=YMaxCV,"Y","Z"))</f>
        <v/>
      </c>
      <c r="N32" s="36">
        <f>K32&amp;M32</f>
        <v/>
      </c>
      <c r="O32" s="33">
        <f>IFERROR(INDEX(SC_LT,MATCH(D32,SC_ID,0)),0)</f>
        <v/>
      </c>
      <c r="P32" s="33">
        <f>IFERROR(INDEX(SC_LTStd,MATCH(D32,SC_ID,0)),0)</f>
        <v/>
      </c>
      <c r="Q32" s="32">
        <f>ROUNDUP(z*SQRT(O32*H32^2+G32^2*P32^2),0)</f>
        <v/>
      </c>
      <c r="R32" s="32">
        <f>ROUNDUP(G32*O32+Q32,0)</f>
        <v/>
      </c>
      <c r="S32" s="32">
        <f>IFERROR(ROUNDUP(SQRT(2*G32*WeeksYear*OrderCost/(E32*HoldRate)),0),0)</f>
        <v/>
      </c>
      <c r="T32" s="32">
        <f>IFERROR(INDEX(Inventory!$B:$B,MATCH(A32,Inventory!$A:$A,0)),0)</f>
        <v/>
      </c>
      <c r="U32" s="32">
        <f>IFERROR(INDEX(Inventory!$C:$C,MATCH(A32,Inventory!$A:$A,0)),0)</f>
        <v/>
      </c>
      <c r="V32" s="32">
        <f>T32+U32</f>
        <v/>
      </c>
      <c r="W32" s="33">
        <f>IFERROR(T32/G32,0)</f>
        <v/>
      </c>
      <c r="X32" s="36">
        <f>IF(V32&lt;Q32,"Critical - expedite",IF(V32&lt;=R32,"Order now",IF(V32&gt;R32+S32,"Overstock","Healthy")))</f>
        <v/>
      </c>
      <c r="Y32" s="32">
        <f>IF(OR(X32="Critical - expedite",X32="Order now"),MAX(S32,R32+S32-V32),0)</f>
        <v/>
      </c>
      <c r="Z32" s="34">
        <f>IF(X32="Overstock",(V32-R32-S32)*E32,0)</f>
        <v/>
      </c>
      <c r="AA32" s="34">
        <f>Q32*E32</f>
        <v/>
      </c>
      <c r="AB32" s="34">
        <f>IFERROR(G32*WeeksYear/(G32*CurrentCoverWks)*OrderCost+G32*CurrentCoverWks/2*E32*HoldRate,0)</f>
        <v/>
      </c>
      <c r="AC32" s="34">
        <f>IFERROR(G32*WeeksYear/S32*OrderCost+S32/2*E32*HoldRate,0)</f>
        <v/>
      </c>
      <c r="AD32" s="34">
        <f>AB32-AC32</f>
        <v/>
      </c>
      <c r="AE32" s="36">
        <f>IFERROR(INDEX(SegStrategy,MATCH(N32,SegList,0)),"")</f>
        <v/>
      </c>
      <c r="AF32" s="36">
        <f>IF(D32=SimSupplier,COUNTIF($D$5:D32,SimSupplier),"")</f>
        <v/>
      </c>
      <c r="AG32" s="36">
        <f>IF(OR(X32="Critical - expedite",X32="Order now"),COUNTIF($X$5:X32,"Critical - expedite")+COUNTIF($X$5:X32,"Order now"),"")</f>
        <v/>
      </c>
    </row>
    <row r="33">
      <c r="A33" s="30">
        <f>Products!A30</f>
        <v/>
      </c>
      <c r="B33" s="30">
        <f>Products!B30</f>
        <v/>
      </c>
      <c r="C33" s="30">
        <f>Products!C30</f>
        <v/>
      </c>
      <c r="D33" s="30">
        <f>Products!E30</f>
        <v/>
      </c>
      <c r="E33" s="31">
        <f>Products!D30</f>
        <v/>
      </c>
      <c r="F33" s="32">
        <f>SUMIFS(D_Units,D_SKU,A33,D_Last52,1)</f>
        <v/>
      </c>
      <c r="G33" s="33">
        <f>IFERROR(AVERAGEIFS(D_Units,D_SKU,A33,D_Last52,1),0)</f>
        <v/>
      </c>
      <c r="H33" s="33">
        <f>IFERROR(SQRT(MAX(0,(SUMIFS(D_Units2,D_SKU,A33)-COUNTIFS(D_SKU,A33,D_Last52,1)*G33^2)/(COUNTIFS(D_SKU,A33,D_Last52,1)-1))),0)</f>
        <v/>
      </c>
      <c r="I33" s="34">
        <f>F33*E33</f>
        <v/>
      </c>
      <c r="J33" s="35">
        <f>IFERROR(SUMIF($I$5:$I$53,"&gt;"&amp;I33)/SUM($I$5:$I$53),0)</f>
        <v/>
      </c>
      <c r="K33" s="36">
        <f>IF(J33&lt;ACut,"A",IF(J33&lt;BCut,"B","C"))</f>
        <v/>
      </c>
      <c r="L33" s="37">
        <f>IFERROR(H33/G33,0)</f>
        <v/>
      </c>
      <c r="M33" s="36">
        <f>IF(L33&lt;=XMaxCV,"X",IF(L33&lt;=YMaxCV,"Y","Z"))</f>
        <v/>
      </c>
      <c r="N33" s="36">
        <f>K33&amp;M33</f>
        <v/>
      </c>
      <c r="O33" s="33">
        <f>IFERROR(INDEX(SC_LT,MATCH(D33,SC_ID,0)),0)</f>
        <v/>
      </c>
      <c r="P33" s="33">
        <f>IFERROR(INDEX(SC_LTStd,MATCH(D33,SC_ID,0)),0)</f>
        <v/>
      </c>
      <c r="Q33" s="32">
        <f>ROUNDUP(z*SQRT(O33*H33^2+G33^2*P33^2),0)</f>
        <v/>
      </c>
      <c r="R33" s="32">
        <f>ROUNDUP(G33*O33+Q33,0)</f>
        <v/>
      </c>
      <c r="S33" s="32">
        <f>IFERROR(ROUNDUP(SQRT(2*G33*WeeksYear*OrderCost/(E33*HoldRate)),0),0)</f>
        <v/>
      </c>
      <c r="T33" s="32">
        <f>IFERROR(INDEX(Inventory!$B:$B,MATCH(A33,Inventory!$A:$A,0)),0)</f>
        <v/>
      </c>
      <c r="U33" s="32">
        <f>IFERROR(INDEX(Inventory!$C:$C,MATCH(A33,Inventory!$A:$A,0)),0)</f>
        <v/>
      </c>
      <c r="V33" s="32">
        <f>T33+U33</f>
        <v/>
      </c>
      <c r="W33" s="33">
        <f>IFERROR(T33/G33,0)</f>
        <v/>
      </c>
      <c r="X33" s="36">
        <f>IF(V33&lt;Q33,"Critical - expedite",IF(V33&lt;=R33,"Order now",IF(V33&gt;R33+S33,"Overstock","Healthy")))</f>
        <v/>
      </c>
      <c r="Y33" s="32">
        <f>IF(OR(X33="Critical - expedite",X33="Order now"),MAX(S33,R33+S33-V33),0)</f>
        <v/>
      </c>
      <c r="Z33" s="34">
        <f>IF(X33="Overstock",(V33-R33-S33)*E33,0)</f>
        <v/>
      </c>
      <c r="AA33" s="34">
        <f>Q33*E33</f>
        <v/>
      </c>
      <c r="AB33" s="34">
        <f>IFERROR(G33*WeeksYear/(G33*CurrentCoverWks)*OrderCost+G33*CurrentCoverWks/2*E33*HoldRate,0)</f>
        <v/>
      </c>
      <c r="AC33" s="34">
        <f>IFERROR(G33*WeeksYear/S33*OrderCost+S33/2*E33*HoldRate,0)</f>
        <v/>
      </c>
      <c r="AD33" s="34">
        <f>AB33-AC33</f>
        <v/>
      </c>
      <c r="AE33" s="36">
        <f>IFERROR(INDEX(SegStrategy,MATCH(N33,SegList,0)),"")</f>
        <v/>
      </c>
      <c r="AF33" s="36">
        <f>IF(D33=SimSupplier,COUNTIF($D$5:D33,SimSupplier),"")</f>
        <v/>
      </c>
      <c r="AG33" s="36">
        <f>IF(OR(X33="Critical - expedite",X33="Order now"),COUNTIF($X$5:X33,"Critical - expedite")+COUNTIF($X$5:X33,"Order now"),"")</f>
        <v/>
      </c>
    </row>
    <row r="34">
      <c r="A34" s="30">
        <f>Products!A31</f>
        <v/>
      </c>
      <c r="B34" s="30">
        <f>Products!B31</f>
        <v/>
      </c>
      <c r="C34" s="30">
        <f>Products!C31</f>
        <v/>
      </c>
      <c r="D34" s="30">
        <f>Products!E31</f>
        <v/>
      </c>
      <c r="E34" s="31">
        <f>Products!D31</f>
        <v/>
      </c>
      <c r="F34" s="32">
        <f>SUMIFS(D_Units,D_SKU,A34,D_Last52,1)</f>
        <v/>
      </c>
      <c r="G34" s="33">
        <f>IFERROR(AVERAGEIFS(D_Units,D_SKU,A34,D_Last52,1),0)</f>
        <v/>
      </c>
      <c r="H34" s="33">
        <f>IFERROR(SQRT(MAX(0,(SUMIFS(D_Units2,D_SKU,A34)-COUNTIFS(D_SKU,A34,D_Last52,1)*G34^2)/(COUNTIFS(D_SKU,A34,D_Last52,1)-1))),0)</f>
        <v/>
      </c>
      <c r="I34" s="34">
        <f>F34*E34</f>
        <v/>
      </c>
      <c r="J34" s="35">
        <f>IFERROR(SUMIF($I$5:$I$53,"&gt;"&amp;I34)/SUM($I$5:$I$53),0)</f>
        <v/>
      </c>
      <c r="K34" s="36">
        <f>IF(J34&lt;ACut,"A",IF(J34&lt;BCut,"B","C"))</f>
        <v/>
      </c>
      <c r="L34" s="37">
        <f>IFERROR(H34/G34,0)</f>
        <v/>
      </c>
      <c r="M34" s="36">
        <f>IF(L34&lt;=XMaxCV,"X",IF(L34&lt;=YMaxCV,"Y","Z"))</f>
        <v/>
      </c>
      <c r="N34" s="36">
        <f>K34&amp;M34</f>
        <v/>
      </c>
      <c r="O34" s="33">
        <f>IFERROR(INDEX(SC_LT,MATCH(D34,SC_ID,0)),0)</f>
        <v/>
      </c>
      <c r="P34" s="33">
        <f>IFERROR(INDEX(SC_LTStd,MATCH(D34,SC_ID,0)),0)</f>
        <v/>
      </c>
      <c r="Q34" s="32">
        <f>ROUNDUP(z*SQRT(O34*H34^2+G34^2*P34^2),0)</f>
        <v/>
      </c>
      <c r="R34" s="32">
        <f>ROUNDUP(G34*O34+Q34,0)</f>
        <v/>
      </c>
      <c r="S34" s="32">
        <f>IFERROR(ROUNDUP(SQRT(2*G34*WeeksYear*OrderCost/(E34*HoldRate)),0),0)</f>
        <v/>
      </c>
      <c r="T34" s="32">
        <f>IFERROR(INDEX(Inventory!$B:$B,MATCH(A34,Inventory!$A:$A,0)),0)</f>
        <v/>
      </c>
      <c r="U34" s="32">
        <f>IFERROR(INDEX(Inventory!$C:$C,MATCH(A34,Inventory!$A:$A,0)),0)</f>
        <v/>
      </c>
      <c r="V34" s="32">
        <f>T34+U34</f>
        <v/>
      </c>
      <c r="W34" s="33">
        <f>IFERROR(T34/G34,0)</f>
        <v/>
      </c>
      <c r="X34" s="36">
        <f>IF(V34&lt;Q34,"Critical - expedite",IF(V34&lt;=R34,"Order now",IF(V34&gt;R34+S34,"Overstock","Healthy")))</f>
        <v/>
      </c>
      <c r="Y34" s="32">
        <f>IF(OR(X34="Critical - expedite",X34="Order now"),MAX(S34,R34+S34-V34),0)</f>
        <v/>
      </c>
      <c r="Z34" s="34">
        <f>IF(X34="Overstock",(V34-R34-S34)*E34,0)</f>
        <v/>
      </c>
      <c r="AA34" s="34">
        <f>Q34*E34</f>
        <v/>
      </c>
      <c r="AB34" s="34">
        <f>IFERROR(G34*WeeksYear/(G34*CurrentCoverWks)*OrderCost+G34*CurrentCoverWks/2*E34*HoldRate,0)</f>
        <v/>
      </c>
      <c r="AC34" s="34">
        <f>IFERROR(G34*WeeksYear/S34*OrderCost+S34/2*E34*HoldRate,0)</f>
        <v/>
      </c>
      <c r="AD34" s="34">
        <f>AB34-AC34</f>
        <v/>
      </c>
      <c r="AE34" s="36">
        <f>IFERROR(INDEX(SegStrategy,MATCH(N34,SegList,0)),"")</f>
        <v/>
      </c>
      <c r="AF34" s="36">
        <f>IF(D34=SimSupplier,COUNTIF($D$5:D34,SimSupplier),"")</f>
        <v/>
      </c>
      <c r="AG34" s="36">
        <f>IF(OR(X34="Critical - expedite",X34="Order now"),COUNTIF($X$5:X34,"Critical - expedite")+COUNTIF($X$5:X34,"Order now"),"")</f>
        <v/>
      </c>
    </row>
    <row r="35">
      <c r="A35" s="30">
        <f>Products!A32</f>
        <v/>
      </c>
      <c r="B35" s="30">
        <f>Products!B32</f>
        <v/>
      </c>
      <c r="C35" s="30">
        <f>Products!C32</f>
        <v/>
      </c>
      <c r="D35" s="30">
        <f>Products!E32</f>
        <v/>
      </c>
      <c r="E35" s="31">
        <f>Products!D32</f>
        <v/>
      </c>
      <c r="F35" s="32">
        <f>SUMIFS(D_Units,D_SKU,A35,D_Last52,1)</f>
        <v/>
      </c>
      <c r="G35" s="33">
        <f>IFERROR(AVERAGEIFS(D_Units,D_SKU,A35,D_Last52,1),0)</f>
        <v/>
      </c>
      <c r="H35" s="33">
        <f>IFERROR(SQRT(MAX(0,(SUMIFS(D_Units2,D_SKU,A35)-COUNTIFS(D_SKU,A35,D_Last52,1)*G35^2)/(COUNTIFS(D_SKU,A35,D_Last52,1)-1))),0)</f>
        <v/>
      </c>
      <c r="I35" s="34">
        <f>F35*E35</f>
        <v/>
      </c>
      <c r="J35" s="35">
        <f>IFERROR(SUMIF($I$5:$I$53,"&gt;"&amp;I35)/SUM($I$5:$I$53),0)</f>
        <v/>
      </c>
      <c r="K35" s="36">
        <f>IF(J35&lt;ACut,"A",IF(J35&lt;BCut,"B","C"))</f>
        <v/>
      </c>
      <c r="L35" s="37">
        <f>IFERROR(H35/G35,0)</f>
        <v/>
      </c>
      <c r="M35" s="36">
        <f>IF(L35&lt;=XMaxCV,"X",IF(L35&lt;=YMaxCV,"Y","Z"))</f>
        <v/>
      </c>
      <c r="N35" s="36">
        <f>K35&amp;M35</f>
        <v/>
      </c>
      <c r="O35" s="33">
        <f>IFERROR(INDEX(SC_LT,MATCH(D35,SC_ID,0)),0)</f>
        <v/>
      </c>
      <c r="P35" s="33">
        <f>IFERROR(INDEX(SC_LTStd,MATCH(D35,SC_ID,0)),0)</f>
        <v/>
      </c>
      <c r="Q35" s="32">
        <f>ROUNDUP(z*SQRT(O35*H35^2+G35^2*P35^2),0)</f>
        <v/>
      </c>
      <c r="R35" s="32">
        <f>ROUNDUP(G35*O35+Q35,0)</f>
        <v/>
      </c>
      <c r="S35" s="32">
        <f>IFERROR(ROUNDUP(SQRT(2*G35*WeeksYear*OrderCost/(E35*HoldRate)),0),0)</f>
        <v/>
      </c>
      <c r="T35" s="32">
        <f>IFERROR(INDEX(Inventory!$B:$B,MATCH(A35,Inventory!$A:$A,0)),0)</f>
        <v/>
      </c>
      <c r="U35" s="32">
        <f>IFERROR(INDEX(Inventory!$C:$C,MATCH(A35,Inventory!$A:$A,0)),0)</f>
        <v/>
      </c>
      <c r="V35" s="32">
        <f>T35+U35</f>
        <v/>
      </c>
      <c r="W35" s="33">
        <f>IFERROR(T35/G35,0)</f>
        <v/>
      </c>
      <c r="X35" s="36">
        <f>IF(V35&lt;Q35,"Critical - expedite",IF(V35&lt;=R35,"Order now",IF(V35&gt;R35+S35,"Overstock","Healthy")))</f>
        <v/>
      </c>
      <c r="Y35" s="32">
        <f>IF(OR(X35="Critical - expedite",X35="Order now"),MAX(S35,R35+S35-V35),0)</f>
        <v/>
      </c>
      <c r="Z35" s="34">
        <f>IF(X35="Overstock",(V35-R35-S35)*E35,0)</f>
        <v/>
      </c>
      <c r="AA35" s="34">
        <f>Q35*E35</f>
        <v/>
      </c>
      <c r="AB35" s="34">
        <f>IFERROR(G35*WeeksYear/(G35*CurrentCoverWks)*OrderCost+G35*CurrentCoverWks/2*E35*HoldRate,0)</f>
        <v/>
      </c>
      <c r="AC35" s="34">
        <f>IFERROR(G35*WeeksYear/S35*OrderCost+S35/2*E35*HoldRate,0)</f>
        <v/>
      </c>
      <c r="AD35" s="34">
        <f>AB35-AC35</f>
        <v/>
      </c>
      <c r="AE35" s="36">
        <f>IFERROR(INDEX(SegStrategy,MATCH(N35,SegList,0)),"")</f>
        <v/>
      </c>
      <c r="AF35" s="36">
        <f>IF(D35=SimSupplier,COUNTIF($D$5:D35,SimSupplier),"")</f>
        <v/>
      </c>
      <c r="AG35" s="36">
        <f>IF(OR(X35="Critical - expedite",X35="Order now"),COUNTIF($X$5:X35,"Critical - expedite")+COUNTIF($X$5:X35,"Order now"),"")</f>
        <v/>
      </c>
    </row>
    <row r="36">
      <c r="A36" s="30">
        <f>Products!A33</f>
        <v/>
      </c>
      <c r="B36" s="30">
        <f>Products!B33</f>
        <v/>
      </c>
      <c r="C36" s="30">
        <f>Products!C33</f>
        <v/>
      </c>
      <c r="D36" s="30">
        <f>Products!E33</f>
        <v/>
      </c>
      <c r="E36" s="31">
        <f>Products!D33</f>
        <v/>
      </c>
      <c r="F36" s="32">
        <f>SUMIFS(D_Units,D_SKU,A36,D_Last52,1)</f>
        <v/>
      </c>
      <c r="G36" s="33">
        <f>IFERROR(AVERAGEIFS(D_Units,D_SKU,A36,D_Last52,1),0)</f>
        <v/>
      </c>
      <c r="H36" s="33">
        <f>IFERROR(SQRT(MAX(0,(SUMIFS(D_Units2,D_SKU,A36)-COUNTIFS(D_SKU,A36,D_Last52,1)*G36^2)/(COUNTIFS(D_SKU,A36,D_Last52,1)-1))),0)</f>
        <v/>
      </c>
      <c r="I36" s="34">
        <f>F36*E36</f>
        <v/>
      </c>
      <c r="J36" s="35">
        <f>IFERROR(SUMIF($I$5:$I$53,"&gt;"&amp;I36)/SUM($I$5:$I$53),0)</f>
        <v/>
      </c>
      <c r="K36" s="36">
        <f>IF(J36&lt;ACut,"A",IF(J36&lt;BCut,"B","C"))</f>
        <v/>
      </c>
      <c r="L36" s="37">
        <f>IFERROR(H36/G36,0)</f>
        <v/>
      </c>
      <c r="M36" s="36">
        <f>IF(L36&lt;=XMaxCV,"X",IF(L36&lt;=YMaxCV,"Y","Z"))</f>
        <v/>
      </c>
      <c r="N36" s="36">
        <f>K36&amp;M36</f>
        <v/>
      </c>
      <c r="O36" s="33">
        <f>IFERROR(INDEX(SC_LT,MATCH(D36,SC_ID,0)),0)</f>
        <v/>
      </c>
      <c r="P36" s="33">
        <f>IFERROR(INDEX(SC_LTStd,MATCH(D36,SC_ID,0)),0)</f>
        <v/>
      </c>
      <c r="Q36" s="32">
        <f>ROUNDUP(z*SQRT(O36*H36^2+G36^2*P36^2),0)</f>
        <v/>
      </c>
      <c r="R36" s="32">
        <f>ROUNDUP(G36*O36+Q36,0)</f>
        <v/>
      </c>
      <c r="S36" s="32">
        <f>IFERROR(ROUNDUP(SQRT(2*G36*WeeksYear*OrderCost/(E36*HoldRate)),0),0)</f>
        <v/>
      </c>
      <c r="T36" s="32">
        <f>IFERROR(INDEX(Inventory!$B:$B,MATCH(A36,Inventory!$A:$A,0)),0)</f>
        <v/>
      </c>
      <c r="U36" s="32">
        <f>IFERROR(INDEX(Inventory!$C:$C,MATCH(A36,Inventory!$A:$A,0)),0)</f>
        <v/>
      </c>
      <c r="V36" s="32">
        <f>T36+U36</f>
        <v/>
      </c>
      <c r="W36" s="33">
        <f>IFERROR(T36/G36,0)</f>
        <v/>
      </c>
      <c r="X36" s="36">
        <f>IF(V36&lt;Q36,"Critical - expedite",IF(V36&lt;=R36,"Order now",IF(V36&gt;R36+S36,"Overstock","Healthy")))</f>
        <v/>
      </c>
      <c r="Y36" s="32">
        <f>IF(OR(X36="Critical - expedite",X36="Order now"),MAX(S36,R36+S36-V36),0)</f>
        <v/>
      </c>
      <c r="Z36" s="34">
        <f>IF(X36="Overstock",(V36-R36-S36)*E36,0)</f>
        <v/>
      </c>
      <c r="AA36" s="34">
        <f>Q36*E36</f>
        <v/>
      </c>
      <c r="AB36" s="34">
        <f>IFERROR(G36*WeeksYear/(G36*CurrentCoverWks)*OrderCost+G36*CurrentCoverWks/2*E36*HoldRate,0)</f>
        <v/>
      </c>
      <c r="AC36" s="34">
        <f>IFERROR(G36*WeeksYear/S36*OrderCost+S36/2*E36*HoldRate,0)</f>
        <v/>
      </c>
      <c r="AD36" s="34">
        <f>AB36-AC36</f>
        <v/>
      </c>
      <c r="AE36" s="36">
        <f>IFERROR(INDEX(SegStrategy,MATCH(N36,SegList,0)),"")</f>
        <v/>
      </c>
      <c r="AF36" s="36">
        <f>IF(D36=SimSupplier,COUNTIF($D$5:D36,SimSupplier),"")</f>
        <v/>
      </c>
      <c r="AG36" s="36">
        <f>IF(OR(X36="Critical - expedite",X36="Order now"),COUNTIF($X$5:X36,"Critical - expedite")+COUNTIF($X$5:X36,"Order now"),"")</f>
        <v/>
      </c>
    </row>
    <row r="37">
      <c r="A37" s="30">
        <f>Products!A34</f>
        <v/>
      </c>
      <c r="B37" s="30">
        <f>Products!B34</f>
        <v/>
      </c>
      <c r="C37" s="30">
        <f>Products!C34</f>
        <v/>
      </c>
      <c r="D37" s="30">
        <f>Products!E34</f>
        <v/>
      </c>
      <c r="E37" s="31">
        <f>Products!D34</f>
        <v/>
      </c>
      <c r="F37" s="32">
        <f>SUMIFS(D_Units,D_SKU,A37,D_Last52,1)</f>
        <v/>
      </c>
      <c r="G37" s="33">
        <f>IFERROR(AVERAGEIFS(D_Units,D_SKU,A37,D_Last52,1),0)</f>
        <v/>
      </c>
      <c r="H37" s="33">
        <f>IFERROR(SQRT(MAX(0,(SUMIFS(D_Units2,D_SKU,A37)-COUNTIFS(D_SKU,A37,D_Last52,1)*G37^2)/(COUNTIFS(D_SKU,A37,D_Last52,1)-1))),0)</f>
        <v/>
      </c>
      <c r="I37" s="34">
        <f>F37*E37</f>
        <v/>
      </c>
      <c r="J37" s="35">
        <f>IFERROR(SUMIF($I$5:$I$53,"&gt;"&amp;I37)/SUM($I$5:$I$53),0)</f>
        <v/>
      </c>
      <c r="K37" s="36">
        <f>IF(J37&lt;ACut,"A",IF(J37&lt;BCut,"B","C"))</f>
        <v/>
      </c>
      <c r="L37" s="37">
        <f>IFERROR(H37/G37,0)</f>
        <v/>
      </c>
      <c r="M37" s="36">
        <f>IF(L37&lt;=XMaxCV,"X",IF(L37&lt;=YMaxCV,"Y","Z"))</f>
        <v/>
      </c>
      <c r="N37" s="36">
        <f>K37&amp;M37</f>
        <v/>
      </c>
      <c r="O37" s="33">
        <f>IFERROR(INDEX(SC_LT,MATCH(D37,SC_ID,0)),0)</f>
        <v/>
      </c>
      <c r="P37" s="33">
        <f>IFERROR(INDEX(SC_LTStd,MATCH(D37,SC_ID,0)),0)</f>
        <v/>
      </c>
      <c r="Q37" s="32">
        <f>ROUNDUP(z*SQRT(O37*H37^2+G37^2*P37^2),0)</f>
        <v/>
      </c>
      <c r="R37" s="32">
        <f>ROUNDUP(G37*O37+Q37,0)</f>
        <v/>
      </c>
      <c r="S37" s="32">
        <f>IFERROR(ROUNDUP(SQRT(2*G37*WeeksYear*OrderCost/(E37*HoldRate)),0),0)</f>
        <v/>
      </c>
      <c r="T37" s="32">
        <f>IFERROR(INDEX(Inventory!$B:$B,MATCH(A37,Inventory!$A:$A,0)),0)</f>
        <v/>
      </c>
      <c r="U37" s="32">
        <f>IFERROR(INDEX(Inventory!$C:$C,MATCH(A37,Inventory!$A:$A,0)),0)</f>
        <v/>
      </c>
      <c r="V37" s="32">
        <f>T37+U37</f>
        <v/>
      </c>
      <c r="W37" s="33">
        <f>IFERROR(T37/G37,0)</f>
        <v/>
      </c>
      <c r="X37" s="36">
        <f>IF(V37&lt;Q37,"Critical - expedite",IF(V37&lt;=R37,"Order now",IF(V37&gt;R37+S37,"Overstock","Healthy")))</f>
        <v/>
      </c>
      <c r="Y37" s="32">
        <f>IF(OR(X37="Critical - expedite",X37="Order now"),MAX(S37,R37+S37-V37),0)</f>
        <v/>
      </c>
      <c r="Z37" s="34">
        <f>IF(X37="Overstock",(V37-R37-S37)*E37,0)</f>
        <v/>
      </c>
      <c r="AA37" s="34">
        <f>Q37*E37</f>
        <v/>
      </c>
      <c r="AB37" s="34">
        <f>IFERROR(G37*WeeksYear/(G37*CurrentCoverWks)*OrderCost+G37*CurrentCoverWks/2*E37*HoldRate,0)</f>
        <v/>
      </c>
      <c r="AC37" s="34">
        <f>IFERROR(G37*WeeksYear/S37*OrderCost+S37/2*E37*HoldRate,0)</f>
        <v/>
      </c>
      <c r="AD37" s="34">
        <f>AB37-AC37</f>
        <v/>
      </c>
      <c r="AE37" s="36">
        <f>IFERROR(INDEX(SegStrategy,MATCH(N37,SegList,0)),"")</f>
        <v/>
      </c>
      <c r="AF37" s="36">
        <f>IF(D37=SimSupplier,COUNTIF($D$5:D37,SimSupplier),"")</f>
        <v/>
      </c>
      <c r="AG37" s="36">
        <f>IF(OR(X37="Critical - expedite",X37="Order now"),COUNTIF($X$5:X37,"Critical - expedite")+COUNTIF($X$5:X37,"Order now"),"")</f>
        <v/>
      </c>
    </row>
    <row r="38">
      <c r="A38" s="30">
        <f>Products!A35</f>
        <v/>
      </c>
      <c r="B38" s="30">
        <f>Products!B35</f>
        <v/>
      </c>
      <c r="C38" s="30">
        <f>Products!C35</f>
        <v/>
      </c>
      <c r="D38" s="30">
        <f>Products!E35</f>
        <v/>
      </c>
      <c r="E38" s="31">
        <f>Products!D35</f>
        <v/>
      </c>
      <c r="F38" s="32">
        <f>SUMIFS(D_Units,D_SKU,A38,D_Last52,1)</f>
        <v/>
      </c>
      <c r="G38" s="33">
        <f>IFERROR(AVERAGEIFS(D_Units,D_SKU,A38,D_Last52,1),0)</f>
        <v/>
      </c>
      <c r="H38" s="33">
        <f>IFERROR(SQRT(MAX(0,(SUMIFS(D_Units2,D_SKU,A38)-COUNTIFS(D_SKU,A38,D_Last52,1)*G38^2)/(COUNTIFS(D_SKU,A38,D_Last52,1)-1))),0)</f>
        <v/>
      </c>
      <c r="I38" s="34">
        <f>F38*E38</f>
        <v/>
      </c>
      <c r="J38" s="35">
        <f>IFERROR(SUMIF($I$5:$I$53,"&gt;"&amp;I38)/SUM($I$5:$I$53),0)</f>
        <v/>
      </c>
      <c r="K38" s="36">
        <f>IF(J38&lt;ACut,"A",IF(J38&lt;BCut,"B","C"))</f>
        <v/>
      </c>
      <c r="L38" s="37">
        <f>IFERROR(H38/G38,0)</f>
        <v/>
      </c>
      <c r="M38" s="36">
        <f>IF(L38&lt;=XMaxCV,"X",IF(L38&lt;=YMaxCV,"Y","Z"))</f>
        <v/>
      </c>
      <c r="N38" s="36">
        <f>K38&amp;M38</f>
        <v/>
      </c>
      <c r="O38" s="33">
        <f>IFERROR(INDEX(SC_LT,MATCH(D38,SC_ID,0)),0)</f>
        <v/>
      </c>
      <c r="P38" s="33">
        <f>IFERROR(INDEX(SC_LTStd,MATCH(D38,SC_ID,0)),0)</f>
        <v/>
      </c>
      <c r="Q38" s="32">
        <f>ROUNDUP(z*SQRT(O38*H38^2+G38^2*P38^2),0)</f>
        <v/>
      </c>
      <c r="R38" s="32">
        <f>ROUNDUP(G38*O38+Q38,0)</f>
        <v/>
      </c>
      <c r="S38" s="32">
        <f>IFERROR(ROUNDUP(SQRT(2*G38*WeeksYear*OrderCost/(E38*HoldRate)),0),0)</f>
        <v/>
      </c>
      <c r="T38" s="32">
        <f>IFERROR(INDEX(Inventory!$B:$B,MATCH(A38,Inventory!$A:$A,0)),0)</f>
        <v/>
      </c>
      <c r="U38" s="32">
        <f>IFERROR(INDEX(Inventory!$C:$C,MATCH(A38,Inventory!$A:$A,0)),0)</f>
        <v/>
      </c>
      <c r="V38" s="32">
        <f>T38+U38</f>
        <v/>
      </c>
      <c r="W38" s="33">
        <f>IFERROR(T38/G38,0)</f>
        <v/>
      </c>
      <c r="X38" s="36">
        <f>IF(V38&lt;Q38,"Critical - expedite",IF(V38&lt;=R38,"Order now",IF(V38&gt;R38+S38,"Overstock","Healthy")))</f>
        <v/>
      </c>
      <c r="Y38" s="32">
        <f>IF(OR(X38="Critical - expedite",X38="Order now"),MAX(S38,R38+S38-V38),0)</f>
        <v/>
      </c>
      <c r="Z38" s="34">
        <f>IF(X38="Overstock",(V38-R38-S38)*E38,0)</f>
        <v/>
      </c>
      <c r="AA38" s="34">
        <f>Q38*E38</f>
        <v/>
      </c>
      <c r="AB38" s="34">
        <f>IFERROR(G38*WeeksYear/(G38*CurrentCoverWks)*OrderCost+G38*CurrentCoverWks/2*E38*HoldRate,0)</f>
        <v/>
      </c>
      <c r="AC38" s="34">
        <f>IFERROR(G38*WeeksYear/S38*OrderCost+S38/2*E38*HoldRate,0)</f>
        <v/>
      </c>
      <c r="AD38" s="34">
        <f>AB38-AC38</f>
        <v/>
      </c>
      <c r="AE38" s="36">
        <f>IFERROR(INDEX(SegStrategy,MATCH(N38,SegList,0)),"")</f>
        <v/>
      </c>
      <c r="AF38" s="36">
        <f>IF(D38=SimSupplier,COUNTIF($D$5:D38,SimSupplier),"")</f>
        <v/>
      </c>
      <c r="AG38" s="36">
        <f>IF(OR(X38="Critical - expedite",X38="Order now"),COUNTIF($X$5:X38,"Critical - expedite")+COUNTIF($X$5:X38,"Order now"),"")</f>
        <v/>
      </c>
    </row>
    <row r="39">
      <c r="A39" s="30">
        <f>Products!A36</f>
        <v/>
      </c>
      <c r="B39" s="30">
        <f>Products!B36</f>
        <v/>
      </c>
      <c r="C39" s="30">
        <f>Products!C36</f>
        <v/>
      </c>
      <c r="D39" s="30">
        <f>Products!E36</f>
        <v/>
      </c>
      <c r="E39" s="31">
        <f>Products!D36</f>
        <v/>
      </c>
      <c r="F39" s="32">
        <f>SUMIFS(D_Units,D_SKU,A39,D_Last52,1)</f>
        <v/>
      </c>
      <c r="G39" s="33">
        <f>IFERROR(AVERAGEIFS(D_Units,D_SKU,A39,D_Last52,1),0)</f>
        <v/>
      </c>
      <c r="H39" s="33">
        <f>IFERROR(SQRT(MAX(0,(SUMIFS(D_Units2,D_SKU,A39)-COUNTIFS(D_SKU,A39,D_Last52,1)*G39^2)/(COUNTIFS(D_SKU,A39,D_Last52,1)-1))),0)</f>
        <v/>
      </c>
      <c r="I39" s="34">
        <f>F39*E39</f>
        <v/>
      </c>
      <c r="J39" s="35">
        <f>IFERROR(SUMIF($I$5:$I$53,"&gt;"&amp;I39)/SUM($I$5:$I$53),0)</f>
        <v/>
      </c>
      <c r="K39" s="36">
        <f>IF(J39&lt;ACut,"A",IF(J39&lt;BCut,"B","C"))</f>
        <v/>
      </c>
      <c r="L39" s="37">
        <f>IFERROR(H39/G39,0)</f>
        <v/>
      </c>
      <c r="M39" s="36">
        <f>IF(L39&lt;=XMaxCV,"X",IF(L39&lt;=YMaxCV,"Y","Z"))</f>
        <v/>
      </c>
      <c r="N39" s="36">
        <f>K39&amp;M39</f>
        <v/>
      </c>
      <c r="O39" s="33">
        <f>IFERROR(INDEX(SC_LT,MATCH(D39,SC_ID,0)),0)</f>
        <v/>
      </c>
      <c r="P39" s="33">
        <f>IFERROR(INDEX(SC_LTStd,MATCH(D39,SC_ID,0)),0)</f>
        <v/>
      </c>
      <c r="Q39" s="32">
        <f>ROUNDUP(z*SQRT(O39*H39^2+G39^2*P39^2),0)</f>
        <v/>
      </c>
      <c r="R39" s="32">
        <f>ROUNDUP(G39*O39+Q39,0)</f>
        <v/>
      </c>
      <c r="S39" s="32">
        <f>IFERROR(ROUNDUP(SQRT(2*G39*WeeksYear*OrderCost/(E39*HoldRate)),0),0)</f>
        <v/>
      </c>
      <c r="T39" s="32">
        <f>IFERROR(INDEX(Inventory!$B:$B,MATCH(A39,Inventory!$A:$A,0)),0)</f>
        <v/>
      </c>
      <c r="U39" s="32">
        <f>IFERROR(INDEX(Inventory!$C:$C,MATCH(A39,Inventory!$A:$A,0)),0)</f>
        <v/>
      </c>
      <c r="V39" s="32">
        <f>T39+U39</f>
        <v/>
      </c>
      <c r="W39" s="33">
        <f>IFERROR(T39/G39,0)</f>
        <v/>
      </c>
      <c r="X39" s="36">
        <f>IF(V39&lt;Q39,"Critical - expedite",IF(V39&lt;=R39,"Order now",IF(V39&gt;R39+S39,"Overstock","Healthy")))</f>
        <v/>
      </c>
      <c r="Y39" s="32">
        <f>IF(OR(X39="Critical - expedite",X39="Order now"),MAX(S39,R39+S39-V39),0)</f>
        <v/>
      </c>
      <c r="Z39" s="34">
        <f>IF(X39="Overstock",(V39-R39-S39)*E39,0)</f>
        <v/>
      </c>
      <c r="AA39" s="34">
        <f>Q39*E39</f>
        <v/>
      </c>
      <c r="AB39" s="34">
        <f>IFERROR(G39*WeeksYear/(G39*CurrentCoverWks)*OrderCost+G39*CurrentCoverWks/2*E39*HoldRate,0)</f>
        <v/>
      </c>
      <c r="AC39" s="34">
        <f>IFERROR(G39*WeeksYear/S39*OrderCost+S39/2*E39*HoldRate,0)</f>
        <v/>
      </c>
      <c r="AD39" s="34">
        <f>AB39-AC39</f>
        <v/>
      </c>
      <c r="AE39" s="36">
        <f>IFERROR(INDEX(SegStrategy,MATCH(N39,SegList,0)),"")</f>
        <v/>
      </c>
      <c r="AF39" s="36">
        <f>IF(D39=SimSupplier,COUNTIF($D$5:D39,SimSupplier),"")</f>
        <v/>
      </c>
      <c r="AG39" s="36">
        <f>IF(OR(X39="Critical - expedite",X39="Order now"),COUNTIF($X$5:X39,"Critical - expedite")+COUNTIF($X$5:X39,"Order now"),"")</f>
        <v/>
      </c>
    </row>
    <row r="40">
      <c r="A40" s="30">
        <f>Products!A37</f>
        <v/>
      </c>
      <c r="B40" s="30">
        <f>Products!B37</f>
        <v/>
      </c>
      <c r="C40" s="30">
        <f>Products!C37</f>
        <v/>
      </c>
      <c r="D40" s="30">
        <f>Products!E37</f>
        <v/>
      </c>
      <c r="E40" s="31">
        <f>Products!D37</f>
        <v/>
      </c>
      <c r="F40" s="32">
        <f>SUMIFS(D_Units,D_SKU,A40,D_Last52,1)</f>
        <v/>
      </c>
      <c r="G40" s="33">
        <f>IFERROR(AVERAGEIFS(D_Units,D_SKU,A40,D_Last52,1),0)</f>
        <v/>
      </c>
      <c r="H40" s="33">
        <f>IFERROR(SQRT(MAX(0,(SUMIFS(D_Units2,D_SKU,A40)-COUNTIFS(D_SKU,A40,D_Last52,1)*G40^2)/(COUNTIFS(D_SKU,A40,D_Last52,1)-1))),0)</f>
        <v/>
      </c>
      <c r="I40" s="34">
        <f>F40*E40</f>
        <v/>
      </c>
      <c r="J40" s="35">
        <f>IFERROR(SUMIF($I$5:$I$53,"&gt;"&amp;I40)/SUM($I$5:$I$53),0)</f>
        <v/>
      </c>
      <c r="K40" s="36">
        <f>IF(J40&lt;ACut,"A",IF(J40&lt;BCut,"B","C"))</f>
        <v/>
      </c>
      <c r="L40" s="37">
        <f>IFERROR(H40/G40,0)</f>
        <v/>
      </c>
      <c r="M40" s="36">
        <f>IF(L40&lt;=XMaxCV,"X",IF(L40&lt;=YMaxCV,"Y","Z"))</f>
        <v/>
      </c>
      <c r="N40" s="36">
        <f>K40&amp;M40</f>
        <v/>
      </c>
      <c r="O40" s="33">
        <f>IFERROR(INDEX(SC_LT,MATCH(D40,SC_ID,0)),0)</f>
        <v/>
      </c>
      <c r="P40" s="33">
        <f>IFERROR(INDEX(SC_LTStd,MATCH(D40,SC_ID,0)),0)</f>
        <v/>
      </c>
      <c r="Q40" s="32">
        <f>ROUNDUP(z*SQRT(O40*H40^2+G40^2*P40^2),0)</f>
        <v/>
      </c>
      <c r="R40" s="32">
        <f>ROUNDUP(G40*O40+Q40,0)</f>
        <v/>
      </c>
      <c r="S40" s="32">
        <f>IFERROR(ROUNDUP(SQRT(2*G40*WeeksYear*OrderCost/(E40*HoldRate)),0),0)</f>
        <v/>
      </c>
      <c r="T40" s="32">
        <f>IFERROR(INDEX(Inventory!$B:$B,MATCH(A40,Inventory!$A:$A,0)),0)</f>
        <v/>
      </c>
      <c r="U40" s="32">
        <f>IFERROR(INDEX(Inventory!$C:$C,MATCH(A40,Inventory!$A:$A,0)),0)</f>
        <v/>
      </c>
      <c r="V40" s="32">
        <f>T40+U40</f>
        <v/>
      </c>
      <c r="W40" s="33">
        <f>IFERROR(T40/G40,0)</f>
        <v/>
      </c>
      <c r="X40" s="36">
        <f>IF(V40&lt;Q40,"Critical - expedite",IF(V40&lt;=R40,"Order now",IF(V40&gt;R40+S40,"Overstock","Healthy")))</f>
        <v/>
      </c>
      <c r="Y40" s="32">
        <f>IF(OR(X40="Critical - expedite",X40="Order now"),MAX(S40,R40+S40-V40),0)</f>
        <v/>
      </c>
      <c r="Z40" s="34">
        <f>IF(X40="Overstock",(V40-R40-S40)*E40,0)</f>
        <v/>
      </c>
      <c r="AA40" s="34">
        <f>Q40*E40</f>
        <v/>
      </c>
      <c r="AB40" s="34">
        <f>IFERROR(G40*WeeksYear/(G40*CurrentCoverWks)*OrderCost+G40*CurrentCoverWks/2*E40*HoldRate,0)</f>
        <v/>
      </c>
      <c r="AC40" s="34">
        <f>IFERROR(G40*WeeksYear/S40*OrderCost+S40/2*E40*HoldRate,0)</f>
        <v/>
      </c>
      <c r="AD40" s="34">
        <f>AB40-AC40</f>
        <v/>
      </c>
      <c r="AE40" s="36">
        <f>IFERROR(INDEX(SegStrategy,MATCH(N40,SegList,0)),"")</f>
        <v/>
      </c>
      <c r="AF40" s="36">
        <f>IF(D40=SimSupplier,COUNTIF($D$5:D40,SimSupplier),"")</f>
        <v/>
      </c>
      <c r="AG40" s="36">
        <f>IF(OR(X40="Critical - expedite",X40="Order now"),COUNTIF($X$5:X40,"Critical - expedite")+COUNTIF($X$5:X40,"Order now"),"")</f>
        <v/>
      </c>
    </row>
    <row r="41">
      <c r="A41" s="30">
        <f>Products!A38</f>
        <v/>
      </c>
      <c r="B41" s="30">
        <f>Products!B38</f>
        <v/>
      </c>
      <c r="C41" s="30">
        <f>Products!C38</f>
        <v/>
      </c>
      <c r="D41" s="30">
        <f>Products!E38</f>
        <v/>
      </c>
      <c r="E41" s="31">
        <f>Products!D38</f>
        <v/>
      </c>
      <c r="F41" s="32">
        <f>SUMIFS(D_Units,D_SKU,A41,D_Last52,1)</f>
        <v/>
      </c>
      <c r="G41" s="33">
        <f>IFERROR(AVERAGEIFS(D_Units,D_SKU,A41,D_Last52,1),0)</f>
        <v/>
      </c>
      <c r="H41" s="33">
        <f>IFERROR(SQRT(MAX(0,(SUMIFS(D_Units2,D_SKU,A41)-COUNTIFS(D_SKU,A41,D_Last52,1)*G41^2)/(COUNTIFS(D_SKU,A41,D_Last52,1)-1))),0)</f>
        <v/>
      </c>
      <c r="I41" s="34">
        <f>F41*E41</f>
        <v/>
      </c>
      <c r="J41" s="35">
        <f>IFERROR(SUMIF($I$5:$I$53,"&gt;"&amp;I41)/SUM($I$5:$I$53),0)</f>
        <v/>
      </c>
      <c r="K41" s="36">
        <f>IF(J41&lt;ACut,"A",IF(J41&lt;BCut,"B","C"))</f>
        <v/>
      </c>
      <c r="L41" s="37">
        <f>IFERROR(H41/G41,0)</f>
        <v/>
      </c>
      <c r="M41" s="36">
        <f>IF(L41&lt;=XMaxCV,"X",IF(L41&lt;=YMaxCV,"Y","Z"))</f>
        <v/>
      </c>
      <c r="N41" s="36">
        <f>K41&amp;M41</f>
        <v/>
      </c>
      <c r="O41" s="33">
        <f>IFERROR(INDEX(SC_LT,MATCH(D41,SC_ID,0)),0)</f>
        <v/>
      </c>
      <c r="P41" s="33">
        <f>IFERROR(INDEX(SC_LTStd,MATCH(D41,SC_ID,0)),0)</f>
        <v/>
      </c>
      <c r="Q41" s="32">
        <f>ROUNDUP(z*SQRT(O41*H41^2+G41^2*P41^2),0)</f>
        <v/>
      </c>
      <c r="R41" s="32">
        <f>ROUNDUP(G41*O41+Q41,0)</f>
        <v/>
      </c>
      <c r="S41" s="32">
        <f>IFERROR(ROUNDUP(SQRT(2*G41*WeeksYear*OrderCost/(E41*HoldRate)),0),0)</f>
        <v/>
      </c>
      <c r="T41" s="32">
        <f>IFERROR(INDEX(Inventory!$B:$B,MATCH(A41,Inventory!$A:$A,0)),0)</f>
        <v/>
      </c>
      <c r="U41" s="32">
        <f>IFERROR(INDEX(Inventory!$C:$C,MATCH(A41,Inventory!$A:$A,0)),0)</f>
        <v/>
      </c>
      <c r="V41" s="32">
        <f>T41+U41</f>
        <v/>
      </c>
      <c r="W41" s="33">
        <f>IFERROR(T41/G41,0)</f>
        <v/>
      </c>
      <c r="X41" s="36">
        <f>IF(V41&lt;Q41,"Critical - expedite",IF(V41&lt;=R41,"Order now",IF(V41&gt;R41+S41,"Overstock","Healthy")))</f>
        <v/>
      </c>
      <c r="Y41" s="32">
        <f>IF(OR(X41="Critical - expedite",X41="Order now"),MAX(S41,R41+S41-V41),0)</f>
        <v/>
      </c>
      <c r="Z41" s="34">
        <f>IF(X41="Overstock",(V41-R41-S41)*E41,0)</f>
        <v/>
      </c>
      <c r="AA41" s="34">
        <f>Q41*E41</f>
        <v/>
      </c>
      <c r="AB41" s="34">
        <f>IFERROR(G41*WeeksYear/(G41*CurrentCoverWks)*OrderCost+G41*CurrentCoverWks/2*E41*HoldRate,0)</f>
        <v/>
      </c>
      <c r="AC41" s="34">
        <f>IFERROR(G41*WeeksYear/S41*OrderCost+S41/2*E41*HoldRate,0)</f>
        <v/>
      </c>
      <c r="AD41" s="34">
        <f>AB41-AC41</f>
        <v/>
      </c>
      <c r="AE41" s="36">
        <f>IFERROR(INDEX(SegStrategy,MATCH(N41,SegList,0)),"")</f>
        <v/>
      </c>
      <c r="AF41" s="36">
        <f>IF(D41=SimSupplier,COUNTIF($D$5:D41,SimSupplier),"")</f>
        <v/>
      </c>
      <c r="AG41" s="36">
        <f>IF(OR(X41="Critical - expedite",X41="Order now"),COUNTIF($X$5:X41,"Critical - expedite")+COUNTIF($X$5:X41,"Order now"),"")</f>
        <v/>
      </c>
    </row>
    <row r="42">
      <c r="A42" s="30">
        <f>Products!A39</f>
        <v/>
      </c>
      <c r="B42" s="30">
        <f>Products!B39</f>
        <v/>
      </c>
      <c r="C42" s="30">
        <f>Products!C39</f>
        <v/>
      </c>
      <c r="D42" s="30">
        <f>Products!E39</f>
        <v/>
      </c>
      <c r="E42" s="31">
        <f>Products!D39</f>
        <v/>
      </c>
      <c r="F42" s="32">
        <f>SUMIFS(D_Units,D_SKU,A42,D_Last52,1)</f>
        <v/>
      </c>
      <c r="G42" s="33">
        <f>IFERROR(AVERAGEIFS(D_Units,D_SKU,A42,D_Last52,1),0)</f>
        <v/>
      </c>
      <c r="H42" s="33">
        <f>IFERROR(SQRT(MAX(0,(SUMIFS(D_Units2,D_SKU,A42)-COUNTIFS(D_SKU,A42,D_Last52,1)*G42^2)/(COUNTIFS(D_SKU,A42,D_Last52,1)-1))),0)</f>
        <v/>
      </c>
      <c r="I42" s="34">
        <f>F42*E42</f>
        <v/>
      </c>
      <c r="J42" s="35">
        <f>IFERROR(SUMIF($I$5:$I$53,"&gt;"&amp;I42)/SUM($I$5:$I$53),0)</f>
        <v/>
      </c>
      <c r="K42" s="36">
        <f>IF(J42&lt;ACut,"A",IF(J42&lt;BCut,"B","C"))</f>
        <v/>
      </c>
      <c r="L42" s="37">
        <f>IFERROR(H42/G42,0)</f>
        <v/>
      </c>
      <c r="M42" s="36">
        <f>IF(L42&lt;=XMaxCV,"X",IF(L42&lt;=YMaxCV,"Y","Z"))</f>
        <v/>
      </c>
      <c r="N42" s="36">
        <f>K42&amp;M42</f>
        <v/>
      </c>
      <c r="O42" s="33">
        <f>IFERROR(INDEX(SC_LT,MATCH(D42,SC_ID,0)),0)</f>
        <v/>
      </c>
      <c r="P42" s="33">
        <f>IFERROR(INDEX(SC_LTStd,MATCH(D42,SC_ID,0)),0)</f>
        <v/>
      </c>
      <c r="Q42" s="32">
        <f>ROUNDUP(z*SQRT(O42*H42^2+G42^2*P42^2),0)</f>
        <v/>
      </c>
      <c r="R42" s="32">
        <f>ROUNDUP(G42*O42+Q42,0)</f>
        <v/>
      </c>
      <c r="S42" s="32">
        <f>IFERROR(ROUNDUP(SQRT(2*G42*WeeksYear*OrderCost/(E42*HoldRate)),0),0)</f>
        <v/>
      </c>
      <c r="T42" s="32">
        <f>IFERROR(INDEX(Inventory!$B:$B,MATCH(A42,Inventory!$A:$A,0)),0)</f>
        <v/>
      </c>
      <c r="U42" s="32">
        <f>IFERROR(INDEX(Inventory!$C:$C,MATCH(A42,Inventory!$A:$A,0)),0)</f>
        <v/>
      </c>
      <c r="V42" s="32">
        <f>T42+U42</f>
        <v/>
      </c>
      <c r="W42" s="33">
        <f>IFERROR(T42/G42,0)</f>
        <v/>
      </c>
      <c r="X42" s="36">
        <f>IF(V42&lt;Q42,"Critical - expedite",IF(V42&lt;=R42,"Order now",IF(V42&gt;R42+S42,"Overstock","Healthy")))</f>
        <v/>
      </c>
      <c r="Y42" s="32">
        <f>IF(OR(X42="Critical - expedite",X42="Order now"),MAX(S42,R42+S42-V42),0)</f>
        <v/>
      </c>
      <c r="Z42" s="34">
        <f>IF(X42="Overstock",(V42-R42-S42)*E42,0)</f>
        <v/>
      </c>
      <c r="AA42" s="34">
        <f>Q42*E42</f>
        <v/>
      </c>
      <c r="AB42" s="34">
        <f>IFERROR(G42*WeeksYear/(G42*CurrentCoverWks)*OrderCost+G42*CurrentCoverWks/2*E42*HoldRate,0)</f>
        <v/>
      </c>
      <c r="AC42" s="34">
        <f>IFERROR(G42*WeeksYear/S42*OrderCost+S42/2*E42*HoldRate,0)</f>
        <v/>
      </c>
      <c r="AD42" s="34">
        <f>AB42-AC42</f>
        <v/>
      </c>
      <c r="AE42" s="36">
        <f>IFERROR(INDEX(SegStrategy,MATCH(N42,SegList,0)),"")</f>
        <v/>
      </c>
      <c r="AF42" s="36">
        <f>IF(D42=SimSupplier,COUNTIF($D$5:D42,SimSupplier),"")</f>
        <v/>
      </c>
      <c r="AG42" s="36">
        <f>IF(OR(X42="Critical - expedite",X42="Order now"),COUNTIF($X$5:X42,"Critical - expedite")+COUNTIF($X$5:X42,"Order now"),"")</f>
        <v/>
      </c>
    </row>
    <row r="43">
      <c r="A43" s="30">
        <f>Products!A40</f>
        <v/>
      </c>
      <c r="B43" s="30">
        <f>Products!B40</f>
        <v/>
      </c>
      <c r="C43" s="30">
        <f>Products!C40</f>
        <v/>
      </c>
      <c r="D43" s="30">
        <f>Products!E40</f>
        <v/>
      </c>
      <c r="E43" s="31">
        <f>Products!D40</f>
        <v/>
      </c>
      <c r="F43" s="32">
        <f>SUMIFS(D_Units,D_SKU,A43,D_Last52,1)</f>
        <v/>
      </c>
      <c r="G43" s="33">
        <f>IFERROR(AVERAGEIFS(D_Units,D_SKU,A43,D_Last52,1),0)</f>
        <v/>
      </c>
      <c r="H43" s="33">
        <f>IFERROR(SQRT(MAX(0,(SUMIFS(D_Units2,D_SKU,A43)-COUNTIFS(D_SKU,A43,D_Last52,1)*G43^2)/(COUNTIFS(D_SKU,A43,D_Last52,1)-1))),0)</f>
        <v/>
      </c>
      <c r="I43" s="34">
        <f>F43*E43</f>
        <v/>
      </c>
      <c r="J43" s="35">
        <f>IFERROR(SUMIF($I$5:$I$53,"&gt;"&amp;I43)/SUM($I$5:$I$53),0)</f>
        <v/>
      </c>
      <c r="K43" s="36">
        <f>IF(J43&lt;ACut,"A",IF(J43&lt;BCut,"B","C"))</f>
        <v/>
      </c>
      <c r="L43" s="37">
        <f>IFERROR(H43/G43,0)</f>
        <v/>
      </c>
      <c r="M43" s="36">
        <f>IF(L43&lt;=XMaxCV,"X",IF(L43&lt;=YMaxCV,"Y","Z"))</f>
        <v/>
      </c>
      <c r="N43" s="36">
        <f>K43&amp;M43</f>
        <v/>
      </c>
      <c r="O43" s="33">
        <f>IFERROR(INDEX(SC_LT,MATCH(D43,SC_ID,0)),0)</f>
        <v/>
      </c>
      <c r="P43" s="33">
        <f>IFERROR(INDEX(SC_LTStd,MATCH(D43,SC_ID,0)),0)</f>
        <v/>
      </c>
      <c r="Q43" s="32">
        <f>ROUNDUP(z*SQRT(O43*H43^2+G43^2*P43^2),0)</f>
        <v/>
      </c>
      <c r="R43" s="32">
        <f>ROUNDUP(G43*O43+Q43,0)</f>
        <v/>
      </c>
      <c r="S43" s="32">
        <f>IFERROR(ROUNDUP(SQRT(2*G43*WeeksYear*OrderCost/(E43*HoldRate)),0),0)</f>
        <v/>
      </c>
      <c r="T43" s="32">
        <f>IFERROR(INDEX(Inventory!$B:$B,MATCH(A43,Inventory!$A:$A,0)),0)</f>
        <v/>
      </c>
      <c r="U43" s="32">
        <f>IFERROR(INDEX(Inventory!$C:$C,MATCH(A43,Inventory!$A:$A,0)),0)</f>
        <v/>
      </c>
      <c r="V43" s="32">
        <f>T43+U43</f>
        <v/>
      </c>
      <c r="W43" s="33">
        <f>IFERROR(T43/G43,0)</f>
        <v/>
      </c>
      <c r="X43" s="36">
        <f>IF(V43&lt;Q43,"Critical - expedite",IF(V43&lt;=R43,"Order now",IF(V43&gt;R43+S43,"Overstock","Healthy")))</f>
        <v/>
      </c>
      <c r="Y43" s="32">
        <f>IF(OR(X43="Critical - expedite",X43="Order now"),MAX(S43,R43+S43-V43),0)</f>
        <v/>
      </c>
      <c r="Z43" s="34">
        <f>IF(X43="Overstock",(V43-R43-S43)*E43,0)</f>
        <v/>
      </c>
      <c r="AA43" s="34">
        <f>Q43*E43</f>
        <v/>
      </c>
      <c r="AB43" s="34">
        <f>IFERROR(G43*WeeksYear/(G43*CurrentCoverWks)*OrderCost+G43*CurrentCoverWks/2*E43*HoldRate,0)</f>
        <v/>
      </c>
      <c r="AC43" s="34">
        <f>IFERROR(G43*WeeksYear/S43*OrderCost+S43/2*E43*HoldRate,0)</f>
        <v/>
      </c>
      <c r="AD43" s="34">
        <f>AB43-AC43</f>
        <v/>
      </c>
      <c r="AE43" s="36">
        <f>IFERROR(INDEX(SegStrategy,MATCH(N43,SegList,0)),"")</f>
        <v/>
      </c>
      <c r="AF43" s="36">
        <f>IF(D43=SimSupplier,COUNTIF($D$5:D43,SimSupplier),"")</f>
        <v/>
      </c>
      <c r="AG43" s="36">
        <f>IF(OR(X43="Critical - expedite",X43="Order now"),COUNTIF($X$5:X43,"Critical - expedite")+COUNTIF($X$5:X43,"Order now"),"")</f>
        <v/>
      </c>
    </row>
    <row r="44">
      <c r="A44" s="30">
        <f>Products!A41</f>
        <v/>
      </c>
      <c r="B44" s="30">
        <f>Products!B41</f>
        <v/>
      </c>
      <c r="C44" s="30">
        <f>Products!C41</f>
        <v/>
      </c>
      <c r="D44" s="30">
        <f>Products!E41</f>
        <v/>
      </c>
      <c r="E44" s="31">
        <f>Products!D41</f>
        <v/>
      </c>
      <c r="F44" s="32">
        <f>SUMIFS(D_Units,D_SKU,A44,D_Last52,1)</f>
        <v/>
      </c>
      <c r="G44" s="33">
        <f>IFERROR(AVERAGEIFS(D_Units,D_SKU,A44,D_Last52,1),0)</f>
        <v/>
      </c>
      <c r="H44" s="33">
        <f>IFERROR(SQRT(MAX(0,(SUMIFS(D_Units2,D_SKU,A44)-COUNTIFS(D_SKU,A44,D_Last52,1)*G44^2)/(COUNTIFS(D_SKU,A44,D_Last52,1)-1))),0)</f>
        <v/>
      </c>
      <c r="I44" s="34">
        <f>F44*E44</f>
        <v/>
      </c>
      <c r="J44" s="35">
        <f>IFERROR(SUMIF($I$5:$I$53,"&gt;"&amp;I44)/SUM($I$5:$I$53),0)</f>
        <v/>
      </c>
      <c r="K44" s="36">
        <f>IF(J44&lt;ACut,"A",IF(J44&lt;BCut,"B","C"))</f>
        <v/>
      </c>
      <c r="L44" s="37">
        <f>IFERROR(H44/G44,0)</f>
        <v/>
      </c>
      <c r="M44" s="36">
        <f>IF(L44&lt;=XMaxCV,"X",IF(L44&lt;=YMaxCV,"Y","Z"))</f>
        <v/>
      </c>
      <c r="N44" s="36">
        <f>K44&amp;M44</f>
        <v/>
      </c>
      <c r="O44" s="33">
        <f>IFERROR(INDEX(SC_LT,MATCH(D44,SC_ID,0)),0)</f>
        <v/>
      </c>
      <c r="P44" s="33">
        <f>IFERROR(INDEX(SC_LTStd,MATCH(D44,SC_ID,0)),0)</f>
        <v/>
      </c>
      <c r="Q44" s="32">
        <f>ROUNDUP(z*SQRT(O44*H44^2+G44^2*P44^2),0)</f>
        <v/>
      </c>
      <c r="R44" s="32">
        <f>ROUNDUP(G44*O44+Q44,0)</f>
        <v/>
      </c>
      <c r="S44" s="32">
        <f>IFERROR(ROUNDUP(SQRT(2*G44*WeeksYear*OrderCost/(E44*HoldRate)),0),0)</f>
        <v/>
      </c>
      <c r="T44" s="32">
        <f>IFERROR(INDEX(Inventory!$B:$B,MATCH(A44,Inventory!$A:$A,0)),0)</f>
        <v/>
      </c>
      <c r="U44" s="32">
        <f>IFERROR(INDEX(Inventory!$C:$C,MATCH(A44,Inventory!$A:$A,0)),0)</f>
        <v/>
      </c>
      <c r="V44" s="32">
        <f>T44+U44</f>
        <v/>
      </c>
      <c r="W44" s="33">
        <f>IFERROR(T44/G44,0)</f>
        <v/>
      </c>
      <c r="X44" s="36">
        <f>IF(V44&lt;Q44,"Critical - expedite",IF(V44&lt;=R44,"Order now",IF(V44&gt;R44+S44,"Overstock","Healthy")))</f>
        <v/>
      </c>
      <c r="Y44" s="32">
        <f>IF(OR(X44="Critical - expedite",X44="Order now"),MAX(S44,R44+S44-V44),0)</f>
        <v/>
      </c>
      <c r="Z44" s="34">
        <f>IF(X44="Overstock",(V44-R44-S44)*E44,0)</f>
        <v/>
      </c>
      <c r="AA44" s="34">
        <f>Q44*E44</f>
        <v/>
      </c>
      <c r="AB44" s="34">
        <f>IFERROR(G44*WeeksYear/(G44*CurrentCoverWks)*OrderCost+G44*CurrentCoverWks/2*E44*HoldRate,0)</f>
        <v/>
      </c>
      <c r="AC44" s="34">
        <f>IFERROR(G44*WeeksYear/S44*OrderCost+S44/2*E44*HoldRate,0)</f>
        <v/>
      </c>
      <c r="AD44" s="34">
        <f>AB44-AC44</f>
        <v/>
      </c>
      <c r="AE44" s="36">
        <f>IFERROR(INDEX(SegStrategy,MATCH(N44,SegList,0)),"")</f>
        <v/>
      </c>
      <c r="AF44" s="36">
        <f>IF(D44=SimSupplier,COUNTIF($D$5:D44,SimSupplier),"")</f>
        <v/>
      </c>
      <c r="AG44" s="36">
        <f>IF(OR(X44="Critical - expedite",X44="Order now"),COUNTIF($X$5:X44,"Critical - expedite")+COUNTIF($X$5:X44,"Order now"),"")</f>
        <v/>
      </c>
    </row>
    <row r="45">
      <c r="A45" s="30">
        <f>Products!A42</f>
        <v/>
      </c>
      <c r="B45" s="30">
        <f>Products!B42</f>
        <v/>
      </c>
      <c r="C45" s="30">
        <f>Products!C42</f>
        <v/>
      </c>
      <c r="D45" s="30">
        <f>Products!E42</f>
        <v/>
      </c>
      <c r="E45" s="31">
        <f>Products!D42</f>
        <v/>
      </c>
      <c r="F45" s="32">
        <f>SUMIFS(D_Units,D_SKU,A45,D_Last52,1)</f>
        <v/>
      </c>
      <c r="G45" s="33">
        <f>IFERROR(AVERAGEIFS(D_Units,D_SKU,A45,D_Last52,1),0)</f>
        <v/>
      </c>
      <c r="H45" s="33">
        <f>IFERROR(SQRT(MAX(0,(SUMIFS(D_Units2,D_SKU,A45)-COUNTIFS(D_SKU,A45,D_Last52,1)*G45^2)/(COUNTIFS(D_SKU,A45,D_Last52,1)-1))),0)</f>
        <v/>
      </c>
      <c r="I45" s="34">
        <f>F45*E45</f>
        <v/>
      </c>
      <c r="J45" s="35">
        <f>IFERROR(SUMIF($I$5:$I$53,"&gt;"&amp;I45)/SUM($I$5:$I$53),0)</f>
        <v/>
      </c>
      <c r="K45" s="36">
        <f>IF(J45&lt;ACut,"A",IF(J45&lt;BCut,"B","C"))</f>
        <v/>
      </c>
      <c r="L45" s="37">
        <f>IFERROR(H45/G45,0)</f>
        <v/>
      </c>
      <c r="M45" s="36">
        <f>IF(L45&lt;=XMaxCV,"X",IF(L45&lt;=YMaxCV,"Y","Z"))</f>
        <v/>
      </c>
      <c r="N45" s="36">
        <f>K45&amp;M45</f>
        <v/>
      </c>
      <c r="O45" s="33">
        <f>IFERROR(INDEX(SC_LT,MATCH(D45,SC_ID,0)),0)</f>
        <v/>
      </c>
      <c r="P45" s="33">
        <f>IFERROR(INDEX(SC_LTStd,MATCH(D45,SC_ID,0)),0)</f>
        <v/>
      </c>
      <c r="Q45" s="32">
        <f>ROUNDUP(z*SQRT(O45*H45^2+G45^2*P45^2),0)</f>
        <v/>
      </c>
      <c r="R45" s="32">
        <f>ROUNDUP(G45*O45+Q45,0)</f>
        <v/>
      </c>
      <c r="S45" s="32">
        <f>IFERROR(ROUNDUP(SQRT(2*G45*WeeksYear*OrderCost/(E45*HoldRate)),0),0)</f>
        <v/>
      </c>
      <c r="T45" s="32">
        <f>IFERROR(INDEX(Inventory!$B:$B,MATCH(A45,Inventory!$A:$A,0)),0)</f>
        <v/>
      </c>
      <c r="U45" s="32">
        <f>IFERROR(INDEX(Inventory!$C:$C,MATCH(A45,Inventory!$A:$A,0)),0)</f>
        <v/>
      </c>
      <c r="V45" s="32">
        <f>T45+U45</f>
        <v/>
      </c>
      <c r="W45" s="33">
        <f>IFERROR(T45/G45,0)</f>
        <v/>
      </c>
      <c r="X45" s="36">
        <f>IF(V45&lt;Q45,"Critical - expedite",IF(V45&lt;=R45,"Order now",IF(V45&gt;R45+S45,"Overstock","Healthy")))</f>
        <v/>
      </c>
      <c r="Y45" s="32">
        <f>IF(OR(X45="Critical - expedite",X45="Order now"),MAX(S45,R45+S45-V45),0)</f>
        <v/>
      </c>
      <c r="Z45" s="34">
        <f>IF(X45="Overstock",(V45-R45-S45)*E45,0)</f>
        <v/>
      </c>
      <c r="AA45" s="34">
        <f>Q45*E45</f>
        <v/>
      </c>
      <c r="AB45" s="34">
        <f>IFERROR(G45*WeeksYear/(G45*CurrentCoverWks)*OrderCost+G45*CurrentCoverWks/2*E45*HoldRate,0)</f>
        <v/>
      </c>
      <c r="AC45" s="34">
        <f>IFERROR(G45*WeeksYear/S45*OrderCost+S45/2*E45*HoldRate,0)</f>
        <v/>
      </c>
      <c r="AD45" s="34">
        <f>AB45-AC45</f>
        <v/>
      </c>
      <c r="AE45" s="36">
        <f>IFERROR(INDEX(SegStrategy,MATCH(N45,SegList,0)),"")</f>
        <v/>
      </c>
      <c r="AF45" s="36">
        <f>IF(D45=SimSupplier,COUNTIF($D$5:D45,SimSupplier),"")</f>
        <v/>
      </c>
      <c r="AG45" s="36">
        <f>IF(OR(X45="Critical - expedite",X45="Order now"),COUNTIF($X$5:X45,"Critical - expedite")+COUNTIF($X$5:X45,"Order now"),"")</f>
        <v/>
      </c>
    </row>
    <row r="46">
      <c r="A46" s="30">
        <f>Products!A43</f>
        <v/>
      </c>
      <c r="B46" s="30">
        <f>Products!B43</f>
        <v/>
      </c>
      <c r="C46" s="30">
        <f>Products!C43</f>
        <v/>
      </c>
      <c r="D46" s="30">
        <f>Products!E43</f>
        <v/>
      </c>
      <c r="E46" s="31">
        <f>Products!D43</f>
        <v/>
      </c>
      <c r="F46" s="32">
        <f>SUMIFS(D_Units,D_SKU,A46,D_Last52,1)</f>
        <v/>
      </c>
      <c r="G46" s="33">
        <f>IFERROR(AVERAGEIFS(D_Units,D_SKU,A46,D_Last52,1),0)</f>
        <v/>
      </c>
      <c r="H46" s="33">
        <f>IFERROR(SQRT(MAX(0,(SUMIFS(D_Units2,D_SKU,A46)-COUNTIFS(D_SKU,A46,D_Last52,1)*G46^2)/(COUNTIFS(D_SKU,A46,D_Last52,1)-1))),0)</f>
        <v/>
      </c>
      <c r="I46" s="34">
        <f>F46*E46</f>
        <v/>
      </c>
      <c r="J46" s="35">
        <f>IFERROR(SUMIF($I$5:$I$53,"&gt;"&amp;I46)/SUM($I$5:$I$53),0)</f>
        <v/>
      </c>
      <c r="K46" s="36">
        <f>IF(J46&lt;ACut,"A",IF(J46&lt;BCut,"B","C"))</f>
        <v/>
      </c>
      <c r="L46" s="37">
        <f>IFERROR(H46/G46,0)</f>
        <v/>
      </c>
      <c r="M46" s="36">
        <f>IF(L46&lt;=XMaxCV,"X",IF(L46&lt;=YMaxCV,"Y","Z"))</f>
        <v/>
      </c>
      <c r="N46" s="36">
        <f>K46&amp;M46</f>
        <v/>
      </c>
      <c r="O46" s="33">
        <f>IFERROR(INDEX(SC_LT,MATCH(D46,SC_ID,0)),0)</f>
        <v/>
      </c>
      <c r="P46" s="33">
        <f>IFERROR(INDEX(SC_LTStd,MATCH(D46,SC_ID,0)),0)</f>
        <v/>
      </c>
      <c r="Q46" s="32">
        <f>ROUNDUP(z*SQRT(O46*H46^2+G46^2*P46^2),0)</f>
        <v/>
      </c>
      <c r="R46" s="32">
        <f>ROUNDUP(G46*O46+Q46,0)</f>
        <v/>
      </c>
      <c r="S46" s="32">
        <f>IFERROR(ROUNDUP(SQRT(2*G46*WeeksYear*OrderCost/(E46*HoldRate)),0),0)</f>
        <v/>
      </c>
      <c r="T46" s="32">
        <f>IFERROR(INDEX(Inventory!$B:$B,MATCH(A46,Inventory!$A:$A,0)),0)</f>
        <v/>
      </c>
      <c r="U46" s="32">
        <f>IFERROR(INDEX(Inventory!$C:$C,MATCH(A46,Inventory!$A:$A,0)),0)</f>
        <v/>
      </c>
      <c r="V46" s="32">
        <f>T46+U46</f>
        <v/>
      </c>
      <c r="W46" s="33">
        <f>IFERROR(T46/G46,0)</f>
        <v/>
      </c>
      <c r="X46" s="36">
        <f>IF(V46&lt;Q46,"Critical - expedite",IF(V46&lt;=R46,"Order now",IF(V46&gt;R46+S46,"Overstock","Healthy")))</f>
        <v/>
      </c>
      <c r="Y46" s="32">
        <f>IF(OR(X46="Critical - expedite",X46="Order now"),MAX(S46,R46+S46-V46),0)</f>
        <v/>
      </c>
      <c r="Z46" s="34">
        <f>IF(X46="Overstock",(V46-R46-S46)*E46,0)</f>
        <v/>
      </c>
      <c r="AA46" s="34">
        <f>Q46*E46</f>
        <v/>
      </c>
      <c r="AB46" s="34">
        <f>IFERROR(G46*WeeksYear/(G46*CurrentCoverWks)*OrderCost+G46*CurrentCoverWks/2*E46*HoldRate,0)</f>
        <v/>
      </c>
      <c r="AC46" s="34">
        <f>IFERROR(G46*WeeksYear/S46*OrderCost+S46/2*E46*HoldRate,0)</f>
        <v/>
      </c>
      <c r="AD46" s="34">
        <f>AB46-AC46</f>
        <v/>
      </c>
      <c r="AE46" s="36">
        <f>IFERROR(INDEX(SegStrategy,MATCH(N46,SegList,0)),"")</f>
        <v/>
      </c>
      <c r="AF46" s="36">
        <f>IF(D46=SimSupplier,COUNTIF($D$5:D46,SimSupplier),"")</f>
        <v/>
      </c>
      <c r="AG46" s="36">
        <f>IF(OR(X46="Critical - expedite",X46="Order now"),COUNTIF($X$5:X46,"Critical - expedite")+COUNTIF($X$5:X46,"Order now"),"")</f>
        <v/>
      </c>
    </row>
    <row r="47">
      <c r="A47" s="30">
        <f>Products!A44</f>
        <v/>
      </c>
      <c r="B47" s="30">
        <f>Products!B44</f>
        <v/>
      </c>
      <c r="C47" s="30">
        <f>Products!C44</f>
        <v/>
      </c>
      <c r="D47" s="30">
        <f>Products!E44</f>
        <v/>
      </c>
      <c r="E47" s="31">
        <f>Products!D44</f>
        <v/>
      </c>
      <c r="F47" s="32">
        <f>SUMIFS(D_Units,D_SKU,A47,D_Last52,1)</f>
        <v/>
      </c>
      <c r="G47" s="33">
        <f>IFERROR(AVERAGEIFS(D_Units,D_SKU,A47,D_Last52,1),0)</f>
        <v/>
      </c>
      <c r="H47" s="33">
        <f>IFERROR(SQRT(MAX(0,(SUMIFS(D_Units2,D_SKU,A47)-COUNTIFS(D_SKU,A47,D_Last52,1)*G47^2)/(COUNTIFS(D_SKU,A47,D_Last52,1)-1))),0)</f>
        <v/>
      </c>
      <c r="I47" s="34">
        <f>F47*E47</f>
        <v/>
      </c>
      <c r="J47" s="35">
        <f>IFERROR(SUMIF($I$5:$I$53,"&gt;"&amp;I47)/SUM($I$5:$I$53),0)</f>
        <v/>
      </c>
      <c r="K47" s="36">
        <f>IF(J47&lt;ACut,"A",IF(J47&lt;BCut,"B","C"))</f>
        <v/>
      </c>
      <c r="L47" s="37">
        <f>IFERROR(H47/G47,0)</f>
        <v/>
      </c>
      <c r="M47" s="36">
        <f>IF(L47&lt;=XMaxCV,"X",IF(L47&lt;=YMaxCV,"Y","Z"))</f>
        <v/>
      </c>
      <c r="N47" s="36">
        <f>K47&amp;M47</f>
        <v/>
      </c>
      <c r="O47" s="33">
        <f>IFERROR(INDEX(SC_LT,MATCH(D47,SC_ID,0)),0)</f>
        <v/>
      </c>
      <c r="P47" s="33">
        <f>IFERROR(INDEX(SC_LTStd,MATCH(D47,SC_ID,0)),0)</f>
        <v/>
      </c>
      <c r="Q47" s="32">
        <f>ROUNDUP(z*SQRT(O47*H47^2+G47^2*P47^2),0)</f>
        <v/>
      </c>
      <c r="R47" s="32">
        <f>ROUNDUP(G47*O47+Q47,0)</f>
        <v/>
      </c>
      <c r="S47" s="32">
        <f>IFERROR(ROUNDUP(SQRT(2*G47*WeeksYear*OrderCost/(E47*HoldRate)),0),0)</f>
        <v/>
      </c>
      <c r="T47" s="32">
        <f>IFERROR(INDEX(Inventory!$B:$B,MATCH(A47,Inventory!$A:$A,0)),0)</f>
        <v/>
      </c>
      <c r="U47" s="32">
        <f>IFERROR(INDEX(Inventory!$C:$C,MATCH(A47,Inventory!$A:$A,0)),0)</f>
        <v/>
      </c>
      <c r="V47" s="32">
        <f>T47+U47</f>
        <v/>
      </c>
      <c r="W47" s="33">
        <f>IFERROR(T47/G47,0)</f>
        <v/>
      </c>
      <c r="X47" s="36">
        <f>IF(V47&lt;Q47,"Critical - expedite",IF(V47&lt;=R47,"Order now",IF(V47&gt;R47+S47,"Overstock","Healthy")))</f>
        <v/>
      </c>
      <c r="Y47" s="32">
        <f>IF(OR(X47="Critical - expedite",X47="Order now"),MAX(S47,R47+S47-V47),0)</f>
        <v/>
      </c>
      <c r="Z47" s="34">
        <f>IF(X47="Overstock",(V47-R47-S47)*E47,0)</f>
        <v/>
      </c>
      <c r="AA47" s="34">
        <f>Q47*E47</f>
        <v/>
      </c>
      <c r="AB47" s="34">
        <f>IFERROR(G47*WeeksYear/(G47*CurrentCoverWks)*OrderCost+G47*CurrentCoverWks/2*E47*HoldRate,0)</f>
        <v/>
      </c>
      <c r="AC47" s="34">
        <f>IFERROR(G47*WeeksYear/S47*OrderCost+S47/2*E47*HoldRate,0)</f>
        <v/>
      </c>
      <c r="AD47" s="34">
        <f>AB47-AC47</f>
        <v/>
      </c>
      <c r="AE47" s="36">
        <f>IFERROR(INDEX(SegStrategy,MATCH(N47,SegList,0)),"")</f>
        <v/>
      </c>
      <c r="AF47" s="36">
        <f>IF(D47=SimSupplier,COUNTIF($D$5:D47,SimSupplier),"")</f>
        <v/>
      </c>
      <c r="AG47" s="36">
        <f>IF(OR(X47="Critical - expedite",X47="Order now"),COUNTIF($X$5:X47,"Critical - expedite")+COUNTIF($X$5:X47,"Order now"),"")</f>
        <v/>
      </c>
    </row>
    <row r="48">
      <c r="A48" s="30">
        <f>Products!A45</f>
        <v/>
      </c>
      <c r="B48" s="30">
        <f>Products!B45</f>
        <v/>
      </c>
      <c r="C48" s="30">
        <f>Products!C45</f>
        <v/>
      </c>
      <c r="D48" s="30">
        <f>Products!E45</f>
        <v/>
      </c>
      <c r="E48" s="31">
        <f>Products!D45</f>
        <v/>
      </c>
      <c r="F48" s="32">
        <f>SUMIFS(D_Units,D_SKU,A48,D_Last52,1)</f>
        <v/>
      </c>
      <c r="G48" s="33">
        <f>IFERROR(AVERAGEIFS(D_Units,D_SKU,A48,D_Last52,1),0)</f>
        <v/>
      </c>
      <c r="H48" s="33">
        <f>IFERROR(SQRT(MAX(0,(SUMIFS(D_Units2,D_SKU,A48)-COUNTIFS(D_SKU,A48,D_Last52,1)*G48^2)/(COUNTIFS(D_SKU,A48,D_Last52,1)-1))),0)</f>
        <v/>
      </c>
      <c r="I48" s="34">
        <f>F48*E48</f>
        <v/>
      </c>
      <c r="J48" s="35">
        <f>IFERROR(SUMIF($I$5:$I$53,"&gt;"&amp;I48)/SUM($I$5:$I$53),0)</f>
        <v/>
      </c>
      <c r="K48" s="36">
        <f>IF(J48&lt;ACut,"A",IF(J48&lt;BCut,"B","C"))</f>
        <v/>
      </c>
      <c r="L48" s="37">
        <f>IFERROR(H48/G48,0)</f>
        <v/>
      </c>
      <c r="M48" s="36">
        <f>IF(L48&lt;=XMaxCV,"X",IF(L48&lt;=YMaxCV,"Y","Z"))</f>
        <v/>
      </c>
      <c r="N48" s="36">
        <f>K48&amp;M48</f>
        <v/>
      </c>
      <c r="O48" s="33">
        <f>IFERROR(INDEX(SC_LT,MATCH(D48,SC_ID,0)),0)</f>
        <v/>
      </c>
      <c r="P48" s="33">
        <f>IFERROR(INDEX(SC_LTStd,MATCH(D48,SC_ID,0)),0)</f>
        <v/>
      </c>
      <c r="Q48" s="32">
        <f>ROUNDUP(z*SQRT(O48*H48^2+G48^2*P48^2),0)</f>
        <v/>
      </c>
      <c r="R48" s="32">
        <f>ROUNDUP(G48*O48+Q48,0)</f>
        <v/>
      </c>
      <c r="S48" s="32">
        <f>IFERROR(ROUNDUP(SQRT(2*G48*WeeksYear*OrderCost/(E48*HoldRate)),0),0)</f>
        <v/>
      </c>
      <c r="T48" s="32">
        <f>IFERROR(INDEX(Inventory!$B:$B,MATCH(A48,Inventory!$A:$A,0)),0)</f>
        <v/>
      </c>
      <c r="U48" s="32">
        <f>IFERROR(INDEX(Inventory!$C:$C,MATCH(A48,Inventory!$A:$A,0)),0)</f>
        <v/>
      </c>
      <c r="V48" s="32">
        <f>T48+U48</f>
        <v/>
      </c>
      <c r="W48" s="33">
        <f>IFERROR(T48/G48,0)</f>
        <v/>
      </c>
      <c r="X48" s="36">
        <f>IF(V48&lt;Q48,"Critical - expedite",IF(V48&lt;=R48,"Order now",IF(V48&gt;R48+S48,"Overstock","Healthy")))</f>
        <v/>
      </c>
      <c r="Y48" s="32">
        <f>IF(OR(X48="Critical - expedite",X48="Order now"),MAX(S48,R48+S48-V48),0)</f>
        <v/>
      </c>
      <c r="Z48" s="34">
        <f>IF(X48="Overstock",(V48-R48-S48)*E48,0)</f>
        <v/>
      </c>
      <c r="AA48" s="34">
        <f>Q48*E48</f>
        <v/>
      </c>
      <c r="AB48" s="34">
        <f>IFERROR(G48*WeeksYear/(G48*CurrentCoverWks)*OrderCost+G48*CurrentCoverWks/2*E48*HoldRate,0)</f>
        <v/>
      </c>
      <c r="AC48" s="34">
        <f>IFERROR(G48*WeeksYear/S48*OrderCost+S48/2*E48*HoldRate,0)</f>
        <v/>
      </c>
      <c r="AD48" s="34">
        <f>AB48-AC48</f>
        <v/>
      </c>
      <c r="AE48" s="36">
        <f>IFERROR(INDEX(SegStrategy,MATCH(N48,SegList,0)),"")</f>
        <v/>
      </c>
      <c r="AF48" s="36">
        <f>IF(D48=SimSupplier,COUNTIF($D$5:D48,SimSupplier),"")</f>
        <v/>
      </c>
      <c r="AG48" s="36">
        <f>IF(OR(X48="Critical - expedite",X48="Order now"),COUNTIF($X$5:X48,"Critical - expedite")+COUNTIF($X$5:X48,"Order now"),"")</f>
        <v/>
      </c>
    </row>
    <row r="49">
      <c r="A49" s="30">
        <f>Products!A46</f>
        <v/>
      </c>
      <c r="B49" s="30">
        <f>Products!B46</f>
        <v/>
      </c>
      <c r="C49" s="30">
        <f>Products!C46</f>
        <v/>
      </c>
      <c r="D49" s="30">
        <f>Products!E46</f>
        <v/>
      </c>
      <c r="E49" s="31">
        <f>Products!D46</f>
        <v/>
      </c>
      <c r="F49" s="32">
        <f>SUMIFS(D_Units,D_SKU,A49,D_Last52,1)</f>
        <v/>
      </c>
      <c r="G49" s="33">
        <f>IFERROR(AVERAGEIFS(D_Units,D_SKU,A49,D_Last52,1),0)</f>
        <v/>
      </c>
      <c r="H49" s="33">
        <f>IFERROR(SQRT(MAX(0,(SUMIFS(D_Units2,D_SKU,A49)-COUNTIFS(D_SKU,A49,D_Last52,1)*G49^2)/(COUNTIFS(D_SKU,A49,D_Last52,1)-1))),0)</f>
        <v/>
      </c>
      <c r="I49" s="34">
        <f>F49*E49</f>
        <v/>
      </c>
      <c r="J49" s="35">
        <f>IFERROR(SUMIF($I$5:$I$53,"&gt;"&amp;I49)/SUM($I$5:$I$53),0)</f>
        <v/>
      </c>
      <c r="K49" s="36">
        <f>IF(J49&lt;ACut,"A",IF(J49&lt;BCut,"B","C"))</f>
        <v/>
      </c>
      <c r="L49" s="37">
        <f>IFERROR(H49/G49,0)</f>
        <v/>
      </c>
      <c r="M49" s="36">
        <f>IF(L49&lt;=XMaxCV,"X",IF(L49&lt;=YMaxCV,"Y","Z"))</f>
        <v/>
      </c>
      <c r="N49" s="36">
        <f>K49&amp;M49</f>
        <v/>
      </c>
      <c r="O49" s="33">
        <f>IFERROR(INDEX(SC_LT,MATCH(D49,SC_ID,0)),0)</f>
        <v/>
      </c>
      <c r="P49" s="33">
        <f>IFERROR(INDEX(SC_LTStd,MATCH(D49,SC_ID,0)),0)</f>
        <v/>
      </c>
      <c r="Q49" s="32">
        <f>ROUNDUP(z*SQRT(O49*H49^2+G49^2*P49^2),0)</f>
        <v/>
      </c>
      <c r="R49" s="32">
        <f>ROUNDUP(G49*O49+Q49,0)</f>
        <v/>
      </c>
      <c r="S49" s="32">
        <f>IFERROR(ROUNDUP(SQRT(2*G49*WeeksYear*OrderCost/(E49*HoldRate)),0),0)</f>
        <v/>
      </c>
      <c r="T49" s="32">
        <f>IFERROR(INDEX(Inventory!$B:$B,MATCH(A49,Inventory!$A:$A,0)),0)</f>
        <v/>
      </c>
      <c r="U49" s="32">
        <f>IFERROR(INDEX(Inventory!$C:$C,MATCH(A49,Inventory!$A:$A,0)),0)</f>
        <v/>
      </c>
      <c r="V49" s="32">
        <f>T49+U49</f>
        <v/>
      </c>
      <c r="W49" s="33">
        <f>IFERROR(T49/G49,0)</f>
        <v/>
      </c>
      <c r="X49" s="36">
        <f>IF(V49&lt;Q49,"Critical - expedite",IF(V49&lt;=R49,"Order now",IF(V49&gt;R49+S49,"Overstock","Healthy")))</f>
        <v/>
      </c>
      <c r="Y49" s="32">
        <f>IF(OR(X49="Critical - expedite",X49="Order now"),MAX(S49,R49+S49-V49),0)</f>
        <v/>
      </c>
      <c r="Z49" s="34">
        <f>IF(X49="Overstock",(V49-R49-S49)*E49,0)</f>
        <v/>
      </c>
      <c r="AA49" s="34">
        <f>Q49*E49</f>
        <v/>
      </c>
      <c r="AB49" s="34">
        <f>IFERROR(G49*WeeksYear/(G49*CurrentCoverWks)*OrderCost+G49*CurrentCoverWks/2*E49*HoldRate,0)</f>
        <v/>
      </c>
      <c r="AC49" s="34">
        <f>IFERROR(G49*WeeksYear/S49*OrderCost+S49/2*E49*HoldRate,0)</f>
        <v/>
      </c>
      <c r="AD49" s="34">
        <f>AB49-AC49</f>
        <v/>
      </c>
      <c r="AE49" s="36">
        <f>IFERROR(INDEX(SegStrategy,MATCH(N49,SegList,0)),"")</f>
        <v/>
      </c>
      <c r="AF49" s="36">
        <f>IF(D49=SimSupplier,COUNTIF($D$5:D49,SimSupplier),"")</f>
        <v/>
      </c>
      <c r="AG49" s="36">
        <f>IF(OR(X49="Critical - expedite",X49="Order now"),COUNTIF($X$5:X49,"Critical - expedite")+COUNTIF($X$5:X49,"Order now"),"")</f>
        <v/>
      </c>
    </row>
    <row r="50">
      <c r="A50" s="30">
        <f>Products!A47</f>
        <v/>
      </c>
      <c r="B50" s="30">
        <f>Products!B47</f>
        <v/>
      </c>
      <c r="C50" s="30">
        <f>Products!C47</f>
        <v/>
      </c>
      <c r="D50" s="30">
        <f>Products!E47</f>
        <v/>
      </c>
      <c r="E50" s="31">
        <f>Products!D47</f>
        <v/>
      </c>
      <c r="F50" s="32">
        <f>SUMIFS(D_Units,D_SKU,A50,D_Last52,1)</f>
        <v/>
      </c>
      <c r="G50" s="33">
        <f>IFERROR(AVERAGEIFS(D_Units,D_SKU,A50,D_Last52,1),0)</f>
        <v/>
      </c>
      <c r="H50" s="33">
        <f>IFERROR(SQRT(MAX(0,(SUMIFS(D_Units2,D_SKU,A50)-COUNTIFS(D_SKU,A50,D_Last52,1)*G50^2)/(COUNTIFS(D_SKU,A50,D_Last52,1)-1))),0)</f>
        <v/>
      </c>
      <c r="I50" s="34">
        <f>F50*E50</f>
        <v/>
      </c>
      <c r="J50" s="35">
        <f>IFERROR(SUMIF($I$5:$I$53,"&gt;"&amp;I50)/SUM($I$5:$I$53),0)</f>
        <v/>
      </c>
      <c r="K50" s="36">
        <f>IF(J50&lt;ACut,"A",IF(J50&lt;BCut,"B","C"))</f>
        <v/>
      </c>
      <c r="L50" s="37">
        <f>IFERROR(H50/G50,0)</f>
        <v/>
      </c>
      <c r="M50" s="36">
        <f>IF(L50&lt;=XMaxCV,"X",IF(L50&lt;=YMaxCV,"Y","Z"))</f>
        <v/>
      </c>
      <c r="N50" s="36">
        <f>K50&amp;M50</f>
        <v/>
      </c>
      <c r="O50" s="33">
        <f>IFERROR(INDEX(SC_LT,MATCH(D50,SC_ID,0)),0)</f>
        <v/>
      </c>
      <c r="P50" s="33">
        <f>IFERROR(INDEX(SC_LTStd,MATCH(D50,SC_ID,0)),0)</f>
        <v/>
      </c>
      <c r="Q50" s="32">
        <f>ROUNDUP(z*SQRT(O50*H50^2+G50^2*P50^2),0)</f>
        <v/>
      </c>
      <c r="R50" s="32">
        <f>ROUNDUP(G50*O50+Q50,0)</f>
        <v/>
      </c>
      <c r="S50" s="32">
        <f>IFERROR(ROUNDUP(SQRT(2*G50*WeeksYear*OrderCost/(E50*HoldRate)),0),0)</f>
        <v/>
      </c>
      <c r="T50" s="32">
        <f>IFERROR(INDEX(Inventory!$B:$B,MATCH(A50,Inventory!$A:$A,0)),0)</f>
        <v/>
      </c>
      <c r="U50" s="32">
        <f>IFERROR(INDEX(Inventory!$C:$C,MATCH(A50,Inventory!$A:$A,0)),0)</f>
        <v/>
      </c>
      <c r="V50" s="32">
        <f>T50+U50</f>
        <v/>
      </c>
      <c r="W50" s="33">
        <f>IFERROR(T50/G50,0)</f>
        <v/>
      </c>
      <c r="X50" s="36">
        <f>IF(V50&lt;Q50,"Critical - expedite",IF(V50&lt;=R50,"Order now",IF(V50&gt;R50+S50,"Overstock","Healthy")))</f>
        <v/>
      </c>
      <c r="Y50" s="32">
        <f>IF(OR(X50="Critical - expedite",X50="Order now"),MAX(S50,R50+S50-V50),0)</f>
        <v/>
      </c>
      <c r="Z50" s="34">
        <f>IF(X50="Overstock",(V50-R50-S50)*E50,0)</f>
        <v/>
      </c>
      <c r="AA50" s="34">
        <f>Q50*E50</f>
        <v/>
      </c>
      <c r="AB50" s="34">
        <f>IFERROR(G50*WeeksYear/(G50*CurrentCoverWks)*OrderCost+G50*CurrentCoverWks/2*E50*HoldRate,0)</f>
        <v/>
      </c>
      <c r="AC50" s="34">
        <f>IFERROR(G50*WeeksYear/S50*OrderCost+S50/2*E50*HoldRate,0)</f>
        <v/>
      </c>
      <c r="AD50" s="34">
        <f>AB50-AC50</f>
        <v/>
      </c>
      <c r="AE50" s="36">
        <f>IFERROR(INDEX(SegStrategy,MATCH(N50,SegList,0)),"")</f>
        <v/>
      </c>
      <c r="AF50" s="36">
        <f>IF(D50=SimSupplier,COUNTIF($D$5:D50,SimSupplier),"")</f>
        <v/>
      </c>
      <c r="AG50" s="36">
        <f>IF(OR(X50="Critical - expedite",X50="Order now"),COUNTIF($X$5:X50,"Critical - expedite")+COUNTIF($X$5:X50,"Order now"),"")</f>
        <v/>
      </c>
    </row>
    <row r="51">
      <c r="A51" s="30">
        <f>Products!A48</f>
        <v/>
      </c>
      <c r="B51" s="30">
        <f>Products!B48</f>
        <v/>
      </c>
      <c r="C51" s="30">
        <f>Products!C48</f>
        <v/>
      </c>
      <c r="D51" s="30">
        <f>Products!E48</f>
        <v/>
      </c>
      <c r="E51" s="31">
        <f>Products!D48</f>
        <v/>
      </c>
      <c r="F51" s="32">
        <f>SUMIFS(D_Units,D_SKU,A51,D_Last52,1)</f>
        <v/>
      </c>
      <c r="G51" s="33">
        <f>IFERROR(AVERAGEIFS(D_Units,D_SKU,A51,D_Last52,1),0)</f>
        <v/>
      </c>
      <c r="H51" s="33">
        <f>IFERROR(SQRT(MAX(0,(SUMIFS(D_Units2,D_SKU,A51)-COUNTIFS(D_SKU,A51,D_Last52,1)*G51^2)/(COUNTIFS(D_SKU,A51,D_Last52,1)-1))),0)</f>
        <v/>
      </c>
      <c r="I51" s="34">
        <f>F51*E51</f>
        <v/>
      </c>
      <c r="J51" s="35">
        <f>IFERROR(SUMIF($I$5:$I$53,"&gt;"&amp;I51)/SUM($I$5:$I$53),0)</f>
        <v/>
      </c>
      <c r="K51" s="36">
        <f>IF(J51&lt;ACut,"A",IF(J51&lt;BCut,"B","C"))</f>
        <v/>
      </c>
      <c r="L51" s="37">
        <f>IFERROR(H51/G51,0)</f>
        <v/>
      </c>
      <c r="M51" s="36">
        <f>IF(L51&lt;=XMaxCV,"X",IF(L51&lt;=YMaxCV,"Y","Z"))</f>
        <v/>
      </c>
      <c r="N51" s="36">
        <f>K51&amp;M51</f>
        <v/>
      </c>
      <c r="O51" s="33">
        <f>IFERROR(INDEX(SC_LT,MATCH(D51,SC_ID,0)),0)</f>
        <v/>
      </c>
      <c r="P51" s="33">
        <f>IFERROR(INDEX(SC_LTStd,MATCH(D51,SC_ID,0)),0)</f>
        <v/>
      </c>
      <c r="Q51" s="32">
        <f>ROUNDUP(z*SQRT(O51*H51^2+G51^2*P51^2),0)</f>
        <v/>
      </c>
      <c r="R51" s="32">
        <f>ROUNDUP(G51*O51+Q51,0)</f>
        <v/>
      </c>
      <c r="S51" s="32">
        <f>IFERROR(ROUNDUP(SQRT(2*G51*WeeksYear*OrderCost/(E51*HoldRate)),0),0)</f>
        <v/>
      </c>
      <c r="T51" s="32">
        <f>IFERROR(INDEX(Inventory!$B:$B,MATCH(A51,Inventory!$A:$A,0)),0)</f>
        <v/>
      </c>
      <c r="U51" s="32">
        <f>IFERROR(INDEX(Inventory!$C:$C,MATCH(A51,Inventory!$A:$A,0)),0)</f>
        <v/>
      </c>
      <c r="V51" s="32">
        <f>T51+U51</f>
        <v/>
      </c>
      <c r="W51" s="33">
        <f>IFERROR(T51/G51,0)</f>
        <v/>
      </c>
      <c r="X51" s="36">
        <f>IF(V51&lt;Q51,"Critical - expedite",IF(V51&lt;=R51,"Order now",IF(V51&gt;R51+S51,"Overstock","Healthy")))</f>
        <v/>
      </c>
      <c r="Y51" s="32">
        <f>IF(OR(X51="Critical - expedite",X51="Order now"),MAX(S51,R51+S51-V51),0)</f>
        <v/>
      </c>
      <c r="Z51" s="34">
        <f>IF(X51="Overstock",(V51-R51-S51)*E51,0)</f>
        <v/>
      </c>
      <c r="AA51" s="34">
        <f>Q51*E51</f>
        <v/>
      </c>
      <c r="AB51" s="34">
        <f>IFERROR(G51*WeeksYear/(G51*CurrentCoverWks)*OrderCost+G51*CurrentCoverWks/2*E51*HoldRate,0)</f>
        <v/>
      </c>
      <c r="AC51" s="34">
        <f>IFERROR(G51*WeeksYear/S51*OrderCost+S51/2*E51*HoldRate,0)</f>
        <v/>
      </c>
      <c r="AD51" s="34">
        <f>AB51-AC51</f>
        <v/>
      </c>
      <c r="AE51" s="36">
        <f>IFERROR(INDEX(SegStrategy,MATCH(N51,SegList,0)),"")</f>
        <v/>
      </c>
      <c r="AF51" s="36">
        <f>IF(D51=SimSupplier,COUNTIF($D$5:D51,SimSupplier),"")</f>
        <v/>
      </c>
      <c r="AG51" s="36">
        <f>IF(OR(X51="Critical - expedite",X51="Order now"),COUNTIF($X$5:X51,"Critical - expedite")+COUNTIF($X$5:X51,"Order now"),"")</f>
        <v/>
      </c>
    </row>
    <row r="52">
      <c r="A52" s="30">
        <f>Products!A49</f>
        <v/>
      </c>
      <c r="B52" s="30">
        <f>Products!B49</f>
        <v/>
      </c>
      <c r="C52" s="30">
        <f>Products!C49</f>
        <v/>
      </c>
      <c r="D52" s="30">
        <f>Products!E49</f>
        <v/>
      </c>
      <c r="E52" s="31">
        <f>Products!D49</f>
        <v/>
      </c>
      <c r="F52" s="32">
        <f>SUMIFS(D_Units,D_SKU,A52,D_Last52,1)</f>
        <v/>
      </c>
      <c r="G52" s="33">
        <f>IFERROR(AVERAGEIFS(D_Units,D_SKU,A52,D_Last52,1),0)</f>
        <v/>
      </c>
      <c r="H52" s="33">
        <f>IFERROR(SQRT(MAX(0,(SUMIFS(D_Units2,D_SKU,A52)-COUNTIFS(D_SKU,A52,D_Last52,1)*G52^2)/(COUNTIFS(D_SKU,A52,D_Last52,1)-1))),0)</f>
        <v/>
      </c>
      <c r="I52" s="34">
        <f>F52*E52</f>
        <v/>
      </c>
      <c r="J52" s="35">
        <f>IFERROR(SUMIF($I$5:$I$53,"&gt;"&amp;I52)/SUM($I$5:$I$53),0)</f>
        <v/>
      </c>
      <c r="K52" s="36">
        <f>IF(J52&lt;ACut,"A",IF(J52&lt;BCut,"B","C"))</f>
        <v/>
      </c>
      <c r="L52" s="37">
        <f>IFERROR(H52/G52,0)</f>
        <v/>
      </c>
      <c r="M52" s="36">
        <f>IF(L52&lt;=XMaxCV,"X",IF(L52&lt;=YMaxCV,"Y","Z"))</f>
        <v/>
      </c>
      <c r="N52" s="36">
        <f>K52&amp;M52</f>
        <v/>
      </c>
      <c r="O52" s="33">
        <f>IFERROR(INDEX(SC_LT,MATCH(D52,SC_ID,0)),0)</f>
        <v/>
      </c>
      <c r="P52" s="33">
        <f>IFERROR(INDEX(SC_LTStd,MATCH(D52,SC_ID,0)),0)</f>
        <v/>
      </c>
      <c r="Q52" s="32">
        <f>ROUNDUP(z*SQRT(O52*H52^2+G52^2*P52^2),0)</f>
        <v/>
      </c>
      <c r="R52" s="32">
        <f>ROUNDUP(G52*O52+Q52,0)</f>
        <v/>
      </c>
      <c r="S52" s="32">
        <f>IFERROR(ROUNDUP(SQRT(2*G52*WeeksYear*OrderCost/(E52*HoldRate)),0),0)</f>
        <v/>
      </c>
      <c r="T52" s="32">
        <f>IFERROR(INDEX(Inventory!$B:$B,MATCH(A52,Inventory!$A:$A,0)),0)</f>
        <v/>
      </c>
      <c r="U52" s="32">
        <f>IFERROR(INDEX(Inventory!$C:$C,MATCH(A52,Inventory!$A:$A,0)),0)</f>
        <v/>
      </c>
      <c r="V52" s="32">
        <f>T52+U52</f>
        <v/>
      </c>
      <c r="W52" s="33">
        <f>IFERROR(T52/G52,0)</f>
        <v/>
      </c>
      <c r="X52" s="36">
        <f>IF(V52&lt;Q52,"Critical - expedite",IF(V52&lt;=R52,"Order now",IF(V52&gt;R52+S52,"Overstock","Healthy")))</f>
        <v/>
      </c>
      <c r="Y52" s="32">
        <f>IF(OR(X52="Critical - expedite",X52="Order now"),MAX(S52,R52+S52-V52),0)</f>
        <v/>
      </c>
      <c r="Z52" s="34">
        <f>IF(X52="Overstock",(V52-R52-S52)*E52,0)</f>
        <v/>
      </c>
      <c r="AA52" s="34">
        <f>Q52*E52</f>
        <v/>
      </c>
      <c r="AB52" s="34">
        <f>IFERROR(G52*WeeksYear/(G52*CurrentCoverWks)*OrderCost+G52*CurrentCoverWks/2*E52*HoldRate,0)</f>
        <v/>
      </c>
      <c r="AC52" s="34">
        <f>IFERROR(G52*WeeksYear/S52*OrderCost+S52/2*E52*HoldRate,0)</f>
        <v/>
      </c>
      <c r="AD52" s="34">
        <f>AB52-AC52</f>
        <v/>
      </c>
      <c r="AE52" s="36">
        <f>IFERROR(INDEX(SegStrategy,MATCH(N52,SegList,0)),"")</f>
        <v/>
      </c>
      <c r="AF52" s="36">
        <f>IF(D52=SimSupplier,COUNTIF($D$5:D52,SimSupplier),"")</f>
        <v/>
      </c>
      <c r="AG52" s="36">
        <f>IF(OR(X52="Critical - expedite",X52="Order now"),COUNTIF($X$5:X52,"Critical - expedite")+COUNTIF($X$5:X52,"Order now"),"")</f>
        <v/>
      </c>
    </row>
    <row r="53">
      <c r="A53" s="30">
        <f>Products!A50</f>
        <v/>
      </c>
      <c r="B53" s="30">
        <f>Products!B50</f>
        <v/>
      </c>
      <c r="C53" s="30">
        <f>Products!C50</f>
        <v/>
      </c>
      <c r="D53" s="30">
        <f>Products!E50</f>
        <v/>
      </c>
      <c r="E53" s="31">
        <f>Products!D50</f>
        <v/>
      </c>
      <c r="F53" s="32">
        <f>SUMIFS(D_Units,D_SKU,A53,D_Last52,1)</f>
        <v/>
      </c>
      <c r="G53" s="33">
        <f>IFERROR(AVERAGEIFS(D_Units,D_SKU,A53,D_Last52,1),0)</f>
        <v/>
      </c>
      <c r="H53" s="33">
        <f>IFERROR(SQRT(MAX(0,(SUMIFS(D_Units2,D_SKU,A53)-COUNTIFS(D_SKU,A53,D_Last52,1)*G53^2)/(COUNTIFS(D_SKU,A53,D_Last52,1)-1))),0)</f>
        <v/>
      </c>
      <c r="I53" s="34">
        <f>F53*E53</f>
        <v/>
      </c>
      <c r="J53" s="35">
        <f>IFERROR(SUMIF($I$5:$I$53,"&gt;"&amp;I53)/SUM($I$5:$I$53),0)</f>
        <v/>
      </c>
      <c r="K53" s="36">
        <f>IF(J53&lt;ACut,"A",IF(J53&lt;BCut,"B","C"))</f>
        <v/>
      </c>
      <c r="L53" s="37">
        <f>IFERROR(H53/G53,0)</f>
        <v/>
      </c>
      <c r="M53" s="36">
        <f>IF(L53&lt;=XMaxCV,"X",IF(L53&lt;=YMaxCV,"Y","Z"))</f>
        <v/>
      </c>
      <c r="N53" s="36">
        <f>K53&amp;M53</f>
        <v/>
      </c>
      <c r="O53" s="33">
        <f>IFERROR(INDEX(SC_LT,MATCH(D53,SC_ID,0)),0)</f>
        <v/>
      </c>
      <c r="P53" s="33">
        <f>IFERROR(INDEX(SC_LTStd,MATCH(D53,SC_ID,0)),0)</f>
        <v/>
      </c>
      <c r="Q53" s="32">
        <f>ROUNDUP(z*SQRT(O53*H53^2+G53^2*P53^2),0)</f>
        <v/>
      </c>
      <c r="R53" s="32">
        <f>ROUNDUP(G53*O53+Q53,0)</f>
        <v/>
      </c>
      <c r="S53" s="32">
        <f>IFERROR(ROUNDUP(SQRT(2*G53*WeeksYear*OrderCost/(E53*HoldRate)),0),0)</f>
        <v/>
      </c>
      <c r="T53" s="32">
        <f>IFERROR(INDEX(Inventory!$B:$B,MATCH(A53,Inventory!$A:$A,0)),0)</f>
        <v/>
      </c>
      <c r="U53" s="32">
        <f>IFERROR(INDEX(Inventory!$C:$C,MATCH(A53,Inventory!$A:$A,0)),0)</f>
        <v/>
      </c>
      <c r="V53" s="32">
        <f>T53+U53</f>
        <v/>
      </c>
      <c r="W53" s="33">
        <f>IFERROR(T53/G53,0)</f>
        <v/>
      </c>
      <c r="X53" s="36">
        <f>IF(V53&lt;Q53,"Critical - expedite",IF(V53&lt;=R53,"Order now",IF(V53&gt;R53+S53,"Overstock","Healthy")))</f>
        <v/>
      </c>
      <c r="Y53" s="32">
        <f>IF(OR(X53="Critical - expedite",X53="Order now"),MAX(S53,R53+S53-V53),0)</f>
        <v/>
      </c>
      <c r="Z53" s="34">
        <f>IF(X53="Overstock",(V53-R53-S53)*E53,0)</f>
        <v/>
      </c>
      <c r="AA53" s="34">
        <f>Q53*E53</f>
        <v/>
      </c>
      <c r="AB53" s="34">
        <f>IFERROR(G53*WeeksYear/(G53*CurrentCoverWks)*OrderCost+G53*CurrentCoverWks/2*E53*HoldRate,0)</f>
        <v/>
      </c>
      <c r="AC53" s="34">
        <f>IFERROR(G53*WeeksYear/S53*OrderCost+S53/2*E53*HoldRate,0)</f>
        <v/>
      </c>
      <c r="AD53" s="34">
        <f>AB53-AC53</f>
        <v/>
      </c>
      <c r="AE53" s="36">
        <f>IFERROR(INDEX(SegStrategy,MATCH(N53,SegList,0)),"")</f>
        <v/>
      </c>
      <c r="AF53" s="36">
        <f>IF(D53=SimSupplier,COUNTIF($D$5:D53,SimSupplier),"")</f>
        <v/>
      </c>
      <c r="AG53" s="36">
        <f>IF(OR(X53="Critical - expedite",X53="Order now"),COUNTIF($X$5:X53,"Critical - expedite")+COUNTIF($X$5:X53,"Order now"),"")</f>
        <v/>
      </c>
    </row>
  </sheetData>
  <autoFilter ref="A4:AG53"/>
  <conditionalFormatting sqref="X5:X53">
    <cfRule type="cellIs" priority="1" operator="equal" dxfId="0">
      <formula>"Critical - expedite"</formula>
    </cfRule>
    <cfRule type="cellIs" priority="2" operator="equal" dxfId="1">
      <formula>"Order now"</formula>
    </cfRule>
    <cfRule type="cellIs" priority="3" operator="equal" dxfId="2">
      <formula>"Healthy"</formula>
    </cfRule>
    <cfRule type="cellIs" priority="4" operator="equal" dxfId="3">
      <formula>"Overstock"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11" customWidth="1" min="3" max="3"/>
    <col width="7" customWidth="1" min="4" max="4"/>
    <col width="14" customWidth="1" min="5" max="5"/>
    <col width="10" customWidth="1" min="6" max="6"/>
    <col width="10" customWidth="1" min="7" max="7"/>
    <col width="9" customWidth="1" min="8" max="8"/>
    <col width="10" customWidth="1" min="9" max="9"/>
    <col width="10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10" customWidth="1" min="24" max="24"/>
    <col width="11" customWidth="1" min="25" max="25"/>
    <col width="9" customWidth="1" min="26" max="26"/>
    <col width="20" customWidth="1" min="27" max="27"/>
    <col width="60" customWidth="1" min="28" max="28"/>
    <col width="8" customWidth="1" min="29" max="29"/>
  </cols>
  <sheetData>
    <row r="1">
      <c r="A1" s="1" t="inlineStr">
        <is>
          <t>Supplier Scorecard &amp; Risk Score</t>
        </is>
      </c>
    </row>
    <row r="2">
      <c r="A2" s="2" t="inlineStr">
        <is>
          <t>Every column is a formula over the Purchase_Orders sheet. Weights and thresholds are on the Assumptions sheet.</t>
        </is>
      </c>
    </row>
    <row r="3">
      <c r="T3" s="2" t="inlineStr">
        <is>
          <t>Weighted contribution of each factor (used to find the main driver)</t>
        </is>
      </c>
    </row>
    <row r="4" ht="30" customHeight="1">
      <c r="A4" s="29" t="inlineStr">
        <is>
          <t>Supplier ID</t>
        </is>
      </c>
      <c r="B4" s="29" t="inlineStr">
        <is>
          <t>Supplier</t>
        </is>
      </c>
      <c r="C4" s="29" t="inlineStr">
        <is>
          <t>Country</t>
        </is>
      </c>
      <c r="D4" s="29" t="inlineStr">
        <is>
          <t>POs</t>
        </is>
      </c>
      <c r="E4" s="29" t="inlineStr">
        <is>
          <t>Spend (CAD)</t>
        </is>
      </c>
      <c r="F4" s="29" t="inlineStr">
        <is>
          <t>Share of spend</t>
        </is>
      </c>
      <c r="G4" s="29" t="inlineStr">
        <is>
          <t>On-time delivery</t>
        </is>
      </c>
      <c r="H4" s="29" t="inlineStr">
        <is>
          <t>Avg days late</t>
        </is>
      </c>
      <c r="I4" s="29" t="inlineStr">
        <is>
          <t>Avg lead time (wks)</t>
        </is>
      </c>
      <c r="J4" s="29" t="inlineStr">
        <is>
          <t>Lead time std (wks)</t>
        </is>
      </c>
      <c r="K4" s="29" t="inlineStr">
        <is>
          <t>Lead time CV</t>
        </is>
      </c>
      <c r="L4" s="29" t="inlineStr">
        <is>
          <t>Fill rate</t>
        </is>
      </c>
      <c r="M4" s="29" t="inlineStr">
        <is>
          <t>Defect rate</t>
        </is>
      </c>
      <c r="N4" s="29" t="inlineStr">
        <is>
          <t>Country risk (1-5)</t>
        </is>
      </c>
      <c r="O4" s="29" t="inlineStr">
        <is>
          <t>Factor: late</t>
        </is>
      </c>
      <c r="P4" s="29" t="inlineStr">
        <is>
          <t>Factor: LT variability</t>
        </is>
      </c>
      <c r="Q4" s="29" t="inlineStr">
        <is>
          <t>Factor: quality</t>
        </is>
      </c>
      <c r="R4" s="29" t="inlineStr">
        <is>
          <t>Factor: country</t>
        </is>
      </c>
      <c r="S4" s="29" t="inlineStr">
        <is>
          <t>Factor: spend</t>
        </is>
      </c>
      <c r="T4" s="29" t="inlineStr">
        <is>
          <t>late delivery</t>
        </is>
      </c>
      <c r="U4" s="29" t="inlineStr">
        <is>
          <t>lead time variability</t>
        </is>
      </c>
      <c r="V4" s="29" t="inlineStr">
        <is>
          <t>quality</t>
        </is>
      </c>
      <c r="W4" s="29" t="inlineStr">
        <is>
          <t>country risk</t>
        </is>
      </c>
      <c r="X4" s="29" t="inlineStr">
        <is>
          <t>spend dependency</t>
        </is>
      </c>
      <c r="Y4" s="29" t="inlineStr">
        <is>
          <t>Risk score (0-100)</t>
        </is>
      </c>
      <c r="Z4" s="29" t="inlineStr">
        <is>
          <t>Risk tier</t>
        </is>
      </c>
      <c r="AA4" s="29" t="inlineStr">
        <is>
          <t>Main risk driver</t>
        </is>
      </c>
      <c r="AB4" s="29" t="inlineStr">
        <is>
          <t>Recommended action</t>
        </is>
      </c>
      <c r="AC4" s="29" t="inlineStr">
        <is>
          <t>Risk rank</t>
        </is>
      </c>
    </row>
    <row r="5">
      <c r="A5" s="30">
        <f>Suppliers!A2</f>
        <v/>
      </c>
      <c r="B5" s="30">
        <f>Suppliers!B2</f>
        <v/>
      </c>
      <c r="C5" s="30">
        <f>Suppliers!C2</f>
        <v/>
      </c>
      <c r="D5" s="36">
        <f>COUNTIF(PO_Sup,A5)</f>
        <v/>
      </c>
      <c r="E5" s="34">
        <f>SUMIF(PO_Sup,A5,PO_Value)</f>
        <v/>
      </c>
      <c r="F5" s="35">
        <f>IFERROR(E5/SUM($E$5:$E$12),0)</f>
        <v/>
      </c>
      <c r="G5" s="35">
        <f>IFERROR(AVERAGEIF(PO_Sup,A5,PO_OnTime),0)</f>
        <v/>
      </c>
      <c r="H5" s="38">
        <f>IFERROR(AVERAGEIF(PO_Sup,A5,PO_DaysLate),0)</f>
        <v/>
      </c>
      <c r="I5" s="38">
        <f>IFERROR(AVERAGEIF(PO_Sup,A5,PO_LT),0)</f>
        <v/>
      </c>
      <c r="J5" s="38">
        <f>IFERROR(SQRT(MAX(0,(SUMIF(PO_Sup,A5,PO_LT2)-D5*I5^2)/(D5-1))),0)</f>
        <v/>
      </c>
      <c r="K5" s="35">
        <f>IFERROR(J5/I5,0)</f>
        <v/>
      </c>
      <c r="L5" s="35">
        <f>IFERROR(SUMIF(PO_Sup,A5,PO_QtyRec)/SUMIF(PO_Sup,A5,PO_QtyOrd),0)</f>
        <v/>
      </c>
      <c r="M5" s="39">
        <f>IFERROR(SUMIF(PO_Sup,A5,PO_QtyDef)/SUMIF(PO_Sup,A5,PO_QtyRec),0)</f>
        <v/>
      </c>
      <c r="N5" s="36">
        <f>IFERROR(INDEX(CountryScore,MATCH(C5,CountryList,0)),3)</f>
        <v/>
      </c>
      <c r="O5" s="37">
        <f>MIN(1,MAX(0,(1-G5)/BadLate))</f>
        <v/>
      </c>
      <c r="P5" s="37">
        <f>MIN(1,MAX(0,K5/BadLTV))</f>
        <v/>
      </c>
      <c r="Q5" s="37">
        <f>MIN(1,MAX(0,M5/BadQuality))</f>
        <v/>
      </c>
      <c r="R5" s="37">
        <f>MIN(1,MAX(0,(N5-1)/4))</f>
        <v/>
      </c>
      <c r="S5" s="37">
        <f>MIN(1,MAX(0,F5/BadSpend))</f>
        <v/>
      </c>
      <c r="T5" s="37">
        <f>O5*wLate</f>
        <v/>
      </c>
      <c r="U5" s="37">
        <f>P5*wLTV</f>
        <v/>
      </c>
      <c r="V5" s="37">
        <f>Q5*wQuality</f>
        <v/>
      </c>
      <c r="W5" s="37">
        <f>R5*wCountry</f>
        <v/>
      </c>
      <c r="X5" s="37">
        <f>S5*wSpend</f>
        <v/>
      </c>
      <c r="Y5" s="38">
        <f>ROUND(SUM(T5:X5)*100,1)</f>
        <v/>
      </c>
      <c r="Z5" s="36">
        <f>IF(Y5&gt;60,"High",IF(Y5&gt;35,"Medium","Low"))</f>
        <v/>
      </c>
      <c r="AA5" s="36">
        <f>INDEX($T$4:$X$4,MATCH(MAX(T5:X5),T5:X5,0))</f>
        <v/>
      </c>
      <c r="AB5" s="40">
        <f>IF(AND(Z5="Low",F5&gt;=0.25),"Reliable, but holds a large share of spend: keep as primary and qualify a backup supplier for its A-class SKUs",IF(Z5="Low","Maintain; candidate for volume consolidation / preferred-supplier status",IF(Z5="High","Priority: ","")&amp;INDEX(DriverAction,MATCH(AA5,DriverList,0))))</f>
        <v/>
      </c>
      <c r="AC5" s="36">
        <f>RANK(Y5,$Y$5:$Y$12)</f>
        <v/>
      </c>
    </row>
    <row r="6">
      <c r="A6" s="30">
        <f>Suppliers!A3</f>
        <v/>
      </c>
      <c r="B6" s="30">
        <f>Suppliers!B3</f>
        <v/>
      </c>
      <c r="C6" s="30">
        <f>Suppliers!C3</f>
        <v/>
      </c>
      <c r="D6" s="36">
        <f>COUNTIF(PO_Sup,A6)</f>
        <v/>
      </c>
      <c r="E6" s="34">
        <f>SUMIF(PO_Sup,A6,PO_Value)</f>
        <v/>
      </c>
      <c r="F6" s="35">
        <f>IFERROR(E6/SUM($E$5:$E$12),0)</f>
        <v/>
      </c>
      <c r="G6" s="35">
        <f>IFERROR(AVERAGEIF(PO_Sup,A6,PO_OnTime),0)</f>
        <v/>
      </c>
      <c r="H6" s="38">
        <f>IFERROR(AVERAGEIF(PO_Sup,A6,PO_DaysLate),0)</f>
        <v/>
      </c>
      <c r="I6" s="38">
        <f>IFERROR(AVERAGEIF(PO_Sup,A6,PO_LT),0)</f>
        <v/>
      </c>
      <c r="J6" s="38">
        <f>IFERROR(SQRT(MAX(0,(SUMIF(PO_Sup,A6,PO_LT2)-D6*I6^2)/(D6-1))),0)</f>
        <v/>
      </c>
      <c r="K6" s="35">
        <f>IFERROR(J6/I6,0)</f>
        <v/>
      </c>
      <c r="L6" s="35">
        <f>IFERROR(SUMIF(PO_Sup,A6,PO_QtyRec)/SUMIF(PO_Sup,A6,PO_QtyOrd),0)</f>
        <v/>
      </c>
      <c r="M6" s="39">
        <f>IFERROR(SUMIF(PO_Sup,A6,PO_QtyDef)/SUMIF(PO_Sup,A6,PO_QtyRec),0)</f>
        <v/>
      </c>
      <c r="N6" s="36">
        <f>IFERROR(INDEX(CountryScore,MATCH(C6,CountryList,0)),3)</f>
        <v/>
      </c>
      <c r="O6" s="37">
        <f>MIN(1,MAX(0,(1-G6)/BadLate))</f>
        <v/>
      </c>
      <c r="P6" s="37">
        <f>MIN(1,MAX(0,K6/BadLTV))</f>
        <v/>
      </c>
      <c r="Q6" s="37">
        <f>MIN(1,MAX(0,M6/BadQuality))</f>
        <v/>
      </c>
      <c r="R6" s="37">
        <f>MIN(1,MAX(0,(N6-1)/4))</f>
        <v/>
      </c>
      <c r="S6" s="37">
        <f>MIN(1,MAX(0,F6/BadSpend))</f>
        <v/>
      </c>
      <c r="T6" s="37">
        <f>O6*wLate</f>
        <v/>
      </c>
      <c r="U6" s="37">
        <f>P6*wLTV</f>
        <v/>
      </c>
      <c r="V6" s="37">
        <f>Q6*wQuality</f>
        <v/>
      </c>
      <c r="W6" s="37">
        <f>R6*wCountry</f>
        <v/>
      </c>
      <c r="X6" s="37">
        <f>S6*wSpend</f>
        <v/>
      </c>
      <c r="Y6" s="38">
        <f>ROUND(SUM(T6:X6)*100,1)</f>
        <v/>
      </c>
      <c r="Z6" s="36">
        <f>IF(Y6&gt;60,"High",IF(Y6&gt;35,"Medium","Low"))</f>
        <v/>
      </c>
      <c r="AA6" s="36">
        <f>INDEX($T$4:$X$4,MATCH(MAX(T6:X6),T6:X6,0))</f>
        <v/>
      </c>
      <c r="AB6" s="40">
        <f>IF(AND(Z6="Low",F6&gt;=0.25),"Reliable, but holds a large share of spend: keep as primary and qualify a backup supplier for its A-class SKUs",IF(Z6="Low","Maintain; candidate for volume consolidation / preferred-supplier status",IF(Z6="High","Priority: ","")&amp;INDEX(DriverAction,MATCH(AA6,DriverList,0))))</f>
        <v/>
      </c>
      <c r="AC6" s="36">
        <f>RANK(Y6,$Y$5:$Y$12)</f>
        <v/>
      </c>
    </row>
    <row r="7">
      <c r="A7" s="30">
        <f>Suppliers!A4</f>
        <v/>
      </c>
      <c r="B7" s="30">
        <f>Suppliers!B4</f>
        <v/>
      </c>
      <c r="C7" s="30">
        <f>Suppliers!C4</f>
        <v/>
      </c>
      <c r="D7" s="36">
        <f>COUNTIF(PO_Sup,A7)</f>
        <v/>
      </c>
      <c r="E7" s="34">
        <f>SUMIF(PO_Sup,A7,PO_Value)</f>
        <v/>
      </c>
      <c r="F7" s="35">
        <f>IFERROR(E7/SUM($E$5:$E$12),0)</f>
        <v/>
      </c>
      <c r="G7" s="35">
        <f>IFERROR(AVERAGEIF(PO_Sup,A7,PO_OnTime),0)</f>
        <v/>
      </c>
      <c r="H7" s="38">
        <f>IFERROR(AVERAGEIF(PO_Sup,A7,PO_DaysLate),0)</f>
        <v/>
      </c>
      <c r="I7" s="38">
        <f>IFERROR(AVERAGEIF(PO_Sup,A7,PO_LT),0)</f>
        <v/>
      </c>
      <c r="J7" s="38">
        <f>IFERROR(SQRT(MAX(0,(SUMIF(PO_Sup,A7,PO_LT2)-D7*I7^2)/(D7-1))),0)</f>
        <v/>
      </c>
      <c r="K7" s="35">
        <f>IFERROR(J7/I7,0)</f>
        <v/>
      </c>
      <c r="L7" s="35">
        <f>IFERROR(SUMIF(PO_Sup,A7,PO_QtyRec)/SUMIF(PO_Sup,A7,PO_QtyOrd),0)</f>
        <v/>
      </c>
      <c r="M7" s="39">
        <f>IFERROR(SUMIF(PO_Sup,A7,PO_QtyDef)/SUMIF(PO_Sup,A7,PO_QtyRec),0)</f>
        <v/>
      </c>
      <c r="N7" s="36">
        <f>IFERROR(INDEX(CountryScore,MATCH(C7,CountryList,0)),3)</f>
        <v/>
      </c>
      <c r="O7" s="37">
        <f>MIN(1,MAX(0,(1-G7)/BadLate))</f>
        <v/>
      </c>
      <c r="P7" s="37">
        <f>MIN(1,MAX(0,K7/BadLTV))</f>
        <v/>
      </c>
      <c r="Q7" s="37">
        <f>MIN(1,MAX(0,M7/BadQuality))</f>
        <v/>
      </c>
      <c r="R7" s="37">
        <f>MIN(1,MAX(0,(N7-1)/4))</f>
        <v/>
      </c>
      <c r="S7" s="37">
        <f>MIN(1,MAX(0,F7/BadSpend))</f>
        <v/>
      </c>
      <c r="T7" s="37">
        <f>O7*wLate</f>
        <v/>
      </c>
      <c r="U7" s="37">
        <f>P7*wLTV</f>
        <v/>
      </c>
      <c r="V7" s="37">
        <f>Q7*wQuality</f>
        <v/>
      </c>
      <c r="W7" s="37">
        <f>R7*wCountry</f>
        <v/>
      </c>
      <c r="X7" s="37">
        <f>S7*wSpend</f>
        <v/>
      </c>
      <c r="Y7" s="38">
        <f>ROUND(SUM(T7:X7)*100,1)</f>
        <v/>
      </c>
      <c r="Z7" s="36">
        <f>IF(Y7&gt;60,"High",IF(Y7&gt;35,"Medium","Low"))</f>
        <v/>
      </c>
      <c r="AA7" s="36">
        <f>INDEX($T$4:$X$4,MATCH(MAX(T7:X7),T7:X7,0))</f>
        <v/>
      </c>
      <c r="AB7" s="40">
        <f>IF(AND(Z7="Low",F7&gt;=0.25),"Reliable, but holds a large share of spend: keep as primary and qualify a backup supplier for its A-class SKUs",IF(Z7="Low","Maintain; candidate for volume consolidation / preferred-supplier status",IF(Z7="High","Priority: ","")&amp;INDEX(DriverAction,MATCH(AA7,DriverList,0))))</f>
        <v/>
      </c>
      <c r="AC7" s="36">
        <f>RANK(Y7,$Y$5:$Y$12)</f>
        <v/>
      </c>
    </row>
    <row r="8">
      <c r="A8" s="30">
        <f>Suppliers!A5</f>
        <v/>
      </c>
      <c r="B8" s="30">
        <f>Suppliers!B5</f>
        <v/>
      </c>
      <c r="C8" s="30">
        <f>Suppliers!C5</f>
        <v/>
      </c>
      <c r="D8" s="36">
        <f>COUNTIF(PO_Sup,A8)</f>
        <v/>
      </c>
      <c r="E8" s="34">
        <f>SUMIF(PO_Sup,A8,PO_Value)</f>
        <v/>
      </c>
      <c r="F8" s="35">
        <f>IFERROR(E8/SUM($E$5:$E$12),0)</f>
        <v/>
      </c>
      <c r="G8" s="35">
        <f>IFERROR(AVERAGEIF(PO_Sup,A8,PO_OnTime),0)</f>
        <v/>
      </c>
      <c r="H8" s="38">
        <f>IFERROR(AVERAGEIF(PO_Sup,A8,PO_DaysLate),0)</f>
        <v/>
      </c>
      <c r="I8" s="38">
        <f>IFERROR(AVERAGEIF(PO_Sup,A8,PO_LT),0)</f>
        <v/>
      </c>
      <c r="J8" s="38">
        <f>IFERROR(SQRT(MAX(0,(SUMIF(PO_Sup,A8,PO_LT2)-D8*I8^2)/(D8-1))),0)</f>
        <v/>
      </c>
      <c r="K8" s="35">
        <f>IFERROR(J8/I8,0)</f>
        <v/>
      </c>
      <c r="L8" s="35">
        <f>IFERROR(SUMIF(PO_Sup,A8,PO_QtyRec)/SUMIF(PO_Sup,A8,PO_QtyOrd),0)</f>
        <v/>
      </c>
      <c r="M8" s="39">
        <f>IFERROR(SUMIF(PO_Sup,A8,PO_QtyDef)/SUMIF(PO_Sup,A8,PO_QtyRec),0)</f>
        <v/>
      </c>
      <c r="N8" s="36">
        <f>IFERROR(INDEX(CountryScore,MATCH(C8,CountryList,0)),3)</f>
        <v/>
      </c>
      <c r="O8" s="37">
        <f>MIN(1,MAX(0,(1-G8)/BadLate))</f>
        <v/>
      </c>
      <c r="P8" s="37">
        <f>MIN(1,MAX(0,K8/BadLTV))</f>
        <v/>
      </c>
      <c r="Q8" s="37">
        <f>MIN(1,MAX(0,M8/BadQuality))</f>
        <v/>
      </c>
      <c r="R8" s="37">
        <f>MIN(1,MAX(0,(N8-1)/4))</f>
        <v/>
      </c>
      <c r="S8" s="37">
        <f>MIN(1,MAX(0,F8/BadSpend))</f>
        <v/>
      </c>
      <c r="T8" s="37">
        <f>O8*wLate</f>
        <v/>
      </c>
      <c r="U8" s="37">
        <f>P8*wLTV</f>
        <v/>
      </c>
      <c r="V8" s="37">
        <f>Q8*wQuality</f>
        <v/>
      </c>
      <c r="W8" s="37">
        <f>R8*wCountry</f>
        <v/>
      </c>
      <c r="X8" s="37">
        <f>S8*wSpend</f>
        <v/>
      </c>
      <c r="Y8" s="38">
        <f>ROUND(SUM(T8:X8)*100,1)</f>
        <v/>
      </c>
      <c r="Z8" s="36">
        <f>IF(Y8&gt;60,"High",IF(Y8&gt;35,"Medium","Low"))</f>
        <v/>
      </c>
      <c r="AA8" s="36">
        <f>INDEX($T$4:$X$4,MATCH(MAX(T8:X8),T8:X8,0))</f>
        <v/>
      </c>
      <c r="AB8" s="40">
        <f>IF(AND(Z8="Low",F8&gt;=0.25),"Reliable, but holds a large share of spend: keep as primary and qualify a backup supplier for its A-class SKUs",IF(Z8="Low","Maintain; candidate for volume consolidation / preferred-supplier status",IF(Z8="High","Priority: ","")&amp;INDEX(DriverAction,MATCH(AA8,DriverList,0))))</f>
        <v/>
      </c>
      <c r="AC8" s="36">
        <f>RANK(Y8,$Y$5:$Y$12)</f>
        <v/>
      </c>
    </row>
    <row r="9">
      <c r="A9" s="30">
        <f>Suppliers!A6</f>
        <v/>
      </c>
      <c r="B9" s="30">
        <f>Suppliers!B6</f>
        <v/>
      </c>
      <c r="C9" s="30">
        <f>Suppliers!C6</f>
        <v/>
      </c>
      <c r="D9" s="36">
        <f>COUNTIF(PO_Sup,A9)</f>
        <v/>
      </c>
      <c r="E9" s="34">
        <f>SUMIF(PO_Sup,A9,PO_Value)</f>
        <v/>
      </c>
      <c r="F9" s="35">
        <f>IFERROR(E9/SUM($E$5:$E$12),0)</f>
        <v/>
      </c>
      <c r="G9" s="35">
        <f>IFERROR(AVERAGEIF(PO_Sup,A9,PO_OnTime),0)</f>
        <v/>
      </c>
      <c r="H9" s="38">
        <f>IFERROR(AVERAGEIF(PO_Sup,A9,PO_DaysLate),0)</f>
        <v/>
      </c>
      <c r="I9" s="38">
        <f>IFERROR(AVERAGEIF(PO_Sup,A9,PO_LT),0)</f>
        <v/>
      </c>
      <c r="J9" s="38">
        <f>IFERROR(SQRT(MAX(0,(SUMIF(PO_Sup,A9,PO_LT2)-D9*I9^2)/(D9-1))),0)</f>
        <v/>
      </c>
      <c r="K9" s="35">
        <f>IFERROR(J9/I9,0)</f>
        <v/>
      </c>
      <c r="L9" s="35">
        <f>IFERROR(SUMIF(PO_Sup,A9,PO_QtyRec)/SUMIF(PO_Sup,A9,PO_QtyOrd),0)</f>
        <v/>
      </c>
      <c r="M9" s="39">
        <f>IFERROR(SUMIF(PO_Sup,A9,PO_QtyDef)/SUMIF(PO_Sup,A9,PO_QtyRec),0)</f>
        <v/>
      </c>
      <c r="N9" s="36">
        <f>IFERROR(INDEX(CountryScore,MATCH(C9,CountryList,0)),3)</f>
        <v/>
      </c>
      <c r="O9" s="37">
        <f>MIN(1,MAX(0,(1-G9)/BadLate))</f>
        <v/>
      </c>
      <c r="P9" s="37">
        <f>MIN(1,MAX(0,K9/BadLTV))</f>
        <v/>
      </c>
      <c r="Q9" s="37">
        <f>MIN(1,MAX(0,M9/BadQuality))</f>
        <v/>
      </c>
      <c r="R9" s="37">
        <f>MIN(1,MAX(0,(N9-1)/4))</f>
        <v/>
      </c>
      <c r="S9" s="37">
        <f>MIN(1,MAX(0,F9/BadSpend))</f>
        <v/>
      </c>
      <c r="T9" s="37">
        <f>O9*wLate</f>
        <v/>
      </c>
      <c r="U9" s="37">
        <f>P9*wLTV</f>
        <v/>
      </c>
      <c r="V9" s="37">
        <f>Q9*wQuality</f>
        <v/>
      </c>
      <c r="W9" s="37">
        <f>R9*wCountry</f>
        <v/>
      </c>
      <c r="X9" s="37">
        <f>S9*wSpend</f>
        <v/>
      </c>
      <c r="Y9" s="38">
        <f>ROUND(SUM(T9:X9)*100,1)</f>
        <v/>
      </c>
      <c r="Z9" s="36">
        <f>IF(Y9&gt;60,"High",IF(Y9&gt;35,"Medium","Low"))</f>
        <v/>
      </c>
      <c r="AA9" s="36">
        <f>INDEX($T$4:$X$4,MATCH(MAX(T9:X9),T9:X9,0))</f>
        <v/>
      </c>
      <c r="AB9" s="40">
        <f>IF(AND(Z9="Low",F9&gt;=0.25),"Reliable, but holds a large share of spend: keep as primary and qualify a backup supplier for its A-class SKUs",IF(Z9="Low","Maintain; candidate for volume consolidation / preferred-supplier status",IF(Z9="High","Priority: ","")&amp;INDEX(DriverAction,MATCH(AA9,DriverList,0))))</f>
        <v/>
      </c>
      <c r="AC9" s="36">
        <f>RANK(Y9,$Y$5:$Y$12)</f>
        <v/>
      </c>
    </row>
    <row r="10">
      <c r="A10" s="30">
        <f>Suppliers!A7</f>
        <v/>
      </c>
      <c r="B10" s="30">
        <f>Suppliers!B7</f>
        <v/>
      </c>
      <c r="C10" s="30">
        <f>Suppliers!C7</f>
        <v/>
      </c>
      <c r="D10" s="36">
        <f>COUNTIF(PO_Sup,A10)</f>
        <v/>
      </c>
      <c r="E10" s="34">
        <f>SUMIF(PO_Sup,A10,PO_Value)</f>
        <v/>
      </c>
      <c r="F10" s="35">
        <f>IFERROR(E10/SUM($E$5:$E$12),0)</f>
        <v/>
      </c>
      <c r="G10" s="35">
        <f>IFERROR(AVERAGEIF(PO_Sup,A10,PO_OnTime),0)</f>
        <v/>
      </c>
      <c r="H10" s="38">
        <f>IFERROR(AVERAGEIF(PO_Sup,A10,PO_DaysLate),0)</f>
        <v/>
      </c>
      <c r="I10" s="38">
        <f>IFERROR(AVERAGEIF(PO_Sup,A10,PO_LT),0)</f>
        <v/>
      </c>
      <c r="J10" s="38">
        <f>IFERROR(SQRT(MAX(0,(SUMIF(PO_Sup,A10,PO_LT2)-D10*I10^2)/(D10-1))),0)</f>
        <v/>
      </c>
      <c r="K10" s="35">
        <f>IFERROR(J10/I10,0)</f>
        <v/>
      </c>
      <c r="L10" s="35">
        <f>IFERROR(SUMIF(PO_Sup,A10,PO_QtyRec)/SUMIF(PO_Sup,A10,PO_QtyOrd),0)</f>
        <v/>
      </c>
      <c r="M10" s="39">
        <f>IFERROR(SUMIF(PO_Sup,A10,PO_QtyDef)/SUMIF(PO_Sup,A10,PO_QtyRec),0)</f>
        <v/>
      </c>
      <c r="N10" s="36">
        <f>IFERROR(INDEX(CountryScore,MATCH(C10,CountryList,0)),3)</f>
        <v/>
      </c>
      <c r="O10" s="37">
        <f>MIN(1,MAX(0,(1-G10)/BadLate))</f>
        <v/>
      </c>
      <c r="P10" s="37">
        <f>MIN(1,MAX(0,K10/BadLTV))</f>
        <v/>
      </c>
      <c r="Q10" s="37">
        <f>MIN(1,MAX(0,M10/BadQuality))</f>
        <v/>
      </c>
      <c r="R10" s="37">
        <f>MIN(1,MAX(0,(N10-1)/4))</f>
        <v/>
      </c>
      <c r="S10" s="37">
        <f>MIN(1,MAX(0,F10/BadSpend))</f>
        <v/>
      </c>
      <c r="T10" s="37">
        <f>O10*wLate</f>
        <v/>
      </c>
      <c r="U10" s="37">
        <f>P10*wLTV</f>
        <v/>
      </c>
      <c r="V10" s="37">
        <f>Q10*wQuality</f>
        <v/>
      </c>
      <c r="W10" s="37">
        <f>R10*wCountry</f>
        <v/>
      </c>
      <c r="X10" s="37">
        <f>S10*wSpend</f>
        <v/>
      </c>
      <c r="Y10" s="38">
        <f>ROUND(SUM(T10:X10)*100,1)</f>
        <v/>
      </c>
      <c r="Z10" s="36">
        <f>IF(Y10&gt;60,"High",IF(Y10&gt;35,"Medium","Low"))</f>
        <v/>
      </c>
      <c r="AA10" s="36">
        <f>INDEX($T$4:$X$4,MATCH(MAX(T10:X10),T10:X10,0))</f>
        <v/>
      </c>
      <c r="AB10" s="40">
        <f>IF(AND(Z10="Low",F10&gt;=0.25),"Reliable, but holds a large share of spend: keep as primary and qualify a backup supplier for its A-class SKUs",IF(Z10="Low","Maintain; candidate for volume consolidation / preferred-supplier status",IF(Z10="High","Priority: ","")&amp;INDEX(DriverAction,MATCH(AA10,DriverList,0))))</f>
        <v/>
      </c>
      <c r="AC10" s="36">
        <f>RANK(Y10,$Y$5:$Y$12)</f>
        <v/>
      </c>
    </row>
    <row r="11">
      <c r="A11" s="30">
        <f>Suppliers!A8</f>
        <v/>
      </c>
      <c r="B11" s="30">
        <f>Suppliers!B8</f>
        <v/>
      </c>
      <c r="C11" s="30">
        <f>Suppliers!C8</f>
        <v/>
      </c>
      <c r="D11" s="36">
        <f>COUNTIF(PO_Sup,A11)</f>
        <v/>
      </c>
      <c r="E11" s="34">
        <f>SUMIF(PO_Sup,A11,PO_Value)</f>
        <v/>
      </c>
      <c r="F11" s="35">
        <f>IFERROR(E11/SUM($E$5:$E$12),0)</f>
        <v/>
      </c>
      <c r="G11" s="35">
        <f>IFERROR(AVERAGEIF(PO_Sup,A11,PO_OnTime),0)</f>
        <v/>
      </c>
      <c r="H11" s="38">
        <f>IFERROR(AVERAGEIF(PO_Sup,A11,PO_DaysLate),0)</f>
        <v/>
      </c>
      <c r="I11" s="38">
        <f>IFERROR(AVERAGEIF(PO_Sup,A11,PO_LT),0)</f>
        <v/>
      </c>
      <c r="J11" s="38">
        <f>IFERROR(SQRT(MAX(0,(SUMIF(PO_Sup,A11,PO_LT2)-D11*I11^2)/(D11-1))),0)</f>
        <v/>
      </c>
      <c r="K11" s="35">
        <f>IFERROR(J11/I11,0)</f>
        <v/>
      </c>
      <c r="L11" s="35">
        <f>IFERROR(SUMIF(PO_Sup,A11,PO_QtyRec)/SUMIF(PO_Sup,A11,PO_QtyOrd),0)</f>
        <v/>
      </c>
      <c r="M11" s="39">
        <f>IFERROR(SUMIF(PO_Sup,A11,PO_QtyDef)/SUMIF(PO_Sup,A11,PO_QtyRec),0)</f>
        <v/>
      </c>
      <c r="N11" s="36">
        <f>IFERROR(INDEX(CountryScore,MATCH(C11,CountryList,0)),3)</f>
        <v/>
      </c>
      <c r="O11" s="37">
        <f>MIN(1,MAX(0,(1-G11)/BadLate))</f>
        <v/>
      </c>
      <c r="P11" s="37">
        <f>MIN(1,MAX(0,K11/BadLTV))</f>
        <v/>
      </c>
      <c r="Q11" s="37">
        <f>MIN(1,MAX(0,M11/BadQuality))</f>
        <v/>
      </c>
      <c r="R11" s="37">
        <f>MIN(1,MAX(0,(N11-1)/4))</f>
        <v/>
      </c>
      <c r="S11" s="37">
        <f>MIN(1,MAX(0,F11/BadSpend))</f>
        <v/>
      </c>
      <c r="T11" s="37">
        <f>O11*wLate</f>
        <v/>
      </c>
      <c r="U11" s="37">
        <f>P11*wLTV</f>
        <v/>
      </c>
      <c r="V11" s="37">
        <f>Q11*wQuality</f>
        <v/>
      </c>
      <c r="W11" s="37">
        <f>R11*wCountry</f>
        <v/>
      </c>
      <c r="X11" s="37">
        <f>S11*wSpend</f>
        <v/>
      </c>
      <c r="Y11" s="38">
        <f>ROUND(SUM(T11:X11)*100,1)</f>
        <v/>
      </c>
      <c r="Z11" s="36">
        <f>IF(Y11&gt;60,"High",IF(Y11&gt;35,"Medium","Low"))</f>
        <v/>
      </c>
      <c r="AA11" s="36">
        <f>INDEX($T$4:$X$4,MATCH(MAX(T11:X11),T11:X11,0))</f>
        <v/>
      </c>
      <c r="AB11" s="40">
        <f>IF(AND(Z11="Low",F11&gt;=0.25),"Reliable, but holds a large share of spend: keep as primary and qualify a backup supplier for its A-class SKUs",IF(Z11="Low","Maintain; candidate for volume consolidation / preferred-supplier status",IF(Z11="High","Priority: ","")&amp;INDEX(DriverAction,MATCH(AA11,DriverList,0))))</f>
        <v/>
      </c>
      <c r="AC11" s="36">
        <f>RANK(Y11,$Y$5:$Y$12)</f>
        <v/>
      </c>
    </row>
    <row r="12">
      <c r="A12" s="30">
        <f>Suppliers!A9</f>
        <v/>
      </c>
      <c r="B12" s="30">
        <f>Suppliers!B9</f>
        <v/>
      </c>
      <c r="C12" s="30">
        <f>Suppliers!C9</f>
        <v/>
      </c>
      <c r="D12" s="36">
        <f>COUNTIF(PO_Sup,A12)</f>
        <v/>
      </c>
      <c r="E12" s="34">
        <f>SUMIF(PO_Sup,A12,PO_Value)</f>
        <v/>
      </c>
      <c r="F12" s="35">
        <f>IFERROR(E12/SUM($E$5:$E$12),0)</f>
        <v/>
      </c>
      <c r="G12" s="35">
        <f>IFERROR(AVERAGEIF(PO_Sup,A12,PO_OnTime),0)</f>
        <v/>
      </c>
      <c r="H12" s="38">
        <f>IFERROR(AVERAGEIF(PO_Sup,A12,PO_DaysLate),0)</f>
        <v/>
      </c>
      <c r="I12" s="38">
        <f>IFERROR(AVERAGEIF(PO_Sup,A12,PO_LT),0)</f>
        <v/>
      </c>
      <c r="J12" s="38">
        <f>IFERROR(SQRT(MAX(0,(SUMIF(PO_Sup,A12,PO_LT2)-D12*I12^2)/(D12-1))),0)</f>
        <v/>
      </c>
      <c r="K12" s="35">
        <f>IFERROR(J12/I12,0)</f>
        <v/>
      </c>
      <c r="L12" s="35">
        <f>IFERROR(SUMIF(PO_Sup,A12,PO_QtyRec)/SUMIF(PO_Sup,A12,PO_QtyOrd),0)</f>
        <v/>
      </c>
      <c r="M12" s="39">
        <f>IFERROR(SUMIF(PO_Sup,A12,PO_QtyDef)/SUMIF(PO_Sup,A12,PO_QtyRec),0)</f>
        <v/>
      </c>
      <c r="N12" s="36">
        <f>IFERROR(INDEX(CountryScore,MATCH(C12,CountryList,0)),3)</f>
        <v/>
      </c>
      <c r="O12" s="37">
        <f>MIN(1,MAX(0,(1-G12)/BadLate))</f>
        <v/>
      </c>
      <c r="P12" s="37">
        <f>MIN(1,MAX(0,K12/BadLTV))</f>
        <v/>
      </c>
      <c r="Q12" s="37">
        <f>MIN(1,MAX(0,M12/BadQuality))</f>
        <v/>
      </c>
      <c r="R12" s="37">
        <f>MIN(1,MAX(0,(N12-1)/4))</f>
        <v/>
      </c>
      <c r="S12" s="37">
        <f>MIN(1,MAX(0,F12/BadSpend))</f>
        <v/>
      </c>
      <c r="T12" s="37">
        <f>O12*wLate</f>
        <v/>
      </c>
      <c r="U12" s="37">
        <f>P12*wLTV</f>
        <v/>
      </c>
      <c r="V12" s="37">
        <f>Q12*wQuality</f>
        <v/>
      </c>
      <c r="W12" s="37">
        <f>R12*wCountry</f>
        <v/>
      </c>
      <c r="X12" s="37">
        <f>S12*wSpend</f>
        <v/>
      </c>
      <c r="Y12" s="38">
        <f>ROUND(SUM(T12:X12)*100,1)</f>
        <v/>
      </c>
      <c r="Z12" s="36">
        <f>IF(Y12&gt;60,"High",IF(Y12&gt;35,"Medium","Low"))</f>
        <v/>
      </c>
      <c r="AA12" s="36">
        <f>INDEX($T$4:$X$4,MATCH(MAX(T12:X12),T12:X12,0))</f>
        <v/>
      </c>
      <c r="AB12" s="40">
        <f>IF(AND(Z12="Low",F12&gt;=0.25),"Reliable, but holds a large share of spend: keep as primary and qualify a backup supplier for its A-class SKUs",IF(Z12="Low","Maintain; candidate for volume consolidation / preferred-supplier status",IF(Z12="High","Priority: ","")&amp;INDEX(DriverAction,MATCH(AA12,DriverList,0))))</f>
        <v/>
      </c>
      <c r="AC12" s="36">
        <f>RANK(Y12,$Y$5:$Y$12)</f>
        <v/>
      </c>
    </row>
  </sheetData>
  <conditionalFormatting sqref="Z5:Z12">
    <cfRule type="cellIs" priority="1" operator="equal" dxfId="0">
      <formula>"High"</formula>
    </cfRule>
    <cfRule type="cellIs" priority="2" operator="equal" dxfId="3">
      <formula>"Medium"</formula>
    </cfRule>
    <cfRule type="cellIs" priority="3" operator="equal" dxfId="2">
      <formula>"Low"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Demand Forecast Back-test (one SKU at a time)</t>
        </is>
      </c>
    </row>
    <row r="2">
      <c r="A2" s="2" t="inlineStr">
        <is>
          <t>Pick a SKU. Three methods forecast each week one step ahead; accuracy (WAPE) is measured on the last 12 weeks.</t>
        </is>
      </c>
    </row>
    <row r="4">
      <c r="A4" s="5" t="inlineStr">
        <is>
          <t>SKU (pick from list)</t>
        </is>
      </c>
      <c r="B4" s="25" t="inlineStr">
        <is>
          <t>NB-0001</t>
        </is>
      </c>
    </row>
    <row r="5">
      <c r="A5" s="5" t="inlineStr">
        <is>
          <t>Product</t>
        </is>
      </c>
      <c r="B5" s="14">
        <f>IFERROR(INDEX(P_Name,MATCH(FcSKU,P_SKU,0)),"")</f>
        <v/>
      </c>
    </row>
    <row r="6">
      <c r="A6" s="5" t="inlineStr">
        <is>
          <t>Smoothing factor alpha (0-1)</t>
        </is>
      </c>
      <c r="B6" s="25" t="n">
        <v>0.3</v>
      </c>
    </row>
    <row r="7">
      <c r="A7" s="5" t="inlineStr">
        <is>
          <t>Test window (weeks)</t>
        </is>
      </c>
      <c r="B7" s="25" t="n">
        <v>12</v>
      </c>
    </row>
    <row r="9">
      <c r="A9" s="5" t="inlineStr">
        <is>
          <t>Accuracy on last 12 weeks</t>
        </is>
      </c>
    </row>
    <row r="10">
      <c r="A10" s="14" t="inlineStr">
        <is>
          <t>Moving avg (4w)</t>
        </is>
      </c>
      <c r="B10" s="27">
        <f>IFERROR(SUMPRODUCT(ABS($C$109:$C$120-D109:D120))/SUM($C$109:$C$120),0)</f>
        <v/>
      </c>
      <c r="C10" s="2" t="inlineStr">
        <is>
          <t>WAPE = sum(|actual - forecast|) / sum(actual)</t>
        </is>
      </c>
    </row>
    <row r="11">
      <c r="A11" s="14" t="inlineStr">
        <is>
          <t>Exp. smoothing</t>
        </is>
      </c>
      <c r="B11" s="27">
        <f>IFERROR(SUMPRODUCT(ABS($C$109:$C$120-F109:F120))/SUM($C$109:$C$120),0)</f>
        <v/>
      </c>
    </row>
    <row r="12">
      <c r="A12" s="14" t="inlineStr">
        <is>
          <t>Seasonal naive</t>
        </is>
      </c>
      <c r="B12" s="27">
        <f>IFERROR(SUMPRODUCT(ABS($C$109:$C$120-G109:G120))/SUM($C$109:$C$120),0)</f>
        <v/>
      </c>
    </row>
    <row r="13">
      <c r="A13" s="5" t="inlineStr">
        <is>
          <t>Best method (lowest WAPE)</t>
        </is>
      </c>
      <c r="B13" s="5">
        <f>INDEX(A10:A12,MATCH(MIN(B10:B12),B10:B12,0))</f>
        <v/>
      </c>
    </row>
    <row r="14">
      <c r="A14" s="5" t="inlineStr">
        <is>
          <t>Next 12 weeks, best method (units)</t>
        </is>
      </c>
      <c r="B14" s="41">
        <f>SUM(H121:H132)</f>
        <v/>
      </c>
    </row>
    <row r="15">
      <c r="A15" s="2" t="inlineStr">
        <is>
          <t>Best method index (1-3)</t>
        </is>
      </c>
      <c r="B15">
        <f>MATCH(MIN(B10:B12),B10:B12,0)</f>
        <v/>
      </c>
    </row>
    <row r="16">
      <c r="A16" s="42" t="inlineStr">
        <is>
          <t>Week #</t>
        </is>
      </c>
      <c r="B16" s="42" t="inlineStr">
        <is>
          <t>Week start</t>
        </is>
      </c>
      <c r="C16" s="42" t="inlineStr">
        <is>
          <t>Actual units</t>
        </is>
      </c>
      <c r="D16" s="42" t="inlineStr">
        <is>
          <t>Moving avg (4w)</t>
        </is>
      </c>
      <c r="E16" s="42" t="inlineStr">
        <is>
          <t>SES level</t>
        </is>
      </c>
      <c r="F16" s="42" t="inlineStr">
        <is>
          <t>Exp. smoothing</t>
        </is>
      </c>
      <c r="G16" s="42" t="inlineStr">
        <is>
          <t>Seasonal naive</t>
        </is>
      </c>
      <c r="H16" s="42" t="inlineStr">
        <is>
          <t>Best method</t>
        </is>
      </c>
    </row>
    <row r="17">
      <c r="A17" s="14" t="n">
        <v>1</v>
      </c>
      <c r="B17" s="26" t="n">
        <v>45292</v>
      </c>
      <c r="C17" s="43">
        <f>SUMIFS(D_Units,D_SKU,FcSKU,D_Week,B17)</f>
        <v/>
      </c>
      <c r="D17" s="43" t="n"/>
      <c r="E17" s="43">
        <f>C17</f>
        <v/>
      </c>
      <c r="F17" s="43" t="n"/>
      <c r="G17" s="43" t="n"/>
      <c r="H17" s="43" t="n"/>
    </row>
    <row r="18">
      <c r="A18" s="14" t="n">
        <v>2</v>
      </c>
      <c r="B18" s="26" t="n">
        <v>45299</v>
      </c>
      <c r="C18" s="43">
        <f>SUMIFS(D_Units,D_SKU,FcSKU,D_Week,B18)</f>
        <v/>
      </c>
      <c r="D18" s="43" t="n"/>
      <c r="E18" s="43">
        <f>Alpha*C18+(1-Alpha)*E17</f>
        <v/>
      </c>
      <c r="F18" s="43">
        <f>E17</f>
        <v/>
      </c>
      <c r="G18" s="43" t="n"/>
      <c r="H18" s="43" t="n"/>
    </row>
    <row r="19">
      <c r="A19" s="14" t="n">
        <v>3</v>
      </c>
      <c r="B19" s="26" t="n">
        <v>45306</v>
      </c>
      <c r="C19" s="43">
        <f>SUMIFS(D_Units,D_SKU,FcSKU,D_Week,B19)</f>
        <v/>
      </c>
      <c r="D19" s="43" t="n"/>
      <c r="E19" s="43">
        <f>Alpha*C19+(1-Alpha)*E18</f>
        <v/>
      </c>
      <c r="F19" s="43">
        <f>E18</f>
        <v/>
      </c>
      <c r="G19" s="43" t="n"/>
      <c r="H19" s="43" t="n"/>
    </row>
    <row r="20">
      <c r="A20" s="14" t="n">
        <v>4</v>
      </c>
      <c r="B20" s="26" t="n">
        <v>45313</v>
      </c>
      <c r="C20" s="43">
        <f>SUMIFS(D_Units,D_SKU,FcSKU,D_Week,B20)</f>
        <v/>
      </c>
      <c r="D20" s="43" t="n"/>
      <c r="E20" s="43">
        <f>Alpha*C20+(1-Alpha)*E19</f>
        <v/>
      </c>
      <c r="F20" s="43">
        <f>E19</f>
        <v/>
      </c>
      <c r="G20" s="43" t="n"/>
      <c r="H20" s="43" t="n"/>
    </row>
    <row r="21">
      <c r="A21" s="14" t="n">
        <v>5</v>
      </c>
      <c r="B21" s="26" t="n">
        <v>45320</v>
      </c>
      <c r="C21" s="43">
        <f>SUMIFS(D_Units,D_SKU,FcSKU,D_Week,B21)</f>
        <v/>
      </c>
      <c r="D21" s="43">
        <f>AVERAGE(C17:C20)</f>
        <v/>
      </c>
      <c r="E21" s="43">
        <f>Alpha*C21+(1-Alpha)*E20</f>
        <v/>
      </c>
      <c r="F21" s="43">
        <f>E20</f>
        <v/>
      </c>
      <c r="G21" s="43" t="n"/>
      <c r="H21" s="43" t="n"/>
    </row>
    <row r="22">
      <c r="A22" s="14" t="n">
        <v>6</v>
      </c>
      <c r="B22" s="26" t="n">
        <v>45327</v>
      </c>
      <c r="C22" s="43">
        <f>SUMIFS(D_Units,D_SKU,FcSKU,D_Week,B22)</f>
        <v/>
      </c>
      <c r="D22" s="43">
        <f>AVERAGE(C18:C21)</f>
        <v/>
      </c>
      <c r="E22" s="43">
        <f>Alpha*C22+(1-Alpha)*E21</f>
        <v/>
      </c>
      <c r="F22" s="43">
        <f>E21</f>
        <v/>
      </c>
      <c r="G22" s="43" t="n"/>
      <c r="H22" s="43" t="n"/>
    </row>
    <row r="23">
      <c r="A23" s="14" t="n">
        <v>7</v>
      </c>
      <c r="B23" s="26" t="n">
        <v>45334</v>
      </c>
      <c r="C23" s="43">
        <f>SUMIFS(D_Units,D_SKU,FcSKU,D_Week,B23)</f>
        <v/>
      </c>
      <c r="D23" s="43">
        <f>AVERAGE(C19:C22)</f>
        <v/>
      </c>
      <c r="E23" s="43">
        <f>Alpha*C23+(1-Alpha)*E22</f>
        <v/>
      </c>
      <c r="F23" s="43">
        <f>E22</f>
        <v/>
      </c>
      <c r="G23" s="43" t="n"/>
      <c r="H23" s="43" t="n"/>
    </row>
    <row r="24">
      <c r="A24" s="14" t="n">
        <v>8</v>
      </c>
      <c r="B24" s="26" t="n">
        <v>45341</v>
      </c>
      <c r="C24" s="43">
        <f>SUMIFS(D_Units,D_SKU,FcSKU,D_Week,B24)</f>
        <v/>
      </c>
      <c r="D24" s="43">
        <f>AVERAGE(C20:C23)</f>
        <v/>
      </c>
      <c r="E24" s="43">
        <f>Alpha*C24+(1-Alpha)*E23</f>
        <v/>
      </c>
      <c r="F24" s="43">
        <f>E23</f>
        <v/>
      </c>
      <c r="G24" s="43" t="n"/>
      <c r="H24" s="43" t="n"/>
    </row>
    <row r="25">
      <c r="A25" s="14" t="n">
        <v>9</v>
      </c>
      <c r="B25" s="26" t="n">
        <v>45348</v>
      </c>
      <c r="C25" s="43">
        <f>SUMIFS(D_Units,D_SKU,FcSKU,D_Week,B25)</f>
        <v/>
      </c>
      <c r="D25" s="43">
        <f>AVERAGE(C21:C24)</f>
        <v/>
      </c>
      <c r="E25" s="43">
        <f>Alpha*C25+(1-Alpha)*E24</f>
        <v/>
      </c>
      <c r="F25" s="43">
        <f>E24</f>
        <v/>
      </c>
      <c r="G25" s="43" t="n"/>
      <c r="H25" s="43" t="n"/>
    </row>
    <row r="26">
      <c r="A26" s="14" t="n">
        <v>10</v>
      </c>
      <c r="B26" s="26" t="n">
        <v>45355</v>
      </c>
      <c r="C26" s="43">
        <f>SUMIFS(D_Units,D_SKU,FcSKU,D_Week,B26)</f>
        <v/>
      </c>
      <c r="D26" s="43">
        <f>AVERAGE(C22:C25)</f>
        <v/>
      </c>
      <c r="E26" s="43">
        <f>Alpha*C26+(1-Alpha)*E25</f>
        <v/>
      </c>
      <c r="F26" s="43">
        <f>E25</f>
        <v/>
      </c>
      <c r="G26" s="43" t="n"/>
      <c r="H26" s="43" t="n"/>
    </row>
    <row r="27">
      <c r="A27" s="14" t="n">
        <v>11</v>
      </c>
      <c r="B27" s="26" t="n">
        <v>45362</v>
      </c>
      <c r="C27" s="43">
        <f>SUMIFS(D_Units,D_SKU,FcSKU,D_Week,B27)</f>
        <v/>
      </c>
      <c r="D27" s="43">
        <f>AVERAGE(C23:C26)</f>
        <v/>
      </c>
      <c r="E27" s="43">
        <f>Alpha*C27+(1-Alpha)*E26</f>
        <v/>
      </c>
      <c r="F27" s="43">
        <f>E26</f>
        <v/>
      </c>
      <c r="G27" s="43" t="n"/>
      <c r="H27" s="43" t="n"/>
    </row>
    <row r="28">
      <c r="A28" s="14" t="n">
        <v>12</v>
      </c>
      <c r="B28" s="26" t="n">
        <v>45369</v>
      </c>
      <c r="C28" s="43">
        <f>SUMIFS(D_Units,D_SKU,FcSKU,D_Week,B28)</f>
        <v/>
      </c>
      <c r="D28" s="43">
        <f>AVERAGE(C24:C27)</f>
        <v/>
      </c>
      <c r="E28" s="43">
        <f>Alpha*C28+(1-Alpha)*E27</f>
        <v/>
      </c>
      <c r="F28" s="43">
        <f>E27</f>
        <v/>
      </c>
      <c r="G28" s="43" t="n"/>
      <c r="H28" s="43" t="n"/>
    </row>
    <row r="29">
      <c r="A29" s="14" t="n">
        <v>13</v>
      </c>
      <c r="B29" s="26" t="n">
        <v>45376</v>
      </c>
      <c r="C29" s="43">
        <f>SUMIFS(D_Units,D_SKU,FcSKU,D_Week,B29)</f>
        <v/>
      </c>
      <c r="D29" s="43">
        <f>AVERAGE(C25:C28)</f>
        <v/>
      </c>
      <c r="E29" s="43">
        <f>Alpha*C29+(1-Alpha)*E28</f>
        <v/>
      </c>
      <c r="F29" s="43">
        <f>E28</f>
        <v/>
      </c>
      <c r="G29" s="43" t="n"/>
      <c r="H29" s="43" t="n"/>
    </row>
    <row r="30">
      <c r="A30" s="14" t="n">
        <v>14</v>
      </c>
      <c r="B30" s="26" t="n">
        <v>45383</v>
      </c>
      <c r="C30" s="43">
        <f>SUMIFS(D_Units,D_SKU,FcSKU,D_Week,B30)</f>
        <v/>
      </c>
      <c r="D30" s="43">
        <f>AVERAGE(C26:C29)</f>
        <v/>
      </c>
      <c r="E30" s="43">
        <f>Alpha*C30+(1-Alpha)*E29</f>
        <v/>
      </c>
      <c r="F30" s="43">
        <f>E29</f>
        <v/>
      </c>
      <c r="G30" s="43" t="n"/>
      <c r="H30" s="43" t="n"/>
    </row>
    <row r="31">
      <c r="A31" s="14" t="n">
        <v>15</v>
      </c>
      <c r="B31" s="26" t="n">
        <v>45390</v>
      </c>
      <c r="C31" s="43">
        <f>SUMIFS(D_Units,D_SKU,FcSKU,D_Week,B31)</f>
        <v/>
      </c>
      <c r="D31" s="43">
        <f>AVERAGE(C27:C30)</f>
        <v/>
      </c>
      <c r="E31" s="43">
        <f>Alpha*C31+(1-Alpha)*E30</f>
        <v/>
      </c>
      <c r="F31" s="43">
        <f>E30</f>
        <v/>
      </c>
      <c r="G31" s="43" t="n"/>
      <c r="H31" s="43" t="n"/>
    </row>
    <row r="32">
      <c r="A32" s="14" t="n">
        <v>16</v>
      </c>
      <c r="B32" s="26" t="n">
        <v>45397</v>
      </c>
      <c r="C32" s="43">
        <f>SUMIFS(D_Units,D_SKU,FcSKU,D_Week,B32)</f>
        <v/>
      </c>
      <c r="D32" s="43">
        <f>AVERAGE(C28:C31)</f>
        <v/>
      </c>
      <c r="E32" s="43">
        <f>Alpha*C32+(1-Alpha)*E31</f>
        <v/>
      </c>
      <c r="F32" s="43">
        <f>E31</f>
        <v/>
      </c>
      <c r="G32" s="43" t="n"/>
      <c r="H32" s="43" t="n"/>
    </row>
    <row r="33">
      <c r="A33" s="14" t="n">
        <v>17</v>
      </c>
      <c r="B33" s="26" t="n">
        <v>45404</v>
      </c>
      <c r="C33" s="43">
        <f>SUMIFS(D_Units,D_SKU,FcSKU,D_Week,B33)</f>
        <v/>
      </c>
      <c r="D33" s="43">
        <f>AVERAGE(C29:C32)</f>
        <v/>
      </c>
      <c r="E33" s="43">
        <f>Alpha*C33+(1-Alpha)*E32</f>
        <v/>
      </c>
      <c r="F33" s="43">
        <f>E32</f>
        <v/>
      </c>
      <c r="G33" s="43" t="n"/>
      <c r="H33" s="43" t="n"/>
    </row>
    <row r="34">
      <c r="A34" s="14" t="n">
        <v>18</v>
      </c>
      <c r="B34" s="26" t="n">
        <v>45411</v>
      </c>
      <c r="C34" s="43">
        <f>SUMIFS(D_Units,D_SKU,FcSKU,D_Week,B34)</f>
        <v/>
      </c>
      <c r="D34" s="43">
        <f>AVERAGE(C30:C33)</f>
        <v/>
      </c>
      <c r="E34" s="43">
        <f>Alpha*C34+(1-Alpha)*E33</f>
        <v/>
      </c>
      <c r="F34" s="43">
        <f>E33</f>
        <v/>
      </c>
      <c r="G34" s="43" t="n"/>
      <c r="H34" s="43" t="n"/>
    </row>
    <row r="35">
      <c r="A35" s="14" t="n">
        <v>19</v>
      </c>
      <c r="B35" s="26" t="n">
        <v>45418</v>
      </c>
      <c r="C35" s="43">
        <f>SUMIFS(D_Units,D_SKU,FcSKU,D_Week,B35)</f>
        <v/>
      </c>
      <c r="D35" s="43">
        <f>AVERAGE(C31:C34)</f>
        <v/>
      </c>
      <c r="E35" s="43">
        <f>Alpha*C35+(1-Alpha)*E34</f>
        <v/>
      </c>
      <c r="F35" s="43">
        <f>E34</f>
        <v/>
      </c>
      <c r="G35" s="43" t="n"/>
      <c r="H35" s="43" t="n"/>
    </row>
    <row r="36">
      <c r="A36" s="14" t="n">
        <v>20</v>
      </c>
      <c r="B36" s="26" t="n">
        <v>45425</v>
      </c>
      <c r="C36" s="43">
        <f>SUMIFS(D_Units,D_SKU,FcSKU,D_Week,B36)</f>
        <v/>
      </c>
      <c r="D36" s="43">
        <f>AVERAGE(C32:C35)</f>
        <v/>
      </c>
      <c r="E36" s="43">
        <f>Alpha*C36+(1-Alpha)*E35</f>
        <v/>
      </c>
      <c r="F36" s="43">
        <f>E35</f>
        <v/>
      </c>
      <c r="G36" s="43" t="n"/>
      <c r="H36" s="43" t="n"/>
    </row>
    <row r="37">
      <c r="A37" s="14" t="n">
        <v>21</v>
      </c>
      <c r="B37" s="26" t="n">
        <v>45432</v>
      </c>
      <c r="C37" s="43">
        <f>SUMIFS(D_Units,D_SKU,FcSKU,D_Week,B37)</f>
        <v/>
      </c>
      <c r="D37" s="43">
        <f>AVERAGE(C33:C36)</f>
        <v/>
      </c>
      <c r="E37" s="43">
        <f>Alpha*C37+(1-Alpha)*E36</f>
        <v/>
      </c>
      <c r="F37" s="43">
        <f>E36</f>
        <v/>
      </c>
      <c r="G37" s="43" t="n"/>
      <c r="H37" s="43" t="n"/>
    </row>
    <row r="38">
      <c r="A38" s="14" t="n">
        <v>22</v>
      </c>
      <c r="B38" s="26" t="n">
        <v>45439</v>
      </c>
      <c r="C38" s="43">
        <f>SUMIFS(D_Units,D_SKU,FcSKU,D_Week,B38)</f>
        <v/>
      </c>
      <c r="D38" s="43">
        <f>AVERAGE(C34:C37)</f>
        <v/>
      </c>
      <c r="E38" s="43">
        <f>Alpha*C38+(1-Alpha)*E37</f>
        <v/>
      </c>
      <c r="F38" s="43">
        <f>E37</f>
        <v/>
      </c>
      <c r="G38" s="43" t="n"/>
      <c r="H38" s="43" t="n"/>
    </row>
    <row r="39">
      <c r="A39" s="14" t="n">
        <v>23</v>
      </c>
      <c r="B39" s="26" t="n">
        <v>45446</v>
      </c>
      <c r="C39" s="43">
        <f>SUMIFS(D_Units,D_SKU,FcSKU,D_Week,B39)</f>
        <v/>
      </c>
      <c r="D39" s="43">
        <f>AVERAGE(C35:C38)</f>
        <v/>
      </c>
      <c r="E39" s="43">
        <f>Alpha*C39+(1-Alpha)*E38</f>
        <v/>
      </c>
      <c r="F39" s="43">
        <f>E38</f>
        <v/>
      </c>
      <c r="G39" s="43" t="n"/>
      <c r="H39" s="43" t="n"/>
    </row>
    <row r="40">
      <c r="A40" s="14" t="n">
        <v>24</v>
      </c>
      <c r="B40" s="26" t="n">
        <v>45453</v>
      </c>
      <c r="C40" s="43">
        <f>SUMIFS(D_Units,D_SKU,FcSKU,D_Week,B40)</f>
        <v/>
      </c>
      <c r="D40" s="43">
        <f>AVERAGE(C36:C39)</f>
        <v/>
      </c>
      <c r="E40" s="43">
        <f>Alpha*C40+(1-Alpha)*E39</f>
        <v/>
      </c>
      <c r="F40" s="43">
        <f>E39</f>
        <v/>
      </c>
      <c r="G40" s="43" t="n"/>
      <c r="H40" s="43" t="n"/>
    </row>
    <row r="41">
      <c r="A41" s="14" t="n">
        <v>25</v>
      </c>
      <c r="B41" s="26" t="n">
        <v>45460</v>
      </c>
      <c r="C41" s="43">
        <f>SUMIFS(D_Units,D_SKU,FcSKU,D_Week,B41)</f>
        <v/>
      </c>
      <c r="D41" s="43">
        <f>AVERAGE(C37:C40)</f>
        <v/>
      </c>
      <c r="E41" s="43">
        <f>Alpha*C41+(1-Alpha)*E40</f>
        <v/>
      </c>
      <c r="F41" s="43">
        <f>E40</f>
        <v/>
      </c>
      <c r="G41" s="43" t="n"/>
      <c r="H41" s="43" t="n"/>
    </row>
    <row r="42">
      <c r="A42" s="14" t="n">
        <v>26</v>
      </c>
      <c r="B42" s="26" t="n">
        <v>45467</v>
      </c>
      <c r="C42" s="43">
        <f>SUMIFS(D_Units,D_SKU,FcSKU,D_Week,B42)</f>
        <v/>
      </c>
      <c r="D42" s="43">
        <f>AVERAGE(C38:C41)</f>
        <v/>
      </c>
      <c r="E42" s="43">
        <f>Alpha*C42+(1-Alpha)*E41</f>
        <v/>
      </c>
      <c r="F42" s="43">
        <f>E41</f>
        <v/>
      </c>
      <c r="G42" s="43" t="n"/>
      <c r="H42" s="43" t="n"/>
    </row>
    <row r="43">
      <c r="A43" s="14" t="n">
        <v>27</v>
      </c>
      <c r="B43" s="26" t="n">
        <v>45474</v>
      </c>
      <c r="C43" s="43">
        <f>SUMIFS(D_Units,D_SKU,FcSKU,D_Week,B43)</f>
        <v/>
      </c>
      <c r="D43" s="43">
        <f>AVERAGE(C39:C42)</f>
        <v/>
      </c>
      <c r="E43" s="43">
        <f>Alpha*C43+(1-Alpha)*E42</f>
        <v/>
      </c>
      <c r="F43" s="43">
        <f>E42</f>
        <v/>
      </c>
      <c r="G43" s="43" t="n"/>
      <c r="H43" s="43" t="n"/>
    </row>
    <row r="44">
      <c r="A44" s="14" t="n">
        <v>28</v>
      </c>
      <c r="B44" s="26" t="n">
        <v>45481</v>
      </c>
      <c r="C44" s="43">
        <f>SUMIFS(D_Units,D_SKU,FcSKU,D_Week,B44)</f>
        <v/>
      </c>
      <c r="D44" s="43">
        <f>AVERAGE(C40:C43)</f>
        <v/>
      </c>
      <c r="E44" s="43">
        <f>Alpha*C44+(1-Alpha)*E43</f>
        <v/>
      </c>
      <c r="F44" s="43">
        <f>E43</f>
        <v/>
      </c>
      <c r="G44" s="43" t="n"/>
      <c r="H44" s="43" t="n"/>
    </row>
    <row r="45">
      <c r="A45" s="14" t="n">
        <v>29</v>
      </c>
      <c r="B45" s="26" t="n">
        <v>45488</v>
      </c>
      <c r="C45" s="43">
        <f>SUMIFS(D_Units,D_SKU,FcSKU,D_Week,B45)</f>
        <v/>
      </c>
      <c r="D45" s="43">
        <f>AVERAGE(C41:C44)</f>
        <v/>
      </c>
      <c r="E45" s="43">
        <f>Alpha*C45+(1-Alpha)*E44</f>
        <v/>
      </c>
      <c r="F45" s="43">
        <f>E44</f>
        <v/>
      </c>
      <c r="G45" s="43" t="n"/>
      <c r="H45" s="43" t="n"/>
    </row>
    <row r="46">
      <c r="A46" s="14" t="n">
        <v>30</v>
      </c>
      <c r="B46" s="26" t="n">
        <v>45495</v>
      </c>
      <c r="C46" s="43">
        <f>SUMIFS(D_Units,D_SKU,FcSKU,D_Week,B46)</f>
        <v/>
      </c>
      <c r="D46" s="43">
        <f>AVERAGE(C42:C45)</f>
        <v/>
      </c>
      <c r="E46" s="43">
        <f>Alpha*C46+(1-Alpha)*E45</f>
        <v/>
      </c>
      <c r="F46" s="43">
        <f>E45</f>
        <v/>
      </c>
      <c r="G46" s="43" t="n"/>
      <c r="H46" s="43" t="n"/>
    </row>
    <row r="47">
      <c r="A47" s="14" t="n">
        <v>31</v>
      </c>
      <c r="B47" s="26" t="n">
        <v>45502</v>
      </c>
      <c r="C47" s="43">
        <f>SUMIFS(D_Units,D_SKU,FcSKU,D_Week,B47)</f>
        <v/>
      </c>
      <c r="D47" s="43">
        <f>AVERAGE(C43:C46)</f>
        <v/>
      </c>
      <c r="E47" s="43">
        <f>Alpha*C47+(1-Alpha)*E46</f>
        <v/>
      </c>
      <c r="F47" s="43">
        <f>E46</f>
        <v/>
      </c>
      <c r="G47" s="43" t="n"/>
      <c r="H47" s="43" t="n"/>
    </row>
    <row r="48">
      <c r="A48" s="14" t="n">
        <v>32</v>
      </c>
      <c r="B48" s="26" t="n">
        <v>45509</v>
      </c>
      <c r="C48" s="43">
        <f>SUMIFS(D_Units,D_SKU,FcSKU,D_Week,B48)</f>
        <v/>
      </c>
      <c r="D48" s="43">
        <f>AVERAGE(C44:C47)</f>
        <v/>
      </c>
      <c r="E48" s="43">
        <f>Alpha*C48+(1-Alpha)*E47</f>
        <v/>
      </c>
      <c r="F48" s="43">
        <f>E47</f>
        <v/>
      </c>
      <c r="G48" s="43" t="n"/>
      <c r="H48" s="43" t="n"/>
    </row>
    <row r="49">
      <c r="A49" s="14" t="n">
        <v>33</v>
      </c>
      <c r="B49" s="26" t="n">
        <v>45516</v>
      </c>
      <c r="C49" s="43">
        <f>SUMIFS(D_Units,D_SKU,FcSKU,D_Week,B49)</f>
        <v/>
      </c>
      <c r="D49" s="43">
        <f>AVERAGE(C45:C48)</f>
        <v/>
      </c>
      <c r="E49" s="43">
        <f>Alpha*C49+(1-Alpha)*E48</f>
        <v/>
      </c>
      <c r="F49" s="43">
        <f>E48</f>
        <v/>
      </c>
      <c r="G49" s="43" t="n"/>
      <c r="H49" s="43" t="n"/>
    </row>
    <row r="50">
      <c r="A50" s="14" t="n">
        <v>34</v>
      </c>
      <c r="B50" s="26" t="n">
        <v>45523</v>
      </c>
      <c r="C50" s="43">
        <f>SUMIFS(D_Units,D_SKU,FcSKU,D_Week,B50)</f>
        <v/>
      </c>
      <c r="D50" s="43">
        <f>AVERAGE(C46:C49)</f>
        <v/>
      </c>
      <c r="E50" s="43">
        <f>Alpha*C50+(1-Alpha)*E49</f>
        <v/>
      </c>
      <c r="F50" s="43">
        <f>E49</f>
        <v/>
      </c>
      <c r="G50" s="43" t="n"/>
      <c r="H50" s="43" t="n"/>
    </row>
    <row r="51">
      <c r="A51" s="14" t="n">
        <v>35</v>
      </c>
      <c r="B51" s="26" t="n">
        <v>45530</v>
      </c>
      <c r="C51" s="43">
        <f>SUMIFS(D_Units,D_SKU,FcSKU,D_Week,B51)</f>
        <v/>
      </c>
      <c r="D51" s="43">
        <f>AVERAGE(C47:C50)</f>
        <v/>
      </c>
      <c r="E51" s="43">
        <f>Alpha*C51+(1-Alpha)*E50</f>
        <v/>
      </c>
      <c r="F51" s="43">
        <f>E50</f>
        <v/>
      </c>
      <c r="G51" s="43" t="n"/>
      <c r="H51" s="43" t="n"/>
    </row>
    <row r="52">
      <c r="A52" s="14" t="n">
        <v>36</v>
      </c>
      <c r="B52" s="26" t="n">
        <v>45537</v>
      </c>
      <c r="C52" s="43">
        <f>SUMIFS(D_Units,D_SKU,FcSKU,D_Week,B52)</f>
        <v/>
      </c>
      <c r="D52" s="43">
        <f>AVERAGE(C48:C51)</f>
        <v/>
      </c>
      <c r="E52" s="43">
        <f>Alpha*C52+(1-Alpha)*E51</f>
        <v/>
      </c>
      <c r="F52" s="43">
        <f>E51</f>
        <v/>
      </c>
      <c r="G52" s="43" t="n"/>
      <c r="H52" s="43" t="n"/>
    </row>
    <row r="53">
      <c r="A53" s="14" t="n">
        <v>37</v>
      </c>
      <c r="B53" s="26" t="n">
        <v>45544</v>
      </c>
      <c r="C53" s="43">
        <f>SUMIFS(D_Units,D_SKU,FcSKU,D_Week,B53)</f>
        <v/>
      </c>
      <c r="D53" s="43">
        <f>AVERAGE(C49:C52)</f>
        <v/>
      </c>
      <c r="E53" s="43">
        <f>Alpha*C53+(1-Alpha)*E52</f>
        <v/>
      </c>
      <c r="F53" s="43">
        <f>E52</f>
        <v/>
      </c>
      <c r="G53" s="43" t="n"/>
      <c r="H53" s="43" t="n"/>
    </row>
    <row r="54">
      <c r="A54" s="14" t="n">
        <v>38</v>
      </c>
      <c r="B54" s="26" t="n">
        <v>45551</v>
      </c>
      <c r="C54" s="43">
        <f>SUMIFS(D_Units,D_SKU,FcSKU,D_Week,B54)</f>
        <v/>
      </c>
      <c r="D54" s="43">
        <f>AVERAGE(C50:C53)</f>
        <v/>
      </c>
      <c r="E54" s="43">
        <f>Alpha*C54+(1-Alpha)*E53</f>
        <v/>
      </c>
      <c r="F54" s="43">
        <f>E53</f>
        <v/>
      </c>
      <c r="G54" s="43" t="n"/>
      <c r="H54" s="43" t="n"/>
    </row>
    <row r="55">
      <c r="A55" s="14" t="n">
        <v>39</v>
      </c>
      <c r="B55" s="26" t="n">
        <v>45558</v>
      </c>
      <c r="C55" s="43">
        <f>SUMIFS(D_Units,D_SKU,FcSKU,D_Week,B55)</f>
        <v/>
      </c>
      <c r="D55" s="43">
        <f>AVERAGE(C51:C54)</f>
        <v/>
      </c>
      <c r="E55" s="43">
        <f>Alpha*C55+(1-Alpha)*E54</f>
        <v/>
      </c>
      <c r="F55" s="43">
        <f>E54</f>
        <v/>
      </c>
      <c r="G55" s="43" t="n"/>
      <c r="H55" s="43" t="n"/>
    </row>
    <row r="56">
      <c r="A56" s="14" t="n">
        <v>40</v>
      </c>
      <c r="B56" s="26" t="n">
        <v>45565</v>
      </c>
      <c r="C56" s="43">
        <f>SUMIFS(D_Units,D_SKU,FcSKU,D_Week,B56)</f>
        <v/>
      </c>
      <c r="D56" s="43">
        <f>AVERAGE(C52:C55)</f>
        <v/>
      </c>
      <c r="E56" s="43">
        <f>Alpha*C56+(1-Alpha)*E55</f>
        <v/>
      </c>
      <c r="F56" s="43">
        <f>E55</f>
        <v/>
      </c>
      <c r="G56" s="43" t="n"/>
      <c r="H56" s="43" t="n"/>
    </row>
    <row r="57">
      <c r="A57" s="14" t="n">
        <v>41</v>
      </c>
      <c r="B57" s="26" t="n">
        <v>45572</v>
      </c>
      <c r="C57" s="43">
        <f>SUMIFS(D_Units,D_SKU,FcSKU,D_Week,B57)</f>
        <v/>
      </c>
      <c r="D57" s="43">
        <f>AVERAGE(C53:C56)</f>
        <v/>
      </c>
      <c r="E57" s="43">
        <f>Alpha*C57+(1-Alpha)*E56</f>
        <v/>
      </c>
      <c r="F57" s="43">
        <f>E56</f>
        <v/>
      </c>
      <c r="G57" s="43" t="n"/>
      <c r="H57" s="43" t="n"/>
    </row>
    <row r="58">
      <c r="A58" s="14" t="n">
        <v>42</v>
      </c>
      <c r="B58" s="26" t="n">
        <v>45579</v>
      </c>
      <c r="C58" s="43">
        <f>SUMIFS(D_Units,D_SKU,FcSKU,D_Week,B58)</f>
        <v/>
      </c>
      <c r="D58" s="43">
        <f>AVERAGE(C54:C57)</f>
        <v/>
      </c>
      <c r="E58" s="43">
        <f>Alpha*C58+(1-Alpha)*E57</f>
        <v/>
      </c>
      <c r="F58" s="43">
        <f>E57</f>
        <v/>
      </c>
      <c r="G58" s="43" t="n"/>
      <c r="H58" s="43" t="n"/>
    </row>
    <row r="59">
      <c r="A59" s="14" t="n">
        <v>43</v>
      </c>
      <c r="B59" s="26" t="n">
        <v>45586</v>
      </c>
      <c r="C59" s="43">
        <f>SUMIFS(D_Units,D_SKU,FcSKU,D_Week,B59)</f>
        <v/>
      </c>
      <c r="D59" s="43">
        <f>AVERAGE(C55:C58)</f>
        <v/>
      </c>
      <c r="E59" s="43">
        <f>Alpha*C59+(1-Alpha)*E58</f>
        <v/>
      </c>
      <c r="F59" s="43">
        <f>E58</f>
        <v/>
      </c>
      <c r="G59" s="43" t="n"/>
      <c r="H59" s="43" t="n"/>
    </row>
    <row r="60">
      <c r="A60" s="14" t="n">
        <v>44</v>
      </c>
      <c r="B60" s="26" t="n">
        <v>45593</v>
      </c>
      <c r="C60" s="43">
        <f>SUMIFS(D_Units,D_SKU,FcSKU,D_Week,B60)</f>
        <v/>
      </c>
      <c r="D60" s="43">
        <f>AVERAGE(C56:C59)</f>
        <v/>
      </c>
      <c r="E60" s="43">
        <f>Alpha*C60+(1-Alpha)*E59</f>
        <v/>
      </c>
      <c r="F60" s="43">
        <f>E59</f>
        <v/>
      </c>
      <c r="G60" s="43" t="n"/>
      <c r="H60" s="43" t="n"/>
    </row>
    <row r="61">
      <c r="A61" s="14" t="n">
        <v>45</v>
      </c>
      <c r="B61" s="26" t="n">
        <v>45600</v>
      </c>
      <c r="C61" s="43">
        <f>SUMIFS(D_Units,D_SKU,FcSKU,D_Week,B61)</f>
        <v/>
      </c>
      <c r="D61" s="43">
        <f>AVERAGE(C57:C60)</f>
        <v/>
      </c>
      <c r="E61" s="43">
        <f>Alpha*C61+(1-Alpha)*E60</f>
        <v/>
      </c>
      <c r="F61" s="43">
        <f>E60</f>
        <v/>
      </c>
      <c r="G61" s="43" t="n"/>
      <c r="H61" s="43" t="n"/>
    </row>
    <row r="62">
      <c r="A62" s="14" t="n">
        <v>46</v>
      </c>
      <c r="B62" s="26" t="n">
        <v>45607</v>
      </c>
      <c r="C62" s="43">
        <f>SUMIFS(D_Units,D_SKU,FcSKU,D_Week,B62)</f>
        <v/>
      </c>
      <c r="D62" s="43">
        <f>AVERAGE(C58:C61)</f>
        <v/>
      </c>
      <c r="E62" s="43">
        <f>Alpha*C62+(1-Alpha)*E61</f>
        <v/>
      </c>
      <c r="F62" s="43">
        <f>E61</f>
        <v/>
      </c>
      <c r="G62" s="43" t="n"/>
      <c r="H62" s="43" t="n"/>
    </row>
    <row r="63">
      <c r="A63" s="14" t="n">
        <v>47</v>
      </c>
      <c r="B63" s="26" t="n">
        <v>45614</v>
      </c>
      <c r="C63" s="43">
        <f>SUMIFS(D_Units,D_SKU,FcSKU,D_Week,B63)</f>
        <v/>
      </c>
      <c r="D63" s="43">
        <f>AVERAGE(C59:C62)</f>
        <v/>
      </c>
      <c r="E63" s="43">
        <f>Alpha*C63+(1-Alpha)*E62</f>
        <v/>
      </c>
      <c r="F63" s="43">
        <f>E62</f>
        <v/>
      </c>
      <c r="G63" s="43" t="n"/>
      <c r="H63" s="43" t="n"/>
    </row>
    <row r="64">
      <c r="A64" s="14" t="n">
        <v>48</v>
      </c>
      <c r="B64" s="26" t="n">
        <v>45621</v>
      </c>
      <c r="C64" s="43">
        <f>SUMIFS(D_Units,D_SKU,FcSKU,D_Week,B64)</f>
        <v/>
      </c>
      <c r="D64" s="43">
        <f>AVERAGE(C60:C63)</f>
        <v/>
      </c>
      <c r="E64" s="43">
        <f>Alpha*C64+(1-Alpha)*E63</f>
        <v/>
      </c>
      <c r="F64" s="43">
        <f>E63</f>
        <v/>
      </c>
      <c r="G64" s="43" t="n"/>
      <c r="H64" s="43" t="n"/>
    </row>
    <row r="65">
      <c r="A65" s="14" t="n">
        <v>49</v>
      </c>
      <c r="B65" s="26" t="n">
        <v>45628</v>
      </c>
      <c r="C65" s="43">
        <f>SUMIFS(D_Units,D_SKU,FcSKU,D_Week,B65)</f>
        <v/>
      </c>
      <c r="D65" s="43">
        <f>AVERAGE(C61:C64)</f>
        <v/>
      </c>
      <c r="E65" s="43">
        <f>Alpha*C65+(1-Alpha)*E64</f>
        <v/>
      </c>
      <c r="F65" s="43">
        <f>E64</f>
        <v/>
      </c>
      <c r="G65" s="43" t="n"/>
      <c r="H65" s="43" t="n"/>
    </row>
    <row r="66">
      <c r="A66" s="14" t="n">
        <v>50</v>
      </c>
      <c r="B66" s="26" t="n">
        <v>45635</v>
      </c>
      <c r="C66" s="43">
        <f>SUMIFS(D_Units,D_SKU,FcSKU,D_Week,B66)</f>
        <v/>
      </c>
      <c r="D66" s="43">
        <f>AVERAGE(C62:C65)</f>
        <v/>
      </c>
      <c r="E66" s="43">
        <f>Alpha*C66+(1-Alpha)*E65</f>
        <v/>
      </c>
      <c r="F66" s="43">
        <f>E65</f>
        <v/>
      </c>
      <c r="G66" s="43" t="n"/>
      <c r="H66" s="43" t="n"/>
    </row>
    <row r="67">
      <c r="A67" s="14" t="n">
        <v>51</v>
      </c>
      <c r="B67" s="26" t="n">
        <v>45642</v>
      </c>
      <c r="C67" s="43">
        <f>SUMIFS(D_Units,D_SKU,FcSKU,D_Week,B67)</f>
        <v/>
      </c>
      <c r="D67" s="43">
        <f>AVERAGE(C63:C66)</f>
        <v/>
      </c>
      <c r="E67" s="43">
        <f>Alpha*C67+(1-Alpha)*E66</f>
        <v/>
      </c>
      <c r="F67" s="43">
        <f>E66</f>
        <v/>
      </c>
      <c r="G67" s="43" t="n"/>
      <c r="H67" s="43" t="n"/>
    </row>
    <row r="68">
      <c r="A68" s="14" t="n">
        <v>52</v>
      </c>
      <c r="B68" s="26" t="n">
        <v>45649</v>
      </c>
      <c r="C68" s="43">
        <f>SUMIFS(D_Units,D_SKU,FcSKU,D_Week,B68)</f>
        <v/>
      </c>
      <c r="D68" s="43">
        <f>AVERAGE(C64:C67)</f>
        <v/>
      </c>
      <c r="E68" s="43">
        <f>Alpha*C68+(1-Alpha)*E67</f>
        <v/>
      </c>
      <c r="F68" s="43">
        <f>E67</f>
        <v/>
      </c>
      <c r="G68" s="43" t="n"/>
      <c r="H68" s="43" t="n"/>
    </row>
    <row r="69">
      <c r="A69" s="14" t="n">
        <v>53</v>
      </c>
      <c r="B69" s="26" t="n">
        <v>45656</v>
      </c>
      <c r="C69" s="43">
        <f>SUMIFS(D_Units,D_SKU,FcSKU,D_Week,B69)</f>
        <v/>
      </c>
      <c r="D69" s="43">
        <f>AVERAGE(C65:C68)</f>
        <v/>
      </c>
      <c r="E69" s="43">
        <f>Alpha*C69+(1-Alpha)*E68</f>
        <v/>
      </c>
      <c r="F69" s="43">
        <f>E68</f>
        <v/>
      </c>
      <c r="G69" s="43">
        <f>C17</f>
        <v/>
      </c>
      <c r="H69" s="43" t="n"/>
    </row>
    <row r="70">
      <c r="A70" s="14" t="n">
        <v>54</v>
      </c>
      <c r="B70" s="26" t="n">
        <v>45663</v>
      </c>
      <c r="C70" s="43">
        <f>SUMIFS(D_Units,D_SKU,FcSKU,D_Week,B70)</f>
        <v/>
      </c>
      <c r="D70" s="43">
        <f>AVERAGE(C66:C69)</f>
        <v/>
      </c>
      <c r="E70" s="43">
        <f>Alpha*C70+(1-Alpha)*E69</f>
        <v/>
      </c>
      <c r="F70" s="43">
        <f>E69</f>
        <v/>
      </c>
      <c r="G70" s="43">
        <f>C18</f>
        <v/>
      </c>
      <c r="H70" s="43" t="n"/>
    </row>
    <row r="71">
      <c r="A71" s="14" t="n">
        <v>55</v>
      </c>
      <c r="B71" s="26" t="n">
        <v>45670</v>
      </c>
      <c r="C71" s="43">
        <f>SUMIFS(D_Units,D_SKU,FcSKU,D_Week,B71)</f>
        <v/>
      </c>
      <c r="D71" s="43">
        <f>AVERAGE(C67:C70)</f>
        <v/>
      </c>
      <c r="E71" s="43">
        <f>Alpha*C71+(1-Alpha)*E70</f>
        <v/>
      </c>
      <c r="F71" s="43">
        <f>E70</f>
        <v/>
      </c>
      <c r="G71" s="43">
        <f>C19</f>
        <v/>
      </c>
      <c r="H71" s="43" t="n"/>
    </row>
    <row r="72">
      <c r="A72" s="14" t="n">
        <v>56</v>
      </c>
      <c r="B72" s="26" t="n">
        <v>45677</v>
      </c>
      <c r="C72" s="43">
        <f>SUMIFS(D_Units,D_SKU,FcSKU,D_Week,B72)</f>
        <v/>
      </c>
      <c r="D72" s="43">
        <f>AVERAGE(C68:C71)</f>
        <v/>
      </c>
      <c r="E72" s="43">
        <f>Alpha*C72+(1-Alpha)*E71</f>
        <v/>
      </c>
      <c r="F72" s="43">
        <f>E71</f>
        <v/>
      </c>
      <c r="G72" s="43">
        <f>C20</f>
        <v/>
      </c>
      <c r="H72" s="43" t="n"/>
    </row>
    <row r="73">
      <c r="A73" s="14" t="n">
        <v>57</v>
      </c>
      <c r="B73" s="26" t="n">
        <v>45684</v>
      </c>
      <c r="C73" s="43">
        <f>SUMIFS(D_Units,D_SKU,FcSKU,D_Week,B73)</f>
        <v/>
      </c>
      <c r="D73" s="43">
        <f>AVERAGE(C69:C72)</f>
        <v/>
      </c>
      <c r="E73" s="43">
        <f>Alpha*C73+(1-Alpha)*E72</f>
        <v/>
      </c>
      <c r="F73" s="43">
        <f>E72</f>
        <v/>
      </c>
      <c r="G73" s="43">
        <f>C21</f>
        <v/>
      </c>
      <c r="H73" s="43" t="n"/>
    </row>
    <row r="74">
      <c r="A74" s="14" t="n">
        <v>58</v>
      </c>
      <c r="B74" s="26" t="n">
        <v>45691</v>
      </c>
      <c r="C74" s="43">
        <f>SUMIFS(D_Units,D_SKU,FcSKU,D_Week,B74)</f>
        <v/>
      </c>
      <c r="D74" s="43">
        <f>AVERAGE(C70:C73)</f>
        <v/>
      </c>
      <c r="E74" s="43">
        <f>Alpha*C74+(1-Alpha)*E73</f>
        <v/>
      </c>
      <c r="F74" s="43">
        <f>E73</f>
        <v/>
      </c>
      <c r="G74" s="43">
        <f>C22</f>
        <v/>
      </c>
      <c r="H74" s="43" t="n"/>
    </row>
    <row r="75">
      <c r="A75" s="14" t="n">
        <v>59</v>
      </c>
      <c r="B75" s="26" t="n">
        <v>45698</v>
      </c>
      <c r="C75" s="43">
        <f>SUMIFS(D_Units,D_SKU,FcSKU,D_Week,B75)</f>
        <v/>
      </c>
      <c r="D75" s="43">
        <f>AVERAGE(C71:C74)</f>
        <v/>
      </c>
      <c r="E75" s="43">
        <f>Alpha*C75+(1-Alpha)*E74</f>
        <v/>
      </c>
      <c r="F75" s="43">
        <f>E74</f>
        <v/>
      </c>
      <c r="G75" s="43">
        <f>C23</f>
        <v/>
      </c>
      <c r="H75" s="43" t="n"/>
    </row>
    <row r="76">
      <c r="A76" s="14" t="n">
        <v>60</v>
      </c>
      <c r="B76" s="26" t="n">
        <v>45705</v>
      </c>
      <c r="C76" s="43">
        <f>SUMIFS(D_Units,D_SKU,FcSKU,D_Week,B76)</f>
        <v/>
      </c>
      <c r="D76" s="43">
        <f>AVERAGE(C72:C75)</f>
        <v/>
      </c>
      <c r="E76" s="43">
        <f>Alpha*C76+(1-Alpha)*E75</f>
        <v/>
      </c>
      <c r="F76" s="43">
        <f>E75</f>
        <v/>
      </c>
      <c r="G76" s="43">
        <f>C24</f>
        <v/>
      </c>
      <c r="H76" s="43" t="n"/>
    </row>
    <row r="77">
      <c r="A77" s="14" t="n">
        <v>61</v>
      </c>
      <c r="B77" s="26" t="n">
        <v>45712</v>
      </c>
      <c r="C77" s="43">
        <f>SUMIFS(D_Units,D_SKU,FcSKU,D_Week,B77)</f>
        <v/>
      </c>
      <c r="D77" s="43">
        <f>AVERAGE(C73:C76)</f>
        <v/>
      </c>
      <c r="E77" s="43">
        <f>Alpha*C77+(1-Alpha)*E76</f>
        <v/>
      </c>
      <c r="F77" s="43">
        <f>E76</f>
        <v/>
      </c>
      <c r="G77" s="43">
        <f>C25</f>
        <v/>
      </c>
      <c r="H77" s="43" t="n"/>
    </row>
    <row r="78">
      <c r="A78" s="14" t="n">
        <v>62</v>
      </c>
      <c r="B78" s="26" t="n">
        <v>45719</v>
      </c>
      <c r="C78" s="43">
        <f>SUMIFS(D_Units,D_SKU,FcSKU,D_Week,B78)</f>
        <v/>
      </c>
      <c r="D78" s="43">
        <f>AVERAGE(C74:C77)</f>
        <v/>
      </c>
      <c r="E78" s="43">
        <f>Alpha*C78+(1-Alpha)*E77</f>
        <v/>
      </c>
      <c r="F78" s="43">
        <f>E77</f>
        <v/>
      </c>
      <c r="G78" s="43">
        <f>C26</f>
        <v/>
      </c>
      <c r="H78" s="43" t="n"/>
    </row>
    <row r="79">
      <c r="A79" s="14" t="n">
        <v>63</v>
      </c>
      <c r="B79" s="26" t="n">
        <v>45726</v>
      </c>
      <c r="C79" s="43">
        <f>SUMIFS(D_Units,D_SKU,FcSKU,D_Week,B79)</f>
        <v/>
      </c>
      <c r="D79" s="43">
        <f>AVERAGE(C75:C78)</f>
        <v/>
      </c>
      <c r="E79" s="43">
        <f>Alpha*C79+(1-Alpha)*E78</f>
        <v/>
      </c>
      <c r="F79" s="43">
        <f>E78</f>
        <v/>
      </c>
      <c r="G79" s="43">
        <f>C27</f>
        <v/>
      </c>
      <c r="H79" s="43" t="n"/>
    </row>
    <row r="80">
      <c r="A80" s="14" t="n">
        <v>64</v>
      </c>
      <c r="B80" s="26" t="n">
        <v>45733</v>
      </c>
      <c r="C80" s="43">
        <f>SUMIFS(D_Units,D_SKU,FcSKU,D_Week,B80)</f>
        <v/>
      </c>
      <c r="D80" s="43">
        <f>AVERAGE(C76:C79)</f>
        <v/>
      </c>
      <c r="E80" s="43">
        <f>Alpha*C80+(1-Alpha)*E79</f>
        <v/>
      </c>
      <c r="F80" s="43">
        <f>E79</f>
        <v/>
      </c>
      <c r="G80" s="43">
        <f>C28</f>
        <v/>
      </c>
      <c r="H80" s="43" t="n"/>
    </row>
    <row r="81">
      <c r="A81" s="14" t="n">
        <v>65</v>
      </c>
      <c r="B81" s="26" t="n">
        <v>45740</v>
      </c>
      <c r="C81" s="43">
        <f>SUMIFS(D_Units,D_SKU,FcSKU,D_Week,B81)</f>
        <v/>
      </c>
      <c r="D81" s="43">
        <f>AVERAGE(C77:C80)</f>
        <v/>
      </c>
      <c r="E81" s="43">
        <f>Alpha*C81+(1-Alpha)*E80</f>
        <v/>
      </c>
      <c r="F81" s="43">
        <f>E80</f>
        <v/>
      </c>
      <c r="G81" s="43">
        <f>C29</f>
        <v/>
      </c>
      <c r="H81" s="43" t="n"/>
    </row>
    <row r="82">
      <c r="A82" s="14" t="n">
        <v>66</v>
      </c>
      <c r="B82" s="26" t="n">
        <v>45747</v>
      </c>
      <c r="C82" s="43">
        <f>SUMIFS(D_Units,D_SKU,FcSKU,D_Week,B82)</f>
        <v/>
      </c>
      <c r="D82" s="43">
        <f>AVERAGE(C78:C81)</f>
        <v/>
      </c>
      <c r="E82" s="43">
        <f>Alpha*C82+(1-Alpha)*E81</f>
        <v/>
      </c>
      <c r="F82" s="43">
        <f>E81</f>
        <v/>
      </c>
      <c r="G82" s="43">
        <f>C30</f>
        <v/>
      </c>
      <c r="H82" s="43" t="n"/>
    </row>
    <row r="83">
      <c r="A83" s="14" t="n">
        <v>67</v>
      </c>
      <c r="B83" s="26" t="n">
        <v>45754</v>
      </c>
      <c r="C83" s="43">
        <f>SUMIFS(D_Units,D_SKU,FcSKU,D_Week,B83)</f>
        <v/>
      </c>
      <c r="D83" s="43">
        <f>AVERAGE(C79:C82)</f>
        <v/>
      </c>
      <c r="E83" s="43">
        <f>Alpha*C83+(1-Alpha)*E82</f>
        <v/>
      </c>
      <c r="F83" s="43">
        <f>E82</f>
        <v/>
      </c>
      <c r="G83" s="43">
        <f>C31</f>
        <v/>
      </c>
      <c r="H83" s="43" t="n"/>
    </row>
    <row r="84">
      <c r="A84" s="14" t="n">
        <v>68</v>
      </c>
      <c r="B84" s="26" t="n">
        <v>45761</v>
      </c>
      <c r="C84" s="43">
        <f>SUMIFS(D_Units,D_SKU,FcSKU,D_Week,B84)</f>
        <v/>
      </c>
      <c r="D84" s="43">
        <f>AVERAGE(C80:C83)</f>
        <v/>
      </c>
      <c r="E84" s="43">
        <f>Alpha*C84+(1-Alpha)*E83</f>
        <v/>
      </c>
      <c r="F84" s="43">
        <f>E83</f>
        <v/>
      </c>
      <c r="G84" s="43">
        <f>C32</f>
        <v/>
      </c>
      <c r="H84" s="43" t="n"/>
    </row>
    <row r="85">
      <c r="A85" s="14" t="n">
        <v>69</v>
      </c>
      <c r="B85" s="26" t="n">
        <v>45768</v>
      </c>
      <c r="C85" s="43">
        <f>SUMIFS(D_Units,D_SKU,FcSKU,D_Week,B85)</f>
        <v/>
      </c>
      <c r="D85" s="43">
        <f>AVERAGE(C81:C84)</f>
        <v/>
      </c>
      <c r="E85" s="43">
        <f>Alpha*C85+(1-Alpha)*E84</f>
        <v/>
      </c>
      <c r="F85" s="43">
        <f>E84</f>
        <v/>
      </c>
      <c r="G85" s="43">
        <f>C33</f>
        <v/>
      </c>
      <c r="H85" s="43" t="n"/>
    </row>
    <row r="86">
      <c r="A86" s="14" t="n">
        <v>70</v>
      </c>
      <c r="B86" s="26" t="n">
        <v>45775</v>
      </c>
      <c r="C86" s="43">
        <f>SUMIFS(D_Units,D_SKU,FcSKU,D_Week,B86)</f>
        <v/>
      </c>
      <c r="D86" s="43">
        <f>AVERAGE(C82:C85)</f>
        <v/>
      </c>
      <c r="E86" s="43">
        <f>Alpha*C86+(1-Alpha)*E85</f>
        <v/>
      </c>
      <c r="F86" s="43">
        <f>E85</f>
        <v/>
      </c>
      <c r="G86" s="43">
        <f>C34</f>
        <v/>
      </c>
      <c r="H86" s="43" t="n"/>
    </row>
    <row r="87">
      <c r="A87" s="14" t="n">
        <v>71</v>
      </c>
      <c r="B87" s="26" t="n">
        <v>45782</v>
      </c>
      <c r="C87" s="43">
        <f>SUMIFS(D_Units,D_SKU,FcSKU,D_Week,B87)</f>
        <v/>
      </c>
      <c r="D87" s="43">
        <f>AVERAGE(C83:C86)</f>
        <v/>
      </c>
      <c r="E87" s="43">
        <f>Alpha*C87+(1-Alpha)*E86</f>
        <v/>
      </c>
      <c r="F87" s="43">
        <f>E86</f>
        <v/>
      </c>
      <c r="G87" s="43">
        <f>C35</f>
        <v/>
      </c>
      <c r="H87" s="43" t="n"/>
    </row>
    <row r="88">
      <c r="A88" s="14" t="n">
        <v>72</v>
      </c>
      <c r="B88" s="26" t="n">
        <v>45789</v>
      </c>
      <c r="C88" s="43">
        <f>SUMIFS(D_Units,D_SKU,FcSKU,D_Week,B88)</f>
        <v/>
      </c>
      <c r="D88" s="43">
        <f>AVERAGE(C84:C87)</f>
        <v/>
      </c>
      <c r="E88" s="43">
        <f>Alpha*C88+(1-Alpha)*E87</f>
        <v/>
      </c>
      <c r="F88" s="43">
        <f>E87</f>
        <v/>
      </c>
      <c r="G88" s="43">
        <f>C36</f>
        <v/>
      </c>
      <c r="H88" s="43" t="n"/>
    </row>
    <row r="89">
      <c r="A89" s="14" t="n">
        <v>73</v>
      </c>
      <c r="B89" s="26" t="n">
        <v>45796</v>
      </c>
      <c r="C89" s="43">
        <f>SUMIFS(D_Units,D_SKU,FcSKU,D_Week,B89)</f>
        <v/>
      </c>
      <c r="D89" s="43">
        <f>AVERAGE(C85:C88)</f>
        <v/>
      </c>
      <c r="E89" s="43">
        <f>Alpha*C89+(1-Alpha)*E88</f>
        <v/>
      </c>
      <c r="F89" s="43">
        <f>E88</f>
        <v/>
      </c>
      <c r="G89" s="43">
        <f>C37</f>
        <v/>
      </c>
      <c r="H89" s="43" t="n"/>
    </row>
    <row r="90">
      <c r="A90" s="14" t="n">
        <v>74</v>
      </c>
      <c r="B90" s="26" t="n">
        <v>45803</v>
      </c>
      <c r="C90" s="43">
        <f>SUMIFS(D_Units,D_SKU,FcSKU,D_Week,B90)</f>
        <v/>
      </c>
      <c r="D90" s="43">
        <f>AVERAGE(C86:C89)</f>
        <v/>
      </c>
      <c r="E90" s="43">
        <f>Alpha*C90+(1-Alpha)*E89</f>
        <v/>
      </c>
      <c r="F90" s="43">
        <f>E89</f>
        <v/>
      </c>
      <c r="G90" s="43">
        <f>C38</f>
        <v/>
      </c>
      <c r="H90" s="43" t="n"/>
    </row>
    <row r="91">
      <c r="A91" s="14" t="n">
        <v>75</v>
      </c>
      <c r="B91" s="26" t="n">
        <v>45810</v>
      </c>
      <c r="C91" s="43">
        <f>SUMIFS(D_Units,D_SKU,FcSKU,D_Week,B91)</f>
        <v/>
      </c>
      <c r="D91" s="43">
        <f>AVERAGE(C87:C90)</f>
        <v/>
      </c>
      <c r="E91" s="43">
        <f>Alpha*C91+(1-Alpha)*E90</f>
        <v/>
      </c>
      <c r="F91" s="43">
        <f>E90</f>
        <v/>
      </c>
      <c r="G91" s="43">
        <f>C39</f>
        <v/>
      </c>
      <c r="H91" s="43" t="n"/>
    </row>
    <row r="92">
      <c r="A92" s="14" t="n">
        <v>76</v>
      </c>
      <c r="B92" s="26" t="n">
        <v>45817</v>
      </c>
      <c r="C92" s="43">
        <f>SUMIFS(D_Units,D_SKU,FcSKU,D_Week,B92)</f>
        <v/>
      </c>
      <c r="D92" s="43">
        <f>AVERAGE(C88:C91)</f>
        <v/>
      </c>
      <c r="E92" s="43">
        <f>Alpha*C92+(1-Alpha)*E91</f>
        <v/>
      </c>
      <c r="F92" s="43">
        <f>E91</f>
        <v/>
      </c>
      <c r="G92" s="43">
        <f>C40</f>
        <v/>
      </c>
      <c r="H92" s="43" t="n"/>
    </row>
    <row r="93">
      <c r="A93" s="14" t="n">
        <v>77</v>
      </c>
      <c r="B93" s="26" t="n">
        <v>45824</v>
      </c>
      <c r="C93" s="43">
        <f>SUMIFS(D_Units,D_SKU,FcSKU,D_Week,B93)</f>
        <v/>
      </c>
      <c r="D93" s="43">
        <f>AVERAGE(C89:C92)</f>
        <v/>
      </c>
      <c r="E93" s="43">
        <f>Alpha*C93+(1-Alpha)*E92</f>
        <v/>
      </c>
      <c r="F93" s="43">
        <f>E92</f>
        <v/>
      </c>
      <c r="G93" s="43">
        <f>C41</f>
        <v/>
      </c>
      <c r="H93" s="43" t="n"/>
    </row>
    <row r="94">
      <c r="A94" s="14" t="n">
        <v>78</v>
      </c>
      <c r="B94" s="26" t="n">
        <v>45831</v>
      </c>
      <c r="C94" s="43">
        <f>SUMIFS(D_Units,D_SKU,FcSKU,D_Week,B94)</f>
        <v/>
      </c>
      <c r="D94" s="43">
        <f>AVERAGE(C90:C93)</f>
        <v/>
      </c>
      <c r="E94" s="43">
        <f>Alpha*C94+(1-Alpha)*E93</f>
        <v/>
      </c>
      <c r="F94" s="43">
        <f>E93</f>
        <v/>
      </c>
      <c r="G94" s="43">
        <f>C42</f>
        <v/>
      </c>
      <c r="H94" s="43" t="n"/>
    </row>
    <row r="95">
      <c r="A95" s="14" t="n">
        <v>79</v>
      </c>
      <c r="B95" s="26" t="n">
        <v>45838</v>
      </c>
      <c r="C95" s="43">
        <f>SUMIFS(D_Units,D_SKU,FcSKU,D_Week,B95)</f>
        <v/>
      </c>
      <c r="D95" s="43">
        <f>AVERAGE(C91:C94)</f>
        <v/>
      </c>
      <c r="E95" s="43">
        <f>Alpha*C95+(1-Alpha)*E94</f>
        <v/>
      </c>
      <c r="F95" s="43">
        <f>E94</f>
        <v/>
      </c>
      <c r="G95" s="43">
        <f>C43</f>
        <v/>
      </c>
      <c r="H95" s="43" t="n"/>
    </row>
    <row r="96">
      <c r="A96" s="14" t="n">
        <v>80</v>
      </c>
      <c r="B96" s="26" t="n">
        <v>45845</v>
      </c>
      <c r="C96" s="43">
        <f>SUMIFS(D_Units,D_SKU,FcSKU,D_Week,B96)</f>
        <v/>
      </c>
      <c r="D96" s="43">
        <f>AVERAGE(C92:C95)</f>
        <v/>
      </c>
      <c r="E96" s="43">
        <f>Alpha*C96+(1-Alpha)*E95</f>
        <v/>
      </c>
      <c r="F96" s="43">
        <f>E95</f>
        <v/>
      </c>
      <c r="G96" s="43">
        <f>C44</f>
        <v/>
      </c>
      <c r="H96" s="43" t="n"/>
    </row>
    <row r="97">
      <c r="A97" s="14" t="n">
        <v>81</v>
      </c>
      <c r="B97" s="26" t="n">
        <v>45852</v>
      </c>
      <c r="C97" s="43">
        <f>SUMIFS(D_Units,D_SKU,FcSKU,D_Week,B97)</f>
        <v/>
      </c>
      <c r="D97" s="43">
        <f>AVERAGE(C93:C96)</f>
        <v/>
      </c>
      <c r="E97" s="43">
        <f>Alpha*C97+(1-Alpha)*E96</f>
        <v/>
      </c>
      <c r="F97" s="43">
        <f>E96</f>
        <v/>
      </c>
      <c r="G97" s="43">
        <f>C45</f>
        <v/>
      </c>
      <c r="H97" s="43" t="n"/>
    </row>
    <row r="98">
      <c r="A98" s="14" t="n">
        <v>82</v>
      </c>
      <c r="B98" s="26" t="n">
        <v>45859</v>
      </c>
      <c r="C98" s="43">
        <f>SUMIFS(D_Units,D_SKU,FcSKU,D_Week,B98)</f>
        <v/>
      </c>
      <c r="D98" s="43">
        <f>AVERAGE(C94:C97)</f>
        <v/>
      </c>
      <c r="E98" s="43">
        <f>Alpha*C98+(1-Alpha)*E97</f>
        <v/>
      </c>
      <c r="F98" s="43">
        <f>E97</f>
        <v/>
      </c>
      <c r="G98" s="43">
        <f>C46</f>
        <v/>
      </c>
      <c r="H98" s="43" t="n"/>
    </row>
    <row r="99">
      <c r="A99" s="14" t="n">
        <v>83</v>
      </c>
      <c r="B99" s="26" t="n">
        <v>45866</v>
      </c>
      <c r="C99" s="43">
        <f>SUMIFS(D_Units,D_SKU,FcSKU,D_Week,B99)</f>
        <v/>
      </c>
      <c r="D99" s="43">
        <f>AVERAGE(C95:C98)</f>
        <v/>
      </c>
      <c r="E99" s="43">
        <f>Alpha*C99+(1-Alpha)*E98</f>
        <v/>
      </c>
      <c r="F99" s="43">
        <f>E98</f>
        <v/>
      </c>
      <c r="G99" s="43">
        <f>C47</f>
        <v/>
      </c>
      <c r="H99" s="43" t="n"/>
    </row>
    <row r="100">
      <c r="A100" s="14" t="n">
        <v>84</v>
      </c>
      <c r="B100" s="26" t="n">
        <v>45873</v>
      </c>
      <c r="C100" s="43">
        <f>SUMIFS(D_Units,D_SKU,FcSKU,D_Week,B100)</f>
        <v/>
      </c>
      <c r="D100" s="43">
        <f>AVERAGE(C96:C99)</f>
        <v/>
      </c>
      <c r="E100" s="43">
        <f>Alpha*C100+(1-Alpha)*E99</f>
        <v/>
      </c>
      <c r="F100" s="43">
        <f>E99</f>
        <v/>
      </c>
      <c r="G100" s="43">
        <f>C48</f>
        <v/>
      </c>
      <c r="H100" s="43" t="n"/>
    </row>
    <row r="101">
      <c r="A101" s="14" t="n">
        <v>85</v>
      </c>
      <c r="B101" s="26" t="n">
        <v>45880</v>
      </c>
      <c r="C101" s="43">
        <f>SUMIFS(D_Units,D_SKU,FcSKU,D_Week,B101)</f>
        <v/>
      </c>
      <c r="D101" s="43">
        <f>AVERAGE(C97:C100)</f>
        <v/>
      </c>
      <c r="E101" s="43">
        <f>Alpha*C101+(1-Alpha)*E100</f>
        <v/>
      </c>
      <c r="F101" s="43">
        <f>E100</f>
        <v/>
      </c>
      <c r="G101" s="43">
        <f>C49</f>
        <v/>
      </c>
      <c r="H101" s="43" t="n"/>
    </row>
    <row r="102">
      <c r="A102" s="14" t="n">
        <v>86</v>
      </c>
      <c r="B102" s="26" t="n">
        <v>45887</v>
      </c>
      <c r="C102" s="43">
        <f>SUMIFS(D_Units,D_SKU,FcSKU,D_Week,B102)</f>
        <v/>
      </c>
      <c r="D102" s="43">
        <f>AVERAGE(C98:C101)</f>
        <v/>
      </c>
      <c r="E102" s="43">
        <f>Alpha*C102+(1-Alpha)*E101</f>
        <v/>
      </c>
      <c r="F102" s="43">
        <f>E101</f>
        <v/>
      </c>
      <c r="G102" s="43">
        <f>C50</f>
        <v/>
      </c>
      <c r="H102" s="43" t="n"/>
    </row>
    <row r="103">
      <c r="A103" s="14" t="n">
        <v>87</v>
      </c>
      <c r="B103" s="26" t="n">
        <v>45894</v>
      </c>
      <c r="C103" s="43">
        <f>SUMIFS(D_Units,D_SKU,FcSKU,D_Week,B103)</f>
        <v/>
      </c>
      <c r="D103" s="43">
        <f>AVERAGE(C99:C102)</f>
        <v/>
      </c>
      <c r="E103" s="43">
        <f>Alpha*C103+(1-Alpha)*E102</f>
        <v/>
      </c>
      <c r="F103" s="43">
        <f>E102</f>
        <v/>
      </c>
      <c r="G103" s="43">
        <f>C51</f>
        <v/>
      </c>
      <c r="H103" s="43" t="n"/>
    </row>
    <row r="104">
      <c r="A104" s="14" t="n">
        <v>88</v>
      </c>
      <c r="B104" s="26" t="n">
        <v>45901</v>
      </c>
      <c r="C104" s="43">
        <f>SUMIFS(D_Units,D_SKU,FcSKU,D_Week,B104)</f>
        <v/>
      </c>
      <c r="D104" s="43">
        <f>AVERAGE(C100:C103)</f>
        <v/>
      </c>
      <c r="E104" s="43">
        <f>Alpha*C104+(1-Alpha)*E103</f>
        <v/>
      </c>
      <c r="F104" s="43">
        <f>E103</f>
        <v/>
      </c>
      <c r="G104" s="43">
        <f>C52</f>
        <v/>
      </c>
      <c r="H104" s="43" t="n"/>
    </row>
    <row r="105">
      <c r="A105" s="14" t="n">
        <v>89</v>
      </c>
      <c r="B105" s="26" t="n">
        <v>45908</v>
      </c>
      <c r="C105" s="43">
        <f>SUMIFS(D_Units,D_SKU,FcSKU,D_Week,B105)</f>
        <v/>
      </c>
      <c r="D105" s="43">
        <f>AVERAGE(C101:C104)</f>
        <v/>
      </c>
      <c r="E105" s="43">
        <f>Alpha*C105+(1-Alpha)*E104</f>
        <v/>
      </c>
      <c r="F105" s="43">
        <f>E104</f>
        <v/>
      </c>
      <c r="G105" s="43">
        <f>C53</f>
        <v/>
      </c>
      <c r="H105" s="43" t="n"/>
    </row>
    <row r="106">
      <c r="A106" s="14" t="n">
        <v>90</v>
      </c>
      <c r="B106" s="26" t="n">
        <v>45915</v>
      </c>
      <c r="C106" s="43">
        <f>SUMIFS(D_Units,D_SKU,FcSKU,D_Week,B106)</f>
        <v/>
      </c>
      <c r="D106" s="43">
        <f>AVERAGE(C102:C105)</f>
        <v/>
      </c>
      <c r="E106" s="43">
        <f>Alpha*C106+(1-Alpha)*E105</f>
        <v/>
      </c>
      <c r="F106" s="43">
        <f>E105</f>
        <v/>
      </c>
      <c r="G106" s="43">
        <f>C54</f>
        <v/>
      </c>
      <c r="H106" s="43" t="n"/>
    </row>
    <row r="107">
      <c r="A107" s="14" t="n">
        <v>91</v>
      </c>
      <c r="B107" s="26" t="n">
        <v>45922</v>
      </c>
      <c r="C107" s="43">
        <f>SUMIFS(D_Units,D_SKU,FcSKU,D_Week,B107)</f>
        <v/>
      </c>
      <c r="D107" s="43">
        <f>AVERAGE(C103:C106)</f>
        <v/>
      </c>
      <c r="E107" s="43">
        <f>Alpha*C107+(1-Alpha)*E106</f>
        <v/>
      </c>
      <c r="F107" s="43">
        <f>E106</f>
        <v/>
      </c>
      <c r="G107" s="43">
        <f>C55</f>
        <v/>
      </c>
      <c r="H107" s="43" t="n"/>
    </row>
    <row r="108">
      <c r="A108" s="14" t="n">
        <v>92</v>
      </c>
      <c r="B108" s="26" t="n">
        <v>45929</v>
      </c>
      <c r="C108" s="43">
        <f>SUMIFS(D_Units,D_SKU,FcSKU,D_Week,B108)</f>
        <v/>
      </c>
      <c r="D108" s="43">
        <f>AVERAGE(C104:C107)</f>
        <v/>
      </c>
      <c r="E108" s="43">
        <f>Alpha*C108+(1-Alpha)*E107</f>
        <v/>
      </c>
      <c r="F108" s="43">
        <f>E107</f>
        <v/>
      </c>
      <c r="G108" s="43">
        <f>C56</f>
        <v/>
      </c>
      <c r="H108" s="43" t="n"/>
    </row>
    <row r="109">
      <c r="A109" s="14" t="n">
        <v>93</v>
      </c>
      <c r="B109" s="26" t="n">
        <v>45936</v>
      </c>
      <c r="C109" s="43">
        <f>SUMIFS(D_Units,D_SKU,FcSKU,D_Week,B109)</f>
        <v/>
      </c>
      <c r="D109" s="43">
        <f>AVERAGE(C105:C108)</f>
        <v/>
      </c>
      <c r="E109" s="43">
        <f>Alpha*C109+(1-Alpha)*E108</f>
        <v/>
      </c>
      <c r="F109" s="43">
        <f>E108</f>
        <v/>
      </c>
      <c r="G109" s="43">
        <f>C57</f>
        <v/>
      </c>
      <c r="H109" s="43">
        <f>IF(k_best=1,D109,IF(k_best=2,F109,G109))</f>
        <v/>
      </c>
    </row>
    <row r="110">
      <c r="A110" s="14" t="n">
        <v>94</v>
      </c>
      <c r="B110" s="26" t="n">
        <v>45943</v>
      </c>
      <c r="C110" s="43">
        <f>SUMIFS(D_Units,D_SKU,FcSKU,D_Week,B110)</f>
        <v/>
      </c>
      <c r="D110" s="43">
        <f>AVERAGE(C106:C109)</f>
        <v/>
      </c>
      <c r="E110" s="43">
        <f>Alpha*C110+(1-Alpha)*E109</f>
        <v/>
      </c>
      <c r="F110" s="43">
        <f>E109</f>
        <v/>
      </c>
      <c r="G110" s="43">
        <f>C58</f>
        <v/>
      </c>
      <c r="H110" s="43">
        <f>IF(k_best=1,D110,IF(k_best=2,F110,G110))</f>
        <v/>
      </c>
    </row>
    <row r="111">
      <c r="A111" s="14" t="n">
        <v>95</v>
      </c>
      <c r="B111" s="26" t="n">
        <v>45950</v>
      </c>
      <c r="C111" s="43">
        <f>SUMIFS(D_Units,D_SKU,FcSKU,D_Week,B111)</f>
        <v/>
      </c>
      <c r="D111" s="43">
        <f>AVERAGE(C107:C110)</f>
        <v/>
      </c>
      <c r="E111" s="43">
        <f>Alpha*C111+(1-Alpha)*E110</f>
        <v/>
      </c>
      <c r="F111" s="43">
        <f>E110</f>
        <v/>
      </c>
      <c r="G111" s="43">
        <f>C59</f>
        <v/>
      </c>
      <c r="H111" s="43">
        <f>IF(k_best=1,D111,IF(k_best=2,F111,G111))</f>
        <v/>
      </c>
    </row>
    <row r="112">
      <c r="A112" s="14" t="n">
        <v>96</v>
      </c>
      <c r="B112" s="26" t="n">
        <v>45957</v>
      </c>
      <c r="C112" s="43">
        <f>SUMIFS(D_Units,D_SKU,FcSKU,D_Week,B112)</f>
        <v/>
      </c>
      <c r="D112" s="43">
        <f>AVERAGE(C108:C111)</f>
        <v/>
      </c>
      <c r="E112" s="43">
        <f>Alpha*C112+(1-Alpha)*E111</f>
        <v/>
      </c>
      <c r="F112" s="43">
        <f>E111</f>
        <v/>
      </c>
      <c r="G112" s="43">
        <f>C60</f>
        <v/>
      </c>
      <c r="H112" s="43">
        <f>IF(k_best=1,D112,IF(k_best=2,F112,G112))</f>
        <v/>
      </c>
    </row>
    <row r="113">
      <c r="A113" s="14" t="n">
        <v>97</v>
      </c>
      <c r="B113" s="26" t="n">
        <v>45964</v>
      </c>
      <c r="C113" s="43">
        <f>SUMIFS(D_Units,D_SKU,FcSKU,D_Week,B113)</f>
        <v/>
      </c>
      <c r="D113" s="43">
        <f>AVERAGE(C109:C112)</f>
        <v/>
      </c>
      <c r="E113" s="43">
        <f>Alpha*C113+(1-Alpha)*E112</f>
        <v/>
      </c>
      <c r="F113" s="43">
        <f>E112</f>
        <v/>
      </c>
      <c r="G113" s="43">
        <f>C61</f>
        <v/>
      </c>
      <c r="H113" s="43">
        <f>IF(k_best=1,D113,IF(k_best=2,F113,G113))</f>
        <v/>
      </c>
    </row>
    <row r="114">
      <c r="A114" s="14" t="n">
        <v>98</v>
      </c>
      <c r="B114" s="26" t="n">
        <v>45971</v>
      </c>
      <c r="C114" s="43">
        <f>SUMIFS(D_Units,D_SKU,FcSKU,D_Week,B114)</f>
        <v/>
      </c>
      <c r="D114" s="43">
        <f>AVERAGE(C110:C113)</f>
        <v/>
      </c>
      <c r="E114" s="43">
        <f>Alpha*C114+(1-Alpha)*E113</f>
        <v/>
      </c>
      <c r="F114" s="43">
        <f>E113</f>
        <v/>
      </c>
      <c r="G114" s="43">
        <f>C62</f>
        <v/>
      </c>
      <c r="H114" s="43">
        <f>IF(k_best=1,D114,IF(k_best=2,F114,G114))</f>
        <v/>
      </c>
    </row>
    <row r="115">
      <c r="A115" s="14" t="n">
        <v>99</v>
      </c>
      <c r="B115" s="26" t="n">
        <v>45978</v>
      </c>
      <c r="C115" s="43">
        <f>SUMIFS(D_Units,D_SKU,FcSKU,D_Week,B115)</f>
        <v/>
      </c>
      <c r="D115" s="43">
        <f>AVERAGE(C111:C114)</f>
        <v/>
      </c>
      <c r="E115" s="43">
        <f>Alpha*C115+(1-Alpha)*E114</f>
        <v/>
      </c>
      <c r="F115" s="43">
        <f>E114</f>
        <v/>
      </c>
      <c r="G115" s="43">
        <f>C63</f>
        <v/>
      </c>
      <c r="H115" s="43">
        <f>IF(k_best=1,D115,IF(k_best=2,F115,G115))</f>
        <v/>
      </c>
    </row>
    <row r="116">
      <c r="A116" s="14" t="n">
        <v>100</v>
      </c>
      <c r="B116" s="26" t="n">
        <v>45985</v>
      </c>
      <c r="C116" s="43">
        <f>SUMIFS(D_Units,D_SKU,FcSKU,D_Week,B116)</f>
        <v/>
      </c>
      <c r="D116" s="43">
        <f>AVERAGE(C112:C115)</f>
        <v/>
      </c>
      <c r="E116" s="43">
        <f>Alpha*C116+(1-Alpha)*E115</f>
        <v/>
      </c>
      <c r="F116" s="43">
        <f>E115</f>
        <v/>
      </c>
      <c r="G116" s="43">
        <f>C64</f>
        <v/>
      </c>
      <c r="H116" s="43">
        <f>IF(k_best=1,D116,IF(k_best=2,F116,G116))</f>
        <v/>
      </c>
    </row>
    <row r="117">
      <c r="A117" s="14" t="n">
        <v>101</v>
      </c>
      <c r="B117" s="26" t="n">
        <v>45992</v>
      </c>
      <c r="C117" s="43">
        <f>SUMIFS(D_Units,D_SKU,FcSKU,D_Week,B117)</f>
        <v/>
      </c>
      <c r="D117" s="43">
        <f>AVERAGE(C113:C116)</f>
        <v/>
      </c>
      <c r="E117" s="43">
        <f>Alpha*C117+(1-Alpha)*E116</f>
        <v/>
      </c>
      <c r="F117" s="43">
        <f>E116</f>
        <v/>
      </c>
      <c r="G117" s="43">
        <f>C65</f>
        <v/>
      </c>
      <c r="H117" s="43">
        <f>IF(k_best=1,D117,IF(k_best=2,F117,G117))</f>
        <v/>
      </c>
    </row>
    <row r="118">
      <c r="A118" s="14" t="n">
        <v>102</v>
      </c>
      <c r="B118" s="26" t="n">
        <v>45999</v>
      </c>
      <c r="C118" s="43">
        <f>SUMIFS(D_Units,D_SKU,FcSKU,D_Week,B118)</f>
        <v/>
      </c>
      <c r="D118" s="43">
        <f>AVERAGE(C114:C117)</f>
        <v/>
      </c>
      <c r="E118" s="43">
        <f>Alpha*C118+(1-Alpha)*E117</f>
        <v/>
      </c>
      <c r="F118" s="43">
        <f>E117</f>
        <v/>
      </c>
      <c r="G118" s="43">
        <f>C66</f>
        <v/>
      </c>
      <c r="H118" s="43">
        <f>IF(k_best=1,D118,IF(k_best=2,F118,G118))</f>
        <v/>
      </c>
    </row>
    <row r="119">
      <c r="A119" s="14" t="n">
        <v>103</v>
      </c>
      <c r="B119" s="26" t="n">
        <v>46006</v>
      </c>
      <c r="C119" s="43">
        <f>SUMIFS(D_Units,D_SKU,FcSKU,D_Week,B119)</f>
        <v/>
      </c>
      <c r="D119" s="43">
        <f>AVERAGE(C115:C118)</f>
        <v/>
      </c>
      <c r="E119" s="43">
        <f>Alpha*C119+(1-Alpha)*E118</f>
        <v/>
      </c>
      <c r="F119" s="43">
        <f>E118</f>
        <v/>
      </c>
      <c r="G119" s="43">
        <f>C67</f>
        <v/>
      </c>
      <c r="H119" s="43">
        <f>IF(k_best=1,D119,IF(k_best=2,F119,G119))</f>
        <v/>
      </c>
    </row>
    <row r="120">
      <c r="A120" s="14" t="n">
        <v>104</v>
      </c>
      <c r="B120" s="26" t="n">
        <v>46013</v>
      </c>
      <c r="C120" s="43">
        <f>SUMIFS(D_Units,D_SKU,FcSKU,D_Week,B120)</f>
        <v/>
      </c>
      <c r="D120" s="43">
        <f>AVERAGE(C116:C119)</f>
        <v/>
      </c>
      <c r="E120" s="43">
        <f>Alpha*C120+(1-Alpha)*E119</f>
        <v/>
      </c>
      <c r="F120" s="43">
        <f>E119</f>
        <v/>
      </c>
      <c r="G120" s="43">
        <f>C68</f>
        <v/>
      </c>
      <c r="H120" s="43">
        <f>IF(k_best=1,D120,IF(k_best=2,F120,G120))</f>
        <v/>
      </c>
      <c r="I120" s="2" t="inlineStr">
        <is>
          <t>&lt;- history ends; shaded rows = 12-week forecast</t>
        </is>
      </c>
    </row>
    <row r="121">
      <c r="A121" s="44" t="n">
        <v>105</v>
      </c>
      <c r="B121" s="45">
        <f>B120+7</f>
        <v/>
      </c>
      <c r="C121" s="46" t="n"/>
      <c r="D121" s="46">
        <f>AVERAGE($C$117:$C$120)</f>
        <v/>
      </c>
      <c r="E121" s="46" t="n"/>
      <c r="F121" s="46">
        <f>$E$120</f>
        <v/>
      </c>
      <c r="G121" s="46">
        <f>C69</f>
        <v/>
      </c>
      <c r="H121" s="46">
        <f>IF(k_best=1,D121,IF(k_best=2,F121,G121))</f>
        <v/>
      </c>
    </row>
    <row r="122">
      <c r="A122" s="44" t="n">
        <v>106</v>
      </c>
      <c r="B122" s="45">
        <f>B121+7</f>
        <v/>
      </c>
      <c r="C122" s="46" t="n"/>
      <c r="D122" s="46">
        <f>AVERAGE($C$117:$C$120)</f>
        <v/>
      </c>
      <c r="E122" s="46" t="n"/>
      <c r="F122" s="46">
        <f>$E$120</f>
        <v/>
      </c>
      <c r="G122" s="46">
        <f>C70</f>
        <v/>
      </c>
      <c r="H122" s="46">
        <f>IF(k_best=1,D122,IF(k_best=2,F122,G122))</f>
        <v/>
      </c>
    </row>
    <row r="123">
      <c r="A123" s="44" t="n">
        <v>107</v>
      </c>
      <c r="B123" s="45">
        <f>B122+7</f>
        <v/>
      </c>
      <c r="C123" s="46" t="n"/>
      <c r="D123" s="46">
        <f>AVERAGE($C$117:$C$120)</f>
        <v/>
      </c>
      <c r="E123" s="46" t="n"/>
      <c r="F123" s="46">
        <f>$E$120</f>
        <v/>
      </c>
      <c r="G123" s="46">
        <f>C71</f>
        <v/>
      </c>
      <c r="H123" s="46">
        <f>IF(k_best=1,D123,IF(k_best=2,F123,G123))</f>
        <v/>
      </c>
    </row>
    <row r="124">
      <c r="A124" s="44" t="n">
        <v>108</v>
      </c>
      <c r="B124" s="45">
        <f>B123+7</f>
        <v/>
      </c>
      <c r="C124" s="46" t="n"/>
      <c r="D124" s="46">
        <f>AVERAGE($C$117:$C$120)</f>
        <v/>
      </c>
      <c r="E124" s="46" t="n"/>
      <c r="F124" s="46">
        <f>$E$120</f>
        <v/>
      </c>
      <c r="G124" s="46">
        <f>C72</f>
        <v/>
      </c>
      <c r="H124" s="46">
        <f>IF(k_best=1,D124,IF(k_best=2,F124,G124))</f>
        <v/>
      </c>
    </row>
    <row r="125">
      <c r="A125" s="44" t="n">
        <v>109</v>
      </c>
      <c r="B125" s="45">
        <f>B124+7</f>
        <v/>
      </c>
      <c r="C125" s="46" t="n"/>
      <c r="D125" s="46">
        <f>AVERAGE($C$117:$C$120)</f>
        <v/>
      </c>
      <c r="E125" s="46" t="n"/>
      <c r="F125" s="46">
        <f>$E$120</f>
        <v/>
      </c>
      <c r="G125" s="46">
        <f>C73</f>
        <v/>
      </c>
      <c r="H125" s="46">
        <f>IF(k_best=1,D125,IF(k_best=2,F125,G125))</f>
        <v/>
      </c>
    </row>
    <row r="126">
      <c r="A126" s="44" t="n">
        <v>110</v>
      </c>
      <c r="B126" s="45">
        <f>B125+7</f>
        <v/>
      </c>
      <c r="C126" s="46" t="n"/>
      <c r="D126" s="46">
        <f>AVERAGE($C$117:$C$120)</f>
        <v/>
      </c>
      <c r="E126" s="46" t="n"/>
      <c r="F126" s="46">
        <f>$E$120</f>
        <v/>
      </c>
      <c r="G126" s="46">
        <f>C74</f>
        <v/>
      </c>
      <c r="H126" s="46">
        <f>IF(k_best=1,D126,IF(k_best=2,F126,G126))</f>
        <v/>
      </c>
    </row>
    <row r="127">
      <c r="A127" s="44" t="n">
        <v>111</v>
      </c>
      <c r="B127" s="45">
        <f>B126+7</f>
        <v/>
      </c>
      <c r="C127" s="46" t="n"/>
      <c r="D127" s="46">
        <f>AVERAGE($C$117:$C$120)</f>
        <v/>
      </c>
      <c r="E127" s="46" t="n"/>
      <c r="F127" s="46">
        <f>$E$120</f>
        <v/>
      </c>
      <c r="G127" s="46">
        <f>C75</f>
        <v/>
      </c>
      <c r="H127" s="46">
        <f>IF(k_best=1,D127,IF(k_best=2,F127,G127))</f>
        <v/>
      </c>
    </row>
    <row r="128">
      <c r="A128" s="44" t="n">
        <v>112</v>
      </c>
      <c r="B128" s="45">
        <f>B127+7</f>
        <v/>
      </c>
      <c r="C128" s="46" t="n"/>
      <c r="D128" s="46">
        <f>AVERAGE($C$117:$C$120)</f>
        <v/>
      </c>
      <c r="E128" s="46" t="n"/>
      <c r="F128" s="46">
        <f>$E$120</f>
        <v/>
      </c>
      <c r="G128" s="46">
        <f>C76</f>
        <v/>
      </c>
      <c r="H128" s="46">
        <f>IF(k_best=1,D128,IF(k_best=2,F128,G128))</f>
        <v/>
      </c>
    </row>
    <row r="129">
      <c r="A129" s="44" t="n">
        <v>113</v>
      </c>
      <c r="B129" s="45">
        <f>B128+7</f>
        <v/>
      </c>
      <c r="C129" s="46" t="n"/>
      <c r="D129" s="46">
        <f>AVERAGE($C$117:$C$120)</f>
        <v/>
      </c>
      <c r="E129" s="46" t="n"/>
      <c r="F129" s="46">
        <f>$E$120</f>
        <v/>
      </c>
      <c r="G129" s="46">
        <f>C77</f>
        <v/>
      </c>
      <c r="H129" s="46">
        <f>IF(k_best=1,D129,IF(k_best=2,F129,G129))</f>
        <v/>
      </c>
    </row>
    <row r="130">
      <c r="A130" s="44" t="n">
        <v>114</v>
      </c>
      <c r="B130" s="45">
        <f>B129+7</f>
        <v/>
      </c>
      <c r="C130" s="46" t="n"/>
      <c r="D130" s="46">
        <f>AVERAGE($C$117:$C$120)</f>
        <v/>
      </c>
      <c r="E130" s="46" t="n"/>
      <c r="F130" s="46">
        <f>$E$120</f>
        <v/>
      </c>
      <c r="G130" s="46">
        <f>C78</f>
        <v/>
      </c>
      <c r="H130" s="46">
        <f>IF(k_best=1,D130,IF(k_best=2,F130,G130))</f>
        <v/>
      </c>
    </row>
    <row r="131">
      <c r="A131" s="44" t="n">
        <v>115</v>
      </c>
      <c r="B131" s="45">
        <f>B130+7</f>
        <v/>
      </c>
      <c r="C131" s="46" t="n"/>
      <c r="D131" s="46">
        <f>AVERAGE($C$117:$C$120)</f>
        <v/>
      </c>
      <c r="E131" s="46" t="n"/>
      <c r="F131" s="46">
        <f>$E$120</f>
        <v/>
      </c>
      <c r="G131" s="46">
        <f>C79</f>
        <v/>
      </c>
      <c r="H131" s="46">
        <f>IF(k_best=1,D131,IF(k_best=2,F131,G131))</f>
        <v/>
      </c>
    </row>
    <row r="132">
      <c r="A132" s="44" t="n">
        <v>116</v>
      </c>
      <c r="B132" s="45">
        <f>B131+7</f>
        <v/>
      </c>
      <c r="C132" s="46" t="n"/>
      <c r="D132" s="46">
        <f>AVERAGE($C$117:$C$120)</f>
        <v/>
      </c>
      <c r="E132" s="46" t="n"/>
      <c r="F132" s="46">
        <f>$E$120</f>
        <v/>
      </c>
      <c r="G132" s="46">
        <f>C80</f>
        <v/>
      </c>
      <c r="H132" s="46">
        <f>IF(k_best=1,D132,IF(k_best=2,F132,G132))</f>
        <v/>
      </c>
    </row>
  </sheetData>
  <dataValidations count="1">
    <dataValidation sqref="B4" showDropDown="0" showInputMessage="0" showErrorMessage="0" allowBlank="0" type="list">
      <formula1>=Products!$A$2:$A$50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O42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30" customWidth="1" min="3" max="3"/>
    <col width="6" customWidth="1" min="4" max="4"/>
    <col width="11" customWidth="1" min="5" max="5"/>
    <col width="12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4" customWidth="1" min="12" max="12"/>
    <col width="10" customWidth="1" min="13" max="13"/>
    <col width="13" customWidth="1" min="14" max="14"/>
    <col width="6" customWidth="1" min="15" max="15"/>
  </cols>
  <sheetData>
    <row r="1">
      <c r="A1" s="1" t="inlineStr">
        <is>
          <t>Disruption Simulator</t>
        </is>
      </c>
    </row>
    <row r="2">
      <c r="A2" s="2" t="inlineStr">
        <is>
          <t>What if a supplier is delayed (port strike, tariff hold, factory shutdown)? Pick a supplier and a delay.</t>
        </is>
      </c>
    </row>
    <row r="4">
      <c r="A4" s="5" t="inlineStr">
        <is>
          <t>Supplier (pick from list)</t>
        </is>
      </c>
      <c r="B4" s="25" t="inlineStr">
        <is>
          <t>S08</t>
        </is>
      </c>
      <c r="C4">
        <f>IFERROR(INDEX(Supplier_Scorecard!$B$5:$B$12,MATCH(B4,SC_ID,0)),"")</f>
        <v/>
      </c>
    </row>
    <row r="5">
      <c r="A5" s="5" t="inlineStr">
        <is>
          <t>Extra delay (weeks)</t>
        </is>
      </c>
      <c r="B5" s="25" t="n">
        <v>4</v>
      </c>
    </row>
    <row r="7">
      <c r="A7" s="5" t="inlineStr">
        <is>
          <t>SKUs that stock out</t>
        </is>
      </c>
      <c r="B7" s="47">
        <f>COUNTIF(J13:J42,"Stockout")&amp;" of "&amp;COUNTIF(P_Sup,SimSupplier)</f>
        <v/>
      </c>
    </row>
    <row r="8">
      <c r="A8" s="5" t="inlineStr">
        <is>
          <t>Revenue at risk (CAD)</t>
        </is>
      </c>
      <c r="B8" s="48">
        <f>SUM(L13:L42)</f>
        <v/>
      </c>
    </row>
    <row r="9">
      <c r="A9" s="5" t="inlineStr">
        <is>
          <t>Extra buffer stock to prevent it (CAD)</t>
        </is>
      </c>
      <c r="B9" s="48">
        <f>SUM(N13:N42)</f>
        <v/>
      </c>
    </row>
    <row r="12">
      <c r="A12" s="42" t="inlineStr">
        <is>
          <t>#</t>
        </is>
      </c>
      <c r="B12" s="42" t="inlineStr">
        <is>
          <t>SKU</t>
        </is>
      </c>
      <c r="C12" s="42" t="inlineStr">
        <is>
          <t>Product</t>
        </is>
      </c>
      <c r="D12" s="42" t="inlineStr">
        <is>
          <t>ABC</t>
        </is>
      </c>
      <c r="E12" s="42" t="inlineStr">
        <is>
          <t>Avg weekly demand</t>
        </is>
      </c>
      <c r="F12" s="42" t="inlineStr">
        <is>
          <t>On hand + on order</t>
        </is>
      </c>
      <c r="G12" s="42" t="inlineStr">
        <is>
          <t>Weeks of stock</t>
        </is>
      </c>
      <c r="H12" s="42" t="inlineStr">
        <is>
          <t>Lead time (wks)</t>
        </is>
      </c>
      <c r="I12" s="42" t="inlineStr">
        <is>
          <t>New lead time</t>
        </is>
      </c>
      <c r="J12" s="42" t="inlineStr">
        <is>
          <t>Outcome</t>
        </is>
      </c>
      <c r="K12" s="42" t="inlineStr">
        <is>
          <t>Units short</t>
        </is>
      </c>
      <c r="L12" s="42" t="inlineStr">
        <is>
          <t>Revenue at risk (CAD)</t>
        </is>
      </c>
      <c r="M12" s="42" t="inlineStr">
        <is>
          <t>Buffer units</t>
        </is>
      </c>
      <c r="N12" s="42" t="inlineStr">
        <is>
          <t>Buffer cost (CAD)</t>
        </is>
      </c>
      <c r="O12" s="42" t="inlineStr">
        <is>
          <t>row</t>
        </is>
      </c>
    </row>
    <row r="13">
      <c r="A13" s="14" t="n">
        <v>1</v>
      </c>
      <c r="B13" s="14">
        <f>IF(O13="","",INDEX(P_SKU,O13))</f>
        <v/>
      </c>
      <c r="C13" s="14">
        <f>IF(O13="","",INDEX(P_Name,O13))</f>
        <v/>
      </c>
      <c r="D13" s="14">
        <f>IF(O13="","",INDEX(P_ABC,O13))</f>
        <v/>
      </c>
      <c r="E13" s="49">
        <f>IF(O13="","",INDEX(P_Demand,O13))</f>
        <v/>
      </c>
      <c r="F13" s="20">
        <f>IF(O13="","",INDEX(P_Pos,O13))</f>
        <v/>
      </c>
      <c r="G13" s="49">
        <f>IF(O13="","",IFERROR(F13/E13,999))</f>
        <v/>
      </c>
      <c r="H13" s="49">
        <f>IF(O13="","",INDEX(P_LT,O13))</f>
        <v/>
      </c>
      <c r="I13" s="49">
        <f>IF(O13="","",H13+SimDelay)</f>
        <v/>
      </c>
      <c r="J13" s="14">
        <f>IF(O13="","",IF(I13&gt;G13,"Stockout","Covered"))</f>
        <v/>
      </c>
      <c r="K13" s="20">
        <f>IF(O13="","",ROUNDUP(MAX(0,I13-G13)*E13,0))</f>
        <v/>
      </c>
      <c r="L13" s="50">
        <f>IF(O13="","",K13*INDEX(P_Cost,O13)*Markup)</f>
        <v/>
      </c>
      <c r="M13" s="20">
        <f>IF(O13="","",ROUNDUP(E13*SimDelay,0))</f>
        <v/>
      </c>
      <c r="N13" s="50">
        <f>IF(O13="","",M13*INDEX(P_Cost,O13))</f>
        <v/>
      </c>
      <c r="O13" s="51">
        <f>IFERROR(MATCH(A13,P_SimRow,0),"")</f>
        <v/>
      </c>
    </row>
    <row r="14">
      <c r="A14" s="14" t="n">
        <v>2</v>
      </c>
      <c r="B14" s="14">
        <f>IF(O14="","",INDEX(P_SKU,O14))</f>
        <v/>
      </c>
      <c r="C14" s="14">
        <f>IF(O14="","",INDEX(P_Name,O14))</f>
        <v/>
      </c>
      <c r="D14" s="14">
        <f>IF(O14="","",INDEX(P_ABC,O14))</f>
        <v/>
      </c>
      <c r="E14" s="49">
        <f>IF(O14="","",INDEX(P_Demand,O14))</f>
        <v/>
      </c>
      <c r="F14" s="20">
        <f>IF(O14="","",INDEX(P_Pos,O14))</f>
        <v/>
      </c>
      <c r="G14" s="49">
        <f>IF(O14="","",IFERROR(F14/E14,999))</f>
        <v/>
      </c>
      <c r="H14" s="49">
        <f>IF(O14="","",INDEX(P_LT,O14))</f>
        <v/>
      </c>
      <c r="I14" s="49">
        <f>IF(O14="","",H14+SimDelay)</f>
        <v/>
      </c>
      <c r="J14" s="14">
        <f>IF(O14="","",IF(I14&gt;G14,"Stockout","Covered"))</f>
        <v/>
      </c>
      <c r="K14" s="20">
        <f>IF(O14="","",ROUNDUP(MAX(0,I14-G14)*E14,0))</f>
        <v/>
      </c>
      <c r="L14" s="50">
        <f>IF(O14="","",K14*INDEX(P_Cost,O14)*Markup)</f>
        <v/>
      </c>
      <c r="M14" s="20">
        <f>IF(O14="","",ROUNDUP(E14*SimDelay,0))</f>
        <v/>
      </c>
      <c r="N14" s="50">
        <f>IF(O14="","",M14*INDEX(P_Cost,O14))</f>
        <v/>
      </c>
      <c r="O14" s="51">
        <f>IFERROR(MATCH(A14,P_SimRow,0),"")</f>
        <v/>
      </c>
    </row>
    <row r="15">
      <c r="A15" s="14" t="n">
        <v>3</v>
      </c>
      <c r="B15" s="14">
        <f>IF(O15="","",INDEX(P_SKU,O15))</f>
        <v/>
      </c>
      <c r="C15" s="14">
        <f>IF(O15="","",INDEX(P_Name,O15))</f>
        <v/>
      </c>
      <c r="D15" s="14">
        <f>IF(O15="","",INDEX(P_ABC,O15))</f>
        <v/>
      </c>
      <c r="E15" s="49">
        <f>IF(O15="","",INDEX(P_Demand,O15))</f>
        <v/>
      </c>
      <c r="F15" s="20">
        <f>IF(O15="","",INDEX(P_Pos,O15))</f>
        <v/>
      </c>
      <c r="G15" s="49">
        <f>IF(O15="","",IFERROR(F15/E15,999))</f>
        <v/>
      </c>
      <c r="H15" s="49">
        <f>IF(O15="","",INDEX(P_LT,O15))</f>
        <v/>
      </c>
      <c r="I15" s="49">
        <f>IF(O15="","",H15+SimDelay)</f>
        <v/>
      </c>
      <c r="J15" s="14">
        <f>IF(O15="","",IF(I15&gt;G15,"Stockout","Covered"))</f>
        <v/>
      </c>
      <c r="K15" s="20">
        <f>IF(O15="","",ROUNDUP(MAX(0,I15-G15)*E15,0))</f>
        <v/>
      </c>
      <c r="L15" s="50">
        <f>IF(O15="","",K15*INDEX(P_Cost,O15)*Markup)</f>
        <v/>
      </c>
      <c r="M15" s="20">
        <f>IF(O15="","",ROUNDUP(E15*SimDelay,0))</f>
        <v/>
      </c>
      <c r="N15" s="50">
        <f>IF(O15="","",M15*INDEX(P_Cost,O15))</f>
        <v/>
      </c>
      <c r="O15" s="51">
        <f>IFERROR(MATCH(A15,P_SimRow,0),"")</f>
        <v/>
      </c>
    </row>
    <row r="16">
      <c r="A16" s="14" t="n">
        <v>4</v>
      </c>
      <c r="B16" s="14">
        <f>IF(O16="","",INDEX(P_SKU,O16))</f>
        <v/>
      </c>
      <c r="C16" s="14">
        <f>IF(O16="","",INDEX(P_Name,O16))</f>
        <v/>
      </c>
      <c r="D16" s="14">
        <f>IF(O16="","",INDEX(P_ABC,O16))</f>
        <v/>
      </c>
      <c r="E16" s="49">
        <f>IF(O16="","",INDEX(P_Demand,O16))</f>
        <v/>
      </c>
      <c r="F16" s="20">
        <f>IF(O16="","",INDEX(P_Pos,O16))</f>
        <v/>
      </c>
      <c r="G16" s="49">
        <f>IF(O16="","",IFERROR(F16/E16,999))</f>
        <v/>
      </c>
      <c r="H16" s="49">
        <f>IF(O16="","",INDEX(P_LT,O16))</f>
        <v/>
      </c>
      <c r="I16" s="49">
        <f>IF(O16="","",H16+SimDelay)</f>
        <v/>
      </c>
      <c r="J16" s="14">
        <f>IF(O16="","",IF(I16&gt;G16,"Stockout","Covered"))</f>
        <v/>
      </c>
      <c r="K16" s="20">
        <f>IF(O16="","",ROUNDUP(MAX(0,I16-G16)*E16,0))</f>
        <v/>
      </c>
      <c r="L16" s="50">
        <f>IF(O16="","",K16*INDEX(P_Cost,O16)*Markup)</f>
        <v/>
      </c>
      <c r="M16" s="20">
        <f>IF(O16="","",ROUNDUP(E16*SimDelay,0))</f>
        <v/>
      </c>
      <c r="N16" s="50">
        <f>IF(O16="","",M16*INDEX(P_Cost,O16))</f>
        <v/>
      </c>
      <c r="O16" s="51">
        <f>IFERROR(MATCH(A16,P_SimRow,0),"")</f>
        <v/>
      </c>
    </row>
    <row r="17">
      <c r="A17" s="14" t="n">
        <v>5</v>
      </c>
      <c r="B17" s="14">
        <f>IF(O17="","",INDEX(P_SKU,O17))</f>
        <v/>
      </c>
      <c r="C17" s="14">
        <f>IF(O17="","",INDEX(P_Name,O17))</f>
        <v/>
      </c>
      <c r="D17" s="14">
        <f>IF(O17="","",INDEX(P_ABC,O17))</f>
        <v/>
      </c>
      <c r="E17" s="49">
        <f>IF(O17="","",INDEX(P_Demand,O17))</f>
        <v/>
      </c>
      <c r="F17" s="20">
        <f>IF(O17="","",INDEX(P_Pos,O17))</f>
        <v/>
      </c>
      <c r="G17" s="49">
        <f>IF(O17="","",IFERROR(F17/E17,999))</f>
        <v/>
      </c>
      <c r="H17" s="49">
        <f>IF(O17="","",INDEX(P_LT,O17))</f>
        <v/>
      </c>
      <c r="I17" s="49">
        <f>IF(O17="","",H17+SimDelay)</f>
        <v/>
      </c>
      <c r="J17" s="14">
        <f>IF(O17="","",IF(I17&gt;G17,"Stockout","Covered"))</f>
        <v/>
      </c>
      <c r="K17" s="20">
        <f>IF(O17="","",ROUNDUP(MAX(0,I17-G17)*E17,0))</f>
        <v/>
      </c>
      <c r="L17" s="50">
        <f>IF(O17="","",K17*INDEX(P_Cost,O17)*Markup)</f>
        <v/>
      </c>
      <c r="M17" s="20">
        <f>IF(O17="","",ROUNDUP(E17*SimDelay,0))</f>
        <v/>
      </c>
      <c r="N17" s="50">
        <f>IF(O17="","",M17*INDEX(P_Cost,O17))</f>
        <v/>
      </c>
      <c r="O17" s="51">
        <f>IFERROR(MATCH(A17,P_SimRow,0),"")</f>
        <v/>
      </c>
    </row>
    <row r="18">
      <c r="A18" s="14" t="n">
        <v>6</v>
      </c>
      <c r="B18" s="14">
        <f>IF(O18="","",INDEX(P_SKU,O18))</f>
        <v/>
      </c>
      <c r="C18" s="14">
        <f>IF(O18="","",INDEX(P_Name,O18))</f>
        <v/>
      </c>
      <c r="D18" s="14">
        <f>IF(O18="","",INDEX(P_ABC,O18))</f>
        <v/>
      </c>
      <c r="E18" s="49">
        <f>IF(O18="","",INDEX(P_Demand,O18))</f>
        <v/>
      </c>
      <c r="F18" s="20">
        <f>IF(O18="","",INDEX(P_Pos,O18))</f>
        <v/>
      </c>
      <c r="G18" s="49">
        <f>IF(O18="","",IFERROR(F18/E18,999))</f>
        <v/>
      </c>
      <c r="H18" s="49">
        <f>IF(O18="","",INDEX(P_LT,O18))</f>
        <v/>
      </c>
      <c r="I18" s="49">
        <f>IF(O18="","",H18+SimDelay)</f>
        <v/>
      </c>
      <c r="J18" s="14">
        <f>IF(O18="","",IF(I18&gt;G18,"Stockout","Covered"))</f>
        <v/>
      </c>
      <c r="K18" s="20">
        <f>IF(O18="","",ROUNDUP(MAX(0,I18-G18)*E18,0))</f>
        <v/>
      </c>
      <c r="L18" s="50">
        <f>IF(O18="","",K18*INDEX(P_Cost,O18)*Markup)</f>
        <v/>
      </c>
      <c r="M18" s="20">
        <f>IF(O18="","",ROUNDUP(E18*SimDelay,0))</f>
        <v/>
      </c>
      <c r="N18" s="50">
        <f>IF(O18="","",M18*INDEX(P_Cost,O18))</f>
        <v/>
      </c>
      <c r="O18" s="51">
        <f>IFERROR(MATCH(A18,P_SimRow,0),"")</f>
        <v/>
      </c>
    </row>
    <row r="19">
      <c r="A19" s="14" t="n">
        <v>7</v>
      </c>
      <c r="B19" s="14">
        <f>IF(O19="","",INDEX(P_SKU,O19))</f>
        <v/>
      </c>
      <c r="C19" s="14">
        <f>IF(O19="","",INDEX(P_Name,O19))</f>
        <v/>
      </c>
      <c r="D19" s="14">
        <f>IF(O19="","",INDEX(P_ABC,O19))</f>
        <v/>
      </c>
      <c r="E19" s="49">
        <f>IF(O19="","",INDEX(P_Demand,O19))</f>
        <v/>
      </c>
      <c r="F19" s="20">
        <f>IF(O19="","",INDEX(P_Pos,O19))</f>
        <v/>
      </c>
      <c r="G19" s="49">
        <f>IF(O19="","",IFERROR(F19/E19,999))</f>
        <v/>
      </c>
      <c r="H19" s="49">
        <f>IF(O19="","",INDEX(P_LT,O19))</f>
        <v/>
      </c>
      <c r="I19" s="49">
        <f>IF(O19="","",H19+SimDelay)</f>
        <v/>
      </c>
      <c r="J19" s="14">
        <f>IF(O19="","",IF(I19&gt;G19,"Stockout","Covered"))</f>
        <v/>
      </c>
      <c r="K19" s="20">
        <f>IF(O19="","",ROUNDUP(MAX(0,I19-G19)*E19,0))</f>
        <v/>
      </c>
      <c r="L19" s="50">
        <f>IF(O19="","",K19*INDEX(P_Cost,O19)*Markup)</f>
        <v/>
      </c>
      <c r="M19" s="20">
        <f>IF(O19="","",ROUNDUP(E19*SimDelay,0))</f>
        <v/>
      </c>
      <c r="N19" s="50">
        <f>IF(O19="","",M19*INDEX(P_Cost,O19))</f>
        <v/>
      </c>
      <c r="O19" s="51">
        <f>IFERROR(MATCH(A19,P_SimRow,0),"")</f>
        <v/>
      </c>
    </row>
    <row r="20">
      <c r="A20" s="14" t="n">
        <v>8</v>
      </c>
      <c r="B20" s="14">
        <f>IF(O20="","",INDEX(P_SKU,O20))</f>
        <v/>
      </c>
      <c r="C20" s="14">
        <f>IF(O20="","",INDEX(P_Name,O20))</f>
        <v/>
      </c>
      <c r="D20" s="14">
        <f>IF(O20="","",INDEX(P_ABC,O20))</f>
        <v/>
      </c>
      <c r="E20" s="49">
        <f>IF(O20="","",INDEX(P_Demand,O20))</f>
        <v/>
      </c>
      <c r="F20" s="20">
        <f>IF(O20="","",INDEX(P_Pos,O20))</f>
        <v/>
      </c>
      <c r="G20" s="49">
        <f>IF(O20="","",IFERROR(F20/E20,999))</f>
        <v/>
      </c>
      <c r="H20" s="49">
        <f>IF(O20="","",INDEX(P_LT,O20))</f>
        <v/>
      </c>
      <c r="I20" s="49">
        <f>IF(O20="","",H20+SimDelay)</f>
        <v/>
      </c>
      <c r="J20" s="14">
        <f>IF(O20="","",IF(I20&gt;G20,"Stockout","Covered"))</f>
        <v/>
      </c>
      <c r="K20" s="20">
        <f>IF(O20="","",ROUNDUP(MAX(0,I20-G20)*E20,0))</f>
        <v/>
      </c>
      <c r="L20" s="50">
        <f>IF(O20="","",K20*INDEX(P_Cost,O20)*Markup)</f>
        <v/>
      </c>
      <c r="M20" s="20">
        <f>IF(O20="","",ROUNDUP(E20*SimDelay,0))</f>
        <v/>
      </c>
      <c r="N20" s="50">
        <f>IF(O20="","",M20*INDEX(P_Cost,O20))</f>
        <v/>
      </c>
      <c r="O20" s="51">
        <f>IFERROR(MATCH(A20,P_SimRow,0),"")</f>
        <v/>
      </c>
    </row>
    <row r="21">
      <c r="A21" s="14" t="n">
        <v>9</v>
      </c>
      <c r="B21" s="14">
        <f>IF(O21="","",INDEX(P_SKU,O21))</f>
        <v/>
      </c>
      <c r="C21" s="14">
        <f>IF(O21="","",INDEX(P_Name,O21))</f>
        <v/>
      </c>
      <c r="D21" s="14">
        <f>IF(O21="","",INDEX(P_ABC,O21))</f>
        <v/>
      </c>
      <c r="E21" s="49">
        <f>IF(O21="","",INDEX(P_Demand,O21))</f>
        <v/>
      </c>
      <c r="F21" s="20">
        <f>IF(O21="","",INDEX(P_Pos,O21))</f>
        <v/>
      </c>
      <c r="G21" s="49">
        <f>IF(O21="","",IFERROR(F21/E21,999))</f>
        <v/>
      </c>
      <c r="H21" s="49">
        <f>IF(O21="","",INDEX(P_LT,O21))</f>
        <v/>
      </c>
      <c r="I21" s="49">
        <f>IF(O21="","",H21+SimDelay)</f>
        <v/>
      </c>
      <c r="J21" s="14">
        <f>IF(O21="","",IF(I21&gt;G21,"Stockout","Covered"))</f>
        <v/>
      </c>
      <c r="K21" s="20">
        <f>IF(O21="","",ROUNDUP(MAX(0,I21-G21)*E21,0))</f>
        <v/>
      </c>
      <c r="L21" s="50">
        <f>IF(O21="","",K21*INDEX(P_Cost,O21)*Markup)</f>
        <v/>
      </c>
      <c r="M21" s="20">
        <f>IF(O21="","",ROUNDUP(E21*SimDelay,0))</f>
        <v/>
      </c>
      <c r="N21" s="50">
        <f>IF(O21="","",M21*INDEX(P_Cost,O21))</f>
        <v/>
      </c>
      <c r="O21" s="51">
        <f>IFERROR(MATCH(A21,P_SimRow,0),"")</f>
        <v/>
      </c>
    </row>
    <row r="22">
      <c r="A22" s="14" t="n">
        <v>10</v>
      </c>
      <c r="B22" s="14">
        <f>IF(O22="","",INDEX(P_SKU,O22))</f>
        <v/>
      </c>
      <c r="C22" s="14">
        <f>IF(O22="","",INDEX(P_Name,O22))</f>
        <v/>
      </c>
      <c r="D22" s="14">
        <f>IF(O22="","",INDEX(P_ABC,O22))</f>
        <v/>
      </c>
      <c r="E22" s="49">
        <f>IF(O22="","",INDEX(P_Demand,O22))</f>
        <v/>
      </c>
      <c r="F22" s="20">
        <f>IF(O22="","",INDEX(P_Pos,O22))</f>
        <v/>
      </c>
      <c r="G22" s="49">
        <f>IF(O22="","",IFERROR(F22/E22,999))</f>
        <v/>
      </c>
      <c r="H22" s="49">
        <f>IF(O22="","",INDEX(P_LT,O22))</f>
        <v/>
      </c>
      <c r="I22" s="49">
        <f>IF(O22="","",H22+SimDelay)</f>
        <v/>
      </c>
      <c r="J22" s="14">
        <f>IF(O22="","",IF(I22&gt;G22,"Stockout","Covered"))</f>
        <v/>
      </c>
      <c r="K22" s="20">
        <f>IF(O22="","",ROUNDUP(MAX(0,I22-G22)*E22,0))</f>
        <v/>
      </c>
      <c r="L22" s="50">
        <f>IF(O22="","",K22*INDEX(P_Cost,O22)*Markup)</f>
        <v/>
      </c>
      <c r="M22" s="20">
        <f>IF(O22="","",ROUNDUP(E22*SimDelay,0))</f>
        <v/>
      </c>
      <c r="N22" s="50">
        <f>IF(O22="","",M22*INDEX(P_Cost,O22))</f>
        <v/>
      </c>
      <c r="O22" s="51">
        <f>IFERROR(MATCH(A22,P_SimRow,0),"")</f>
        <v/>
      </c>
    </row>
    <row r="23">
      <c r="A23" s="14" t="n">
        <v>11</v>
      </c>
      <c r="B23" s="14">
        <f>IF(O23="","",INDEX(P_SKU,O23))</f>
        <v/>
      </c>
      <c r="C23" s="14">
        <f>IF(O23="","",INDEX(P_Name,O23))</f>
        <v/>
      </c>
      <c r="D23" s="14">
        <f>IF(O23="","",INDEX(P_ABC,O23))</f>
        <v/>
      </c>
      <c r="E23" s="49">
        <f>IF(O23="","",INDEX(P_Demand,O23))</f>
        <v/>
      </c>
      <c r="F23" s="20">
        <f>IF(O23="","",INDEX(P_Pos,O23))</f>
        <v/>
      </c>
      <c r="G23" s="49">
        <f>IF(O23="","",IFERROR(F23/E23,999))</f>
        <v/>
      </c>
      <c r="H23" s="49">
        <f>IF(O23="","",INDEX(P_LT,O23))</f>
        <v/>
      </c>
      <c r="I23" s="49">
        <f>IF(O23="","",H23+SimDelay)</f>
        <v/>
      </c>
      <c r="J23" s="14">
        <f>IF(O23="","",IF(I23&gt;G23,"Stockout","Covered"))</f>
        <v/>
      </c>
      <c r="K23" s="20">
        <f>IF(O23="","",ROUNDUP(MAX(0,I23-G23)*E23,0))</f>
        <v/>
      </c>
      <c r="L23" s="50">
        <f>IF(O23="","",K23*INDEX(P_Cost,O23)*Markup)</f>
        <v/>
      </c>
      <c r="M23" s="20">
        <f>IF(O23="","",ROUNDUP(E23*SimDelay,0))</f>
        <v/>
      </c>
      <c r="N23" s="50">
        <f>IF(O23="","",M23*INDEX(P_Cost,O23))</f>
        <v/>
      </c>
      <c r="O23" s="51">
        <f>IFERROR(MATCH(A23,P_SimRow,0),"")</f>
        <v/>
      </c>
    </row>
    <row r="24">
      <c r="A24" s="14" t="n">
        <v>12</v>
      </c>
      <c r="B24" s="14">
        <f>IF(O24="","",INDEX(P_SKU,O24))</f>
        <v/>
      </c>
      <c r="C24" s="14">
        <f>IF(O24="","",INDEX(P_Name,O24))</f>
        <v/>
      </c>
      <c r="D24" s="14">
        <f>IF(O24="","",INDEX(P_ABC,O24))</f>
        <v/>
      </c>
      <c r="E24" s="49">
        <f>IF(O24="","",INDEX(P_Demand,O24))</f>
        <v/>
      </c>
      <c r="F24" s="20">
        <f>IF(O24="","",INDEX(P_Pos,O24))</f>
        <v/>
      </c>
      <c r="G24" s="49">
        <f>IF(O24="","",IFERROR(F24/E24,999))</f>
        <v/>
      </c>
      <c r="H24" s="49">
        <f>IF(O24="","",INDEX(P_LT,O24))</f>
        <v/>
      </c>
      <c r="I24" s="49">
        <f>IF(O24="","",H24+SimDelay)</f>
        <v/>
      </c>
      <c r="J24" s="14">
        <f>IF(O24="","",IF(I24&gt;G24,"Stockout","Covered"))</f>
        <v/>
      </c>
      <c r="K24" s="20">
        <f>IF(O24="","",ROUNDUP(MAX(0,I24-G24)*E24,0))</f>
        <v/>
      </c>
      <c r="L24" s="50">
        <f>IF(O24="","",K24*INDEX(P_Cost,O24)*Markup)</f>
        <v/>
      </c>
      <c r="M24" s="20">
        <f>IF(O24="","",ROUNDUP(E24*SimDelay,0))</f>
        <v/>
      </c>
      <c r="N24" s="50">
        <f>IF(O24="","",M24*INDEX(P_Cost,O24))</f>
        <v/>
      </c>
      <c r="O24" s="51">
        <f>IFERROR(MATCH(A24,P_SimRow,0),"")</f>
        <v/>
      </c>
    </row>
    <row r="25">
      <c r="A25" s="14" t="n">
        <v>13</v>
      </c>
      <c r="B25" s="14">
        <f>IF(O25="","",INDEX(P_SKU,O25))</f>
        <v/>
      </c>
      <c r="C25" s="14">
        <f>IF(O25="","",INDEX(P_Name,O25))</f>
        <v/>
      </c>
      <c r="D25" s="14">
        <f>IF(O25="","",INDEX(P_ABC,O25))</f>
        <v/>
      </c>
      <c r="E25" s="49">
        <f>IF(O25="","",INDEX(P_Demand,O25))</f>
        <v/>
      </c>
      <c r="F25" s="20">
        <f>IF(O25="","",INDEX(P_Pos,O25))</f>
        <v/>
      </c>
      <c r="G25" s="49">
        <f>IF(O25="","",IFERROR(F25/E25,999))</f>
        <v/>
      </c>
      <c r="H25" s="49">
        <f>IF(O25="","",INDEX(P_LT,O25))</f>
        <v/>
      </c>
      <c r="I25" s="49">
        <f>IF(O25="","",H25+SimDelay)</f>
        <v/>
      </c>
      <c r="J25" s="14">
        <f>IF(O25="","",IF(I25&gt;G25,"Stockout","Covered"))</f>
        <v/>
      </c>
      <c r="K25" s="20">
        <f>IF(O25="","",ROUNDUP(MAX(0,I25-G25)*E25,0))</f>
        <v/>
      </c>
      <c r="L25" s="50">
        <f>IF(O25="","",K25*INDEX(P_Cost,O25)*Markup)</f>
        <v/>
      </c>
      <c r="M25" s="20">
        <f>IF(O25="","",ROUNDUP(E25*SimDelay,0))</f>
        <v/>
      </c>
      <c r="N25" s="50">
        <f>IF(O25="","",M25*INDEX(P_Cost,O25))</f>
        <v/>
      </c>
      <c r="O25" s="51">
        <f>IFERROR(MATCH(A25,P_SimRow,0),"")</f>
        <v/>
      </c>
    </row>
    <row r="26">
      <c r="A26" s="14" t="n">
        <v>14</v>
      </c>
      <c r="B26" s="14">
        <f>IF(O26="","",INDEX(P_SKU,O26))</f>
        <v/>
      </c>
      <c r="C26" s="14">
        <f>IF(O26="","",INDEX(P_Name,O26))</f>
        <v/>
      </c>
      <c r="D26" s="14">
        <f>IF(O26="","",INDEX(P_ABC,O26))</f>
        <v/>
      </c>
      <c r="E26" s="49">
        <f>IF(O26="","",INDEX(P_Demand,O26))</f>
        <v/>
      </c>
      <c r="F26" s="20">
        <f>IF(O26="","",INDEX(P_Pos,O26))</f>
        <v/>
      </c>
      <c r="G26" s="49">
        <f>IF(O26="","",IFERROR(F26/E26,999))</f>
        <v/>
      </c>
      <c r="H26" s="49">
        <f>IF(O26="","",INDEX(P_LT,O26))</f>
        <v/>
      </c>
      <c r="I26" s="49">
        <f>IF(O26="","",H26+SimDelay)</f>
        <v/>
      </c>
      <c r="J26" s="14">
        <f>IF(O26="","",IF(I26&gt;G26,"Stockout","Covered"))</f>
        <v/>
      </c>
      <c r="K26" s="20">
        <f>IF(O26="","",ROUNDUP(MAX(0,I26-G26)*E26,0))</f>
        <v/>
      </c>
      <c r="L26" s="50">
        <f>IF(O26="","",K26*INDEX(P_Cost,O26)*Markup)</f>
        <v/>
      </c>
      <c r="M26" s="20">
        <f>IF(O26="","",ROUNDUP(E26*SimDelay,0))</f>
        <v/>
      </c>
      <c r="N26" s="50">
        <f>IF(O26="","",M26*INDEX(P_Cost,O26))</f>
        <v/>
      </c>
      <c r="O26" s="51">
        <f>IFERROR(MATCH(A26,P_SimRow,0),"")</f>
        <v/>
      </c>
    </row>
    <row r="27">
      <c r="A27" s="14" t="n">
        <v>15</v>
      </c>
      <c r="B27" s="14">
        <f>IF(O27="","",INDEX(P_SKU,O27))</f>
        <v/>
      </c>
      <c r="C27" s="14">
        <f>IF(O27="","",INDEX(P_Name,O27))</f>
        <v/>
      </c>
      <c r="D27" s="14">
        <f>IF(O27="","",INDEX(P_ABC,O27))</f>
        <v/>
      </c>
      <c r="E27" s="49">
        <f>IF(O27="","",INDEX(P_Demand,O27))</f>
        <v/>
      </c>
      <c r="F27" s="20">
        <f>IF(O27="","",INDEX(P_Pos,O27))</f>
        <v/>
      </c>
      <c r="G27" s="49">
        <f>IF(O27="","",IFERROR(F27/E27,999))</f>
        <v/>
      </c>
      <c r="H27" s="49">
        <f>IF(O27="","",INDEX(P_LT,O27))</f>
        <v/>
      </c>
      <c r="I27" s="49">
        <f>IF(O27="","",H27+SimDelay)</f>
        <v/>
      </c>
      <c r="J27" s="14">
        <f>IF(O27="","",IF(I27&gt;G27,"Stockout","Covered"))</f>
        <v/>
      </c>
      <c r="K27" s="20">
        <f>IF(O27="","",ROUNDUP(MAX(0,I27-G27)*E27,0))</f>
        <v/>
      </c>
      <c r="L27" s="50">
        <f>IF(O27="","",K27*INDEX(P_Cost,O27)*Markup)</f>
        <v/>
      </c>
      <c r="M27" s="20">
        <f>IF(O27="","",ROUNDUP(E27*SimDelay,0))</f>
        <v/>
      </c>
      <c r="N27" s="50">
        <f>IF(O27="","",M27*INDEX(P_Cost,O27))</f>
        <v/>
      </c>
      <c r="O27" s="51">
        <f>IFERROR(MATCH(A27,P_SimRow,0),"")</f>
        <v/>
      </c>
    </row>
    <row r="28">
      <c r="A28" s="14" t="n">
        <v>16</v>
      </c>
      <c r="B28" s="14">
        <f>IF(O28="","",INDEX(P_SKU,O28))</f>
        <v/>
      </c>
      <c r="C28" s="14">
        <f>IF(O28="","",INDEX(P_Name,O28))</f>
        <v/>
      </c>
      <c r="D28" s="14">
        <f>IF(O28="","",INDEX(P_ABC,O28))</f>
        <v/>
      </c>
      <c r="E28" s="49">
        <f>IF(O28="","",INDEX(P_Demand,O28))</f>
        <v/>
      </c>
      <c r="F28" s="20">
        <f>IF(O28="","",INDEX(P_Pos,O28))</f>
        <v/>
      </c>
      <c r="G28" s="49">
        <f>IF(O28="","",IFERROR(F28/E28,999))</f>
        <v/>
      </c>
      <c r="H28" s="49">
        <f>IF(O28="","",INDEX(P_LT,O28))</f>
        <v/>
      </c>
      <c r="I28" s="49">
        <f>IF(O28="","",H28+SimDelay)</f>
        <v/>
      </c>
      <c r="J28" s="14">
        <f>IF(O28="","",IF(I28&gt;G28,"Stockout","Covered"))</f>
        <v/>
      </c>
      <c r="K28" s="20">
        <f>IF(O28="","",ROUNDUP(MAX(0,I28-G28)*E28,0))</f>
        <v/>
      </c>
      <c r="L28" s="50">
        <f>IF(O28="","",K28*INDEX(P_Cost,O28)*Markup)</f>
        <v/>
      </c>
      <c r="M28" s="20">
        <f>IF(O28="","",ROUNDUP(E28*SimDelay,0))</f>
        <v/>
      </c>
      <c r="N28" s="50">
        <f>IF(O28="","",M28*INDEX(P_Cost,O28))</f>
        <v/>
      </c>
      <c r="O28" s="51">
        <f>IFERROR(MATCH(A28,P_SimRow,0),"")</f>
        <v/>
      </c>
    </row>
    <row r="29">
      <c r="A29" s="14" t="n">
        <v>17</v>
      </c>
      <c r="B29" s="14">
        <f>IF(O29="","",INDEX(P_SKU,O29))</f>
        <v/>
      </c>
      <c r="C29" s="14">
        <f>IF(O29="","",INDEX(P_Name,O29))</f>
        <v/>
      </c>
      <c r="D29" s="14">
        <f>IF(O29="","",INDEX(P_ABC,O29))</f>
        <v/>
      </c>
      <c r="E29" s="49">
        <f>IF(O29="","",INDEX(P_Demand,O29))</f>
        <v/>
      </c>
      <c r="F29" s="20">
        <f>IF(O29="","",INDEX(P_Pos,O29))</f>
        <v/>
      </c>
      <c r="G29" s="49">
        <f>IF(O29="","",IFERROR(F29/E29,999))</f>
        <v/>
      </c>
      <c r="H29" s="49">
        <f>IF(O29="","",INDEX(P_LT,O29))</f>
        <v/>
      </c>
      <c r="I29" s="49">
        <f>IF(O29="","",H29+SimDelay)</f>
        <v/>
      </c>
      <c r="J29" s="14">
        <f>IF(O29="","",IF(I29&gt;G29,"Stockout","Covered"))</f>
        <v/>
      </c>
      <c r="K29" s="20">
        <f>IF(O29="","",ROUNDUP(MAX(0,I29-G29)*E29,0))</f>
        <v/>
      </c>
      <c r="L29" s="50">
        <f>IF(O29="","",K29*INDEX(P_Cost,O29)*Markup)</f>
        <v/>
      </c>
      <c r="M29" s="20">
        <f>IF(O29="","",ROUNDUP(E29*SimDelay,0))</f>
        <v/>
      </c>
      <c r="N29" s="50">
        <f>IF(O29="","",M29*INDEX(P_Cost,O29))</f>
        <v/>
      </c>
      <c r="O29" s="51">
        <f>IFERROR(MATCH(A29,P_SimRow,0),"")</f>
        <v/>
      </c>
    </row>
    <row r="30">
      <c r="A30" s="14" t="n">
        <v>18</v>
      </c>
      <c r="B30" s="14">
        <f>IF(O30="","",INDEX(P_SKU,O30))</f>
        <v/>
      </c>
      <c r="C30" s="14">
        <f>IF(O30="","",INDEX(P_Name,O30))</f>
        <v/>
      </c>
      <c r="D30" s="14">
        <f>IF(O30="","",INDEX(P_ABC,O30))</f>
        <v/>
      </c>
      <c r="E30" s="49">
        <f>IF(O30="","",INDEX(P_Demand,O30))</f>
        <v/>
      </c>
      <c r="F30" s="20">
        <f>IF(O30="","",INDEX(P_Pos,O30))</f>
        <v/>
      </c>
      <c r="G30" s="49">
        <f>IF(O30="","",IFERROR(F30/E30,999))</f>
        <v/>
      </c>
      <c r="H30" s="49">
        <f>IF(O30="","",INDEX(P_LT,O30))</f>
        <v/>
      </c>
      <c r="I30" s="49">
        <f>IF(O30="","",H30+SimDelay)</f>
        <v/>
      </c>
      <c r="J30" s="14">
        <f>IF(O30="","",IF(I30&gt;G30,"Stockout","Covered"))</f>
        <v/>
      </c>
      <c r="K30" s="20">
        <f>IF(O30="","",ROUNDUP(MAX(0,I30-G30)*E30,0))</f>
        <v/>
      </c>
      <c r="L30" s="50">
        <f>IF(O30="","",K30*INDEX(P_Cost,O30)*Markup)</f>
        <v/>
      </c>
      <c r="M30" s="20">
        <f>IF(O30="","",ROUNDUP(E30*SimDelay,0))</f>
        <v/>
      </c>
      <c r="N30" s="50">
        <f>IF(O30="","",M30*INDEX(P_Cost,O30))</f>
        <v/>
      </c>
      <c r="O30" s="51">
        <f>IFERROR(MATCH(A30,P_SimRow,0),"")</f>
        <v/>
      </c>
    </row>
    <row r="31">
      <c r="A31" s="14" t="n">
        <v>19</v>
      </c>
      <c r="B31" s="14">
        <f>IF(O31="","",INDEX(P_SKU,O31))</f>
        <v/>
      </c>
      <c r="C31" s="14">
        <f>IF(O31="","",INDEX(P_Name,O31))</f>
        <v/>
      </c>
      <c r="D31" s="14">
        <f>IF(O31="","",INDEX(P_ABC,O31))</f>
        <v/>
      </c>
      <c r="E31" s="49">
        <f>IF(O31="","",INDEX(P_Demand,O31))</f>
        <v/>
      </c>
      <c r="F31" s="20">
        <f>IF(O31="","",INDEX(P_Pos,O31))</f>
        <v/>
      </c>
      <c r="G31" s="49">
        <f>IF(O31="","",IFERROR(F31/E31,999))</f>
        <v/>
      </c>
      <c r="H31" s="49">
        <f>IF(O31="","",INDEX(P_LT,O31))</f>
        <v/>
      </c>
      <c r="I31" s="49">
        <f>IF(O31="","",H31+SimDelay)</f>
        <v/>
      </c>
      <c r="J31" s="14">
        <f>IF(O31="","",IF(I31&gt;G31,"Stockout","Covered"))</f>
        <v/>
      </c>
      <c r="K31" s="20">
        <f>IF(O31="","",ROUNDUP(MAX(0,I31-G31)*E31,0))</f>
        <v/>
      </c>
      <c r="L31" s="50">
        <f>IF(O31="","",K31*INDEX(P_Cost,O31)*Markup)</f>
        <v/>
      </c>
      <c r="M31" s="20">
        <f>IF(O31="","",ROUNDUP(E31*SimDelay,0))</f>
        <v/>
      </c>
      <c r="N31" s="50">
        <f>IF(O31="","",M31*INDEX(P_Cost,O31))</f>
        <v/>
      </c>
      <c r="O31" s="51">
        <f>IFERROR(MATCH(A31,P_SimRow,0),"")</f>
        <v/>
      </c>
    </row>
    <row r="32">
      <c r="A32" s="14" t="n">
        <v>20</v>
      </c>
      <c r="B32" s="14">
        <f>IF(O32="","",INDEX(P_SKU,O32))</f>
        <v/>
      </c>
      <c r="C32" s="14">
        <f>IF(O32="","",INDEX(P_Name,O32))</f>
        <v/>
      </c>
      <c r="D32" s="14">
        <f>IF(O32="","",INDEX(P_ABC,O32))</f>
        <v/>
      </c>
      <c r="E32" s="49">
        <f>IF(O32="","",INDEX(P_Demand,O32))</f>
        <v/>
      </c>
      <c r="F32" s="20">
        <f>IF(O32="","",INDEX(P_Pos,O32))</f>
        <v/>
      </c>
      <c r="G32" s="49">
        <f>IF(O32="","",IFERROR(F32/E32,999))</f>
        <v/>
      </c>
      <c r="H32" s="49">
        <f>IF(O32="","",INDEX(P_LT,O32))</f>
        <v/>
      </c>
      <c r="I32" s="49">
        <f>IF(O32="","",H32+SimDelay)</f>
        <v/>
      </c>
      <c r="J32" s="14">
        <f>IF(O32="","",IF(I32&gt;G32,"Stockout","Covered"))</f>
        <v/>
      </c>
      <c r="K32" s="20">
        <f>IF(O32="","",ROUNDUP(MAX(0,I32-G32)*E32,0))</f>
        <v/>
      </c>
      <c r="L32" s="50">
        <f>IF(O32="","",K32*INDEX(P_Cost,O32)*Markup)</f>
        <v/>
      </c>
      <c r="M32" s="20">
        <f>IF(O32="","",ROUNDUP(E32*SimDelay,0))</f>
        <v/>
      </c>
      <c r="N32" s="50">
        <f>IF(O32="","",M32*INDEX(P_Cost,O32))</f>
        <v/>
      </c>
      <c r="O32" s="51">
        <f>IFERROR(MATCH(A32,P_SimRow,0),"")</f>
        <v/>
      </c>
    </row>
    <row r="33">
      <c r="A33" s="14" t="n">
        <v>21</v>
      </c>
      <c r="B33" s="14">
        <f>IF(O33="","",INDEX(P_SKU,O33))</f>
        <v/>
      </c>
      <c r="C33" s="14">
        <f>IF(O33="","",INDEX(P_Name,O33))</f>
        <v/>
      </c>
      <c r="D33" s="14">
        <f>IF(O33="","",INDEX(P_ABC,O33))</f>
        <v/>
      </c>
      <c r="E33" s="49">
        <f>IF(O33="","",INDEX(P_Demand,O33))</f>
        <v/>
      </c>
      <c r="F33" s="20">
        <f>IF(O33="","",INDEX(P_Pos,O33))</f>
        <v/>
      </c>
      <c r="G33" s="49">
        <f>IF(O33="","",IFERROR(F33/E33,999))</f>
        <v/>
      </c>
      <c r="H33" s="49">
        <f>IF(O33="","",INDEX(P_LT,O33))</f>
        <v/>
      </c>
      <c r="I33" s="49">
        <f>IF(O33="","",H33+SimDelay)</f>
        <v/>
      </c>
      <c r="J33" s="14">
        <f>IF(O33="","",IF(I33&gt;G33,"Stockout","Covered"))</f>
        <v/>
      </c>
      <c r="K33" s="20">
        <f>IF(O33="","",ROUNDUP(MAX(0,I33-G33)*E33,0))</f>
        <v/>
      </c>
      <c r="L33" s="50">
        <f>IF(O33="","",K33*INDEX(P_Cost,O33)*Markup)</f>
        <v/>
      </c>
      <c r="M33" s="20">
        <f>IF(O33="","",ROUNDUP(E33*SimDelay,0))</f>
        <v/>
      </c>
      <c r="N33" s="50">
        <f>IF(O33="","",M33*INDEX(P_Cost,O33))</f>
        <v/>
      </c>
      <c r="O33" s="51">
        <f>IFERROR(MATCH(A33,P_SimRow,0),"")</f>
        <v/>
      </c>
    </row>
    <row r="34">
      <c r="A34" s="14" t="n">
        <v>22</v>
      </c>
      <c r="B34" s="14">
        <f>IF(O34="","",INDEX(P_SKU,O34))</f>
        <v/>
      </c>
      <c r="C34" s="14">
        <f>IF(O34="","",INDEX(P_Name,O34))</f>
        <v/>
      </c>
      <c r="D34" s="14">
        <f>IF(O34="","",INDEX(P_ABC,O34))</f>
        <v/>
      </c>
      <c r="E34" s="49">
        <f>IF(O34="","",INDEX(P_Demand,O34))</f>
        <v/>
      </c>
      <c r="F34" s="20">
        <f>IF(O34="","",INDEX(P_Pos,O34))</f>
        <v/>
      </c>
      <c r="G34" s="49">
        <f>IF(O34="","",IFERROR(F34/E34,999))</f>
        <v/>
      </c>
      <c r="H34" s="49">
        <f>IF(O34="","",INDEX(P_LT,O34))</f>
        <v/>
      </c>
      <c r="I34" s="49">
        <f>IF(O34="","",H34+SimDelay)</f>
        <v/>
      </c>
      <c r="J34" s="14">
        <f>IF(O34="","",IF(I34&gt;G34,"Stockout","Covered"))</f>
        <v/>
      </c>
      <c r="K34" s="20">
        <f>IF(O34="","",ROUNDUP(MAX(0,I34-G34)*E34,0))</f>
        <v/>
      </c>
      <c r="L34" s="50">
        <f>IF(O34="","",K34*INDEX(P_Cost,O34)*Markup)</f>
        <v/>
      </c>
      <c r="M34" s="20">
        <f>IF(O34="","",ROUNDUP(E34*SimDelay,0))</f>
        <v/>
      </c>
      <c r="N34" s="50">
        <f>IF(O34="","",M34*INDEX(P_Cost,O34))</f>
        <v/>
      </c>
      <c r="O34" s="51">
        <f>IFERROR(MATCH(A34,P_SimRow,0),"")</f>
        <v/>
      </c>
    </row>
    <row r="35">
      <c r="A35" s="14" t="n">
        <v>23</v>
      </c>
      <c r="B35" s="14">
        <f>IF(O35="","",INDEX(P_SKU,O35))</f>
        <v/>
      </c>
      <c r="C35" s="14">
        <f>IF(O35="","",INDEX(P_Name,O35))</f>
        <v/>
      </c>
      <c r="D35" s="14">
        <f>IF(O35="","",INDEX(P_ABC,O35))</f>
        <v/>
      </c>
      <c r="E35" s="49">
        <f>IF(O35="","",INDEX(P_Demand,O35))</f>
        <v/>
      </c>
      <c r="F35" s="20">
        <f>IF(O35="","",INDEX(P_Pos,O35))</f>
        <v/>
      </c>
      <c r="G35" s="49">
        <f>IF(O35="","",IFERROR(F35/E35,999))</f>
        <v/>
      </c>
      <c r="H35" s="49">
        <f>IF(O35="","",INDEX(P_LT,O35))</f>
        <v/>
      </c>
      <c r="I35" s="49">
        <f>IF(O35="","",H35+SimDelay)</f>
        <v/>
      </c>
      <c r="J35" s="14">
        <f>IF(O35="","",IF(I35&gt;G35,"Stockout","Covered"))</f>
        <v/>
      </c>
      <c r="K35" s="20">
        <f>IF(O35="","",ROUNDUP(MAX(0,I35-G35)*E35,0))</f>
        <v/>
      </c>
      <c r="L35" s="50">
        <f>IF(O35="","",K35*INDEX(P_Cost,O35)*Markup)</f>
        <v/>
      </c>
      <c r="M35" s="20">
        <f>IF(O35="","",ROUNDUP(E35*SimDelay,0))</f>
        <v/>
      </c>
      <c r="N35" s="50">
        <f>IF(O35="","",M35*INDEX(P_Cost,O35))</f>
        <v/>
      </c>
      <c r="O35" s="51">
        <f>IFERROR(MATCH(A35,P_SimRow,0),"")</f>
        <v/>
      </c>
    </row>
    <row r="36">
      <c r="A36" s="14" t="n">
        <v>24</v>
      </c>
      <c r="B36" s="14">
        <f>IF(O36="","",INDEX(P_SKU,O36))</f>
        <v/>
      </c>
      <c r="C36" s="14">
        <f>IF(O36="","",INDEX(P_Name,O36))</f>
        <v/>
      </c>
      <c r="D36" s="14">
        <f>IF(O36="","",INDEX(P_ABC,O36))</f>
        <v/>
      </c>
      <c r="E36" s="49">
        <f>IF(O36="","",INDEX(P_Demand,O36))</f>
        <v/>
      </c>
      <c r="F36" s="20">
        <f>IF(O36="","",INDEX(P_Pos,O36))</f>
        <v/>
      </c>
      <c r="G36" s="49">
        <f>IF(O36="","",IFERROR(F36/E36,999))</f>
        <v/>
      </c>
      <c r="H36" s="49">
        <f>IF(O36="","",INDEX(P_LT,O36))</f>
        <v/>
      </c>
      <c r="I36" s="49">
        <f>IF(O36="","",H36+SimDelay)</f>
        <v/>
      </c>
      <c r="J36" s="14">
        <f>IF(O36="","",IF(I36&gt;G36,"Stockout","Covered"))</f>
        <v/>
      </c>
      <c r="K36" s="20">
        <f>IF(O36="","",ROUNDUP(MAX(0,I36-G36)*E36,0))</f>
        <v/>
      </c>
      <c r="L36" s="50">
        <f>IF(O36="","",K36*INDEX(P_Cost,O36)*Markup)</f>
        <v/>
      </c>
      <c r="M36" s="20">
        <f>IF(O36="","",ROUNDUP(E36*SimDelay,0))</f>
        <v/>
      </c>
      <c r="N36" s="50">
        <f>IF(O36="","",M36*INDEX(P_Cost,O36))</f>
        <v/>
      </c>
      <c r="O36" s="51">
        <f>IFERROR(MATCH(A36,P_SimRow,0),"")</f>
        <v/>
      </c>
    </row>
    <row r="37">
      <c r="A37" s="14" t="n">
        <v>25</v>
      </c>
      <c r="B37" s="14">
        <f>IF(O37="","",INDEX(P_SKU,O37))</f>
        <v/>
      </c>
      <c r="C37" s="14">
        <f>IF(O37="","",INDEX(P_Name,O37))</f>
        <v/>
      </c>
      <c r="D37" s="14">
        <f>IF(O37="","",INDEX(P_ABC,O37))</f>
        <v/>
      </c>
      <c r="E37" s="49">
        <f>IF(O37="","",INDEX(P_Demand,O37))</f>
        <v/>
      </c>
      <c r="F37" s="20">
        <f>IF(O37="","",INDEX(P_Pos,O37))</f>
        <v/>
      </c>
      <c r="G37" s="49">
        <f>IF(O37="","",IFERROR(F37/E37,999))</f>
        <v/>
      </c>
      <c r="H37" s="49">
        <f>IF(O37="","",INDEX(P_LT,O37))</f>
        <v/>
      </c>
      <c r="I37" s="49">
        <f>IF(O37="","",H37+SimDelay)</f>
        <v/>
      </c>
      <c r="J37" s="14">
        <f>IF(O37="","",IF(I37&gt;G37,"Stockout","Covered"))</f>
        <v/>
      </c>
      <c r="K37" s="20">
        <f>IF(O37="","",ROUNDUP(MAX(0,I37-G37)*E37,0))</f>
        <v/>
      </c>
      <c r="L37" s="50">
        <f>IF(O37="","",K37*INDEX(P_Cost,O37)*Markup)</f>
        <v/>
      </c>
      <c r="M37" s="20">
        <f>IF(O37="","",ROUNDUP(E37*SimDelay,0))</f>
        <v/>
      </c>
      <c r="N37" s="50">
        <f>IF(O37="","",M37*INDEX(P_Cost,O37))</f>
        <v/>
      </c>
      <c r="O37" s="51">
        <f>IFERROR(MATCH(A37,P_SimRow,0),"")</f>
        <v/>
      </c>
    </row>
    <row r="38">
      <c r="A38" s="14" t="n">
        <v>26</v>
      </c>
      <c r="B38" s="14">
        <f>IF(O38="","",INDEX(P_SKU,O38))</f>
        <v/>
      </c>
      <c r="C38" s="14">
        <f>IF(O38="","",INDEX(P_Name,O38))</f>
        <v/>
      </c>
      <c r="D38" s="14">
        <f>IF(O38="","",INDEX(P_ABC,O38))</f>
        <v/>
      </c>
      <c r="E38" s="49">
        <f>IF(O38="","",INDEX(P_Demand,O38))</f>
        <v/>
      </c>
      <c r="F38" s="20">
        <f>IF(O38="","",INDEX(P_Pos,O38))</f>
        <v/>
      </c>
      <c r="G38" s="49">
        <f>IF(O38="","",IFERROR(F38/E38,999))</f>
        <v/>
      </c>
      <c r="H38" s="49">
        <f>IF(O38="","",INDEX(P_LT,O38))</f>
        <v/>
      </c>
      <c r="I38" s="49">
        <f>IF(O38="","",H38+SimDelay)</f>
        <v/>
      </c>
      <c r="J38" s="14">
        <f>IF(O38="","",IF(I38&gt;G38,"Stockout","Covered"))</f>
        <v/>
      </c>
      <c r="K38" s="20">
        <f>IF(O38="","",ROUNDUP(MAX(0,I38-G38)*E38,0))</f>
        <v/>
      </c>
      <c r="L38" s="50">
        <f>IF(O38="","",K38*INDEX(P_Cost,O38)*Markup)</f>
        <v/>
      </c>
      <c r="M38" s="20">
        <f>IF(O38="","",ROUNDUP(E38*SimDelay,0))</f>
        <v/>
      </c>
      <c r="N38" s="50">
        <f>IF(O38="","",M38*INDEX(P_Cost,O38))</f>
        <v/>
      </c>
      <c r="O38" s="51">
        <f>IFERROR(MATCH(A38,P_SimRow,0),"")</f>
        <v/>
      </c>
    </row>
    <row r="39">
      <c r="A39" s="14" t="n">
        <v>27</v>
      </c>
      <c r="B39" s="14">
        <f>IF(O39="","",INDEX(P_SKU,O39))</f>
        <v/>
      </c>
      <c r="C39" s="14">
        <f>IF(O39="","",INDEX(P_Name,O39))</f>
        <v/>
      </c>
      <c r="D39" s="14">
        <f>IF(O39="","",INDEX(P_ABC,O39))</f>
        <v/>
      </c>
      <c r="E39" s="49">
        <f>IF(O39="","",INDEX(P_Demand,O39))</f>
        <v/>
      </c>
      <c r="F39" s="20">
        <f>IF(O39="","",INDEX(P_Pos,O39))</f>
        <v/>
      </c>
      <c r="G39" s="49">
        <f>IF(O39="","",IFERROR(F39/E39,999))</f>
        <v/>
      </c>
      <c r="H39" s="49">
        <f>IF(O39="","",INDEX(P_LT,O39))</f>
        <v/>
      </c>
      <c r="I39" s="49">
        <f>IF(O39="","",H39+SimDelay)</f>
        <v/>
      </c>
      <c r="J39" s="14">
        <f>IF(O39="","",IF(I39&gt;G39,"Stockout","Covered"))</f>
        <v/>
      </c>
      <c r="K39" s="20">
        <f>IF(O39="","",ROUNDUP(MAX(0,I39-G39)*E39,0))</f>
        <v/>
      </c>
      <c r="L39" s="50">
        <f>IF(O39="","",K39*INDEX(P_Cost,O39)*Markup)</f>
        <v/>
      </c>
      <c r="M39" s="20">
        <f>IF(O39="","",ROUNDUP(E39*SimDelay,0))</f>
        <v/>
      </c>
      <c r="N39" s="50">
        <f>IF(O39="","",M39*INDEX(P_Cost,O39))</f>
        <v/>
      </c>
      <c r="O39" s="51">
        <f>IFERROR(MATCH(A39,P_SimRow,0),"")</f>
        <v/>
      </c>
    </row>
    <row r="40">
      <c r="A40" s="14" t="n">
        <v>28</v>
      </c>
      <c r="B40" s="14">
        <f>IF(O40="","",INDEX(P_SKU,O40))</f>
        <v/>
      </c>
      <c r="C40" s="14">
        <f>IF(O40="","",INDEX(P_Name,O40))</f>
        <v/>
      </c>
      <c r="D40" s="14">
        <f>IF(O40="","",INDEX(P_ABC,O40))</f>
        <v/>
      </c>
      <c r="E40" s="49">
        <f>IF(O40="","",INDEX(P_Demand,O40))</f>
        <v/>
      </c>
      <c r="F40" s="20">
        <f>IF(O40="","",INDEX(P_Pos,O40))</f>
        <v/>
      </c>
      <c r="G40" s="49">
        <f>IF(O40="","",IFERROR(F40/E40,999))</f>
        <v/>
      </c>
      <c r="H40" s="49">
        <f>IF(O40="","",INDEX(P_LT,O40))</f>
        <v/>
      </c>
      <c r="I40" s="49">
        <f>IF(O40="","",H40+SimDelay)</f>
        <v/>
      </c>
      <c r="J40" s="14">
        <f>IF(O40="","",IF(I40&gt;G40,"Stockout","Covered"))</f>
        <v/>
      </c>
      <c r="K40" s="20">
        <f>IF(O40="","",ROUNDUP(MAX(0,I40-G40)*E40,0))</f>
        <v/>
      </c>
      <c r="L40" s="50">
        <f>IF(O40="","",K40*INDEX(P_Cost,O40)*Markup)</f>
        <v/>
      </c>
      <c r="M40" s="20">
        <f>IF(O40="","",ROUNDUP(E40*SimDelay,0))</f>
        <v/>
      </c>
      <c r="N40" s="50">
        <f>IF(O40="","",M40*INDEX(P_Cost,O40))</f>
        <v/>
      </c>
      <c r="O40" s="51">
        <f>IFERROR(MATCH(A40,P_SimRow,0),"")</f>
        <v/>
      </c>
    </row>
    <row r="41">
      <c r="A41" s="14" t="n">
        <v>29</v>
      </c>
      <c r="B41" s="14">
        <f>IF(O41="","",INDEX(P_SKU,O41))</f>
        <v/>
      </c>
      <c r="C41" s="14">
        <f>IF(O41="","",INDEX(P_Name,O41))</f>
        <v/>
      </c>
      <c r="D41" s="14">
        <f>IF(O41="","",INDEX(P_ABC,O41))</f>
        <v/>
      </c>
      <c r="E41" s="49">
        <f>IF(O41="","",INDEX(P_Demand,O41))</f>
        <v/>
      </c>
      <c r="F41" s="20">
        <f>IF(O41="","",INDEX(P_Pos,O41))</f>
        <v/>
      </c>
      <c r="G41" s="49">
        <f>IF(O41="","",IFERROR(F41/E41,999))</f>
        <v/>
      </c>
      <c r="H41" s="49">
        <f>IF(O41="","",INDEX(P_LT,O41))</f>
        <v/>
      </c>
      <c r="I41" s="49">
        <f>IF(O41="","",H41+SimDelay)</f>
        <v/>
      </c>
      <c r="J41" s="14">
        <f>IF(O41="","",IF(I41&gt;G41,"Stockout","Covered"))</f>
        <v/>
      </c>
      <c r="K41" s="20">
        <f>IF(O41="","",ROUNDUP(MAX(0,I41-G41)*E41,0))</f>
        <v/>
      </c>
      <c r="L41" s="50">
        <f>IF(O41="","",K41*INDEX(P_Cost,O41)*Markup)</f>
        <v/>
      </c>
      <c r="M41" s="20">
        <f>IF(O41="","",ROUNDUP(E41*SimDelay,0))</f>
        <v/>
      </c>
      <c r="N41" s="50">
        <f>IF(O41="","",M41*INDEX(P_Cost,O41))</f>
        <v/>
      </c>
      <c r="O41" s="51">
        <f>IFERROR(MATCH(A41,P_SimRow,0),"")</f>
        <v/>
      </c>
    </row>
    <row r="42">
      <c r="A42" s="14" t="n">
        <v>30</v>
      </c>
      <c r="B42" s="14">
        <f>IF(O42="","",INDEX(P_SKU,O42))</f>
        <v/>
      </c>
      <c r="C42" s="14">
        <f>IF(O42="","",INDEX(P_Name,O42))</f>
        <v/>
      </c>
      <c r="D42" s="14">
        <f>IF(O42="","",INDEX(P_ABC,O42))</f>
        <v/>
      </c>
      <c r="E42" s="49">
        <f>IF(O42="","",INDEX(P_Demand,O42))</f>
        <v/>
      </c>
      <c r="F42" s="20">
        <f>IF(O42="","",INDEX(P_Pos,O42))</f>
        <v/>
      </c>
      <c r="G42" s="49">
        <f>IF(O42="","",IFERROR(F42/E42,999))</f>
        <v/>
      </c>
      <c r="H42" s="49">
        <f>IF(O42="","",INDEX(P_LT,O42))</f>
        <v/>
      </c>
      <c r="I42" s="49">
        <f>IF(O42="","",H42+SimDelay)</f>
        <v/>
      </c>
      <c r="J42" s="14">
        <f>IF(O42="","",IF(I42&gt;G42,"Stockout","Covered"))</f>
        <v/>
      </c>
      <c r="K42" s="20">
        <f>IF(O42="","",ROUNDUP(MAX(0,I42-G42)*E42,0))</f>
        <v/>
      </c>
      <c r="L42" s="50">
        <f>IF(O42="","",K42*INDEX(P_Cost,O42)*Markup)</f>
        <v/>
      </c>
      <c r="M42" s="20">
        <f>IF(O42="","",ROUNDUP(E42*SimDelay,0))</f>
        <v/>
      </c>
      <c r="N42" s="50">
        <f>IF(O42="","",M42*INDEX(P_Cost,O42))</f>
        <v/>
      </c>
      <c r="O42" s="51">
        <f>IFERROR(MATCH(A42,P_SimRow,0),"")</f>
        <v/>
      </c>
    </row>
  </sheetData>
  <conditionalFormatting sqref="J13:J42">
    <cfRule type="cellIs" priority="1" operator="equal" dxfId="0">
      <formula>"Stockout"</formula>
    </cfRule>
    <cfRule type="cellIs" priority="2" operator="equal" dxfId="2">
      <formula>"Covered"</formula>
    </cfRule>
  </conditionalFormatting>
  <dataValidations count="1">
    <dataValidation sqref="B4" showDropDown="0" showInputMessage="0" showErrorMessage="0" allowBlank="0" type="list">
      <formula1>=Suppliers!$A$2:$A$9</formula1>
    </dataValidation>
  </dataValidations>
  <pageMargins left="0.75" right="0.75" top="1" bottom="1" header="0.5" footer="0.5"/>
  <pageSetup orientation="landscape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3"/>
  <sheetViews>
    <sheetView workbookViewId="0">
      <pane xSplit="2" ySplit="17" topLeftCell="C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11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44" customWidth="1" min="23" max="23"/>
    <col width="13" customWidth="1" min="24" max="24"/>
  </cols>
  <sheetData>
    <row r="1">
      <c r="A1" s="1" t="inlineStr">
        <is>
          <t>Logistics &amp; Landed Cost: Offshore vs Nearshore</t>
        </is>
      </c>
    </row>
    <row r="2">
      <c r="A2" s="2" t="inlineStr">
        <is>
          <t>Total annual landed cost = units x landed unit cost + carrying cost of safety stock and in-transit inventory. Blue-on-yellow cells are inputs.</t>
        </is>
      </c>
    </row>
    <row r="4">
      <c r="A4" s="42" t="inlineStr">
        <is>
          <t>Country</t>
        </is>
      </c>
      <c r="B4" s="42" t="inlineStr">
        <is>
          <t>Price index</t>
        </is>
      </c>
      <c r="C4" s="42" t="inlineStr">
        <is>
          <t>Freight %</t>
        </is>
      </c>
      <c r="D4" s="42" t="inlineStr">
        <is>
          <t>Duty %</t>
        </is>
      </c>
      <c r="E4" s="42" t="inlineStr">
        <is>
          <t>Brokerage %</t>
        </is>
      </c>
      <c r="F4" s="42" t="inlineStr">
        <is>
          <t>Region</t>
        </is>
      </c>
      <c r="G4" s="42" t="inlineStr">
        <is>
          <t>Landed multiplier</t>
        </is>
      </c>
      <c r="H4" s="42" t="inlineStr">
        <is>
          <t>Cost to land 100</t>
        </is>
      </c>
      <c r="I4" s="42" t="inlineStr">
        <is>
          <t>Avg lead time (wks)</t>
        </is>
      </c>
      <c r="K4" s="5" t="inlineStr">
        <is>
          <t>Summary</t>
        </is>
      </c>
    </row>
    <row r="5">
      <c r="A5" s="14" t="inlineStr">
        <is>
          <t>China</t>
        </is>
      </c>
      <c r="B5" s="52" t="n">
        <v>1</v>
      </c>
      <c r="C5" s="22" t="n">
        <v>0.1</v>
      </c>
      <c r="D5" s="22" t="n">
        <v>0.065</v>
      </c>
      <c r="E5" s="22" t="n">
        <v>0.015</v>
      </c>
      <c r="F5" s="14" t="inlineStr">
        <is>
          <t>Offshore</t>
        </is>
      </c>
      <c r="G5" s="53">
        <f>B5*(1+C5+D5+E5)</f>
        <v/>
      </c>
      <c r="H5" s="54">
        <f>100*G5</f>
        <v/>
      </c>
      <c r="I5" s="54">
        <f>IFERROR(AVERAGEIF(Supplier_Scorecard!$C$5:$C$12,A5,Supplier_Scorecard!$I$5:$I$12),"-")</f>
        <v/>
      </c>
      <c r="K5" s="14" t="inlineStr">
        <is>
          <t>Offshore SKUs reviewed</t>
        </is>
      </c>
      <c r="N5" s="55">
        <f>COUNTA(A18:A43)</f>
        <v/>
      </c>
    </row>
    <row r="6">
      <c r="A6" s="14" t="inlineStr">
        <is>
          <t>India</t>
        </is>
      </c>
      <c r="B6" s="52" t="n">
        <v>1</v>
      </c>
      <c r="C6" s="22" t="n">
        <v>0.11</v>
      </c>
      <c r="D6" s="22" t="n">
        <v>0.065</v>
      </c>
      <c r="E6" s="22" t="n">
        <v>0.015</v>
      </c>
      <c r="F6" s="14" t="inlineStr">
        <is>
          <t>Offshore</t>
        </is>
      </c>
      <c r="G6" s="53">
        <f>B6*(1+C6+D6+E6)</f>
        <v/>
      </c>
      <c r="H6" s="54">
        <f>100*G6</f>
        <v/>
      </c>
      <c r="I6" s="54">
        <f>IFERROR(AVERAGEIF(Supplier_Scorecard!$C$5:$C$12,A6,Supplier_Scorecard!$I$5:$I$12),"-")</f>
        <v/>
      </c>
      <c r="K6" s="14" t="inlineStr">
        <is>
          <t>Cheaper to source nearshore</t>
        </is>
      </c>
      <c r="N6" s="55">
        <f>COUNTIF(W18:W43,"Nearshore: lower total cost")</f>
        <v/>
      </c>
    </row>
    <row r="7">
      <c r="A7" s="14" t="inlineStr">
        <is>
          <t>Vietnam</t>
        </is>
      </c>
      <c r="B7" s="52" t="n">
        <v>1.02</v>
      </c>
      <c r="C7" s="22" t="n">
        <v>0.11</v>
      </c>
      <c r="D7" s="22" t="n">
        <v>0</v>
      </c>
      <c r="E7" s="22" t="n">
        <v>0.015</v>
      </c>
      <c r="F7" s="14" t="inlineStr">
        <is>
          <t>Offshore</t>
        </is>
      </c>
      <c r="G7" s="53">
        <f>B7*(1+C7+D7+E7)</f>
        <v/>
      </c>
      <c r="H7" s="54">
        <f>100*G7</f>
        <v/>
      </c>
      <c r="I7" s="54">
        <f>IFERROR(AVERAGEIF(Supplier_Scorecard!$C$5:$C$12,A7,Supplier_Scorecard!$I$5:$I$12),"-")</f>
        <v/>
      </c>
      <c r="K7" s="14" t="inlineStr">
        <is>
          <t>Nearshore candidates (incl. small premium)</t>
        </is>
      </c>
      <c r="N7" s="55">
        <f>COUNTIF(W18:W43,"Nearshore*")</f>
        <v/>
      </c>
    </row>
    <row r="8">
      <c r="A8" s="14" t="inlineStr">
        <is>
          <t>Malaysia</t>
        </is>
      </c>
      <c r="B8" s="52" t="n">
        <v>0.97</v>
      </c>
      <c r="C8" s="22" t="n">
        <v>0.1</v>
      </c>
      <c r="D8" s="22" t="n">
        <v>0</v>
      </c>
      <c r="E8" s="22" t="n">
        <v>0.015</v>
      </c>
      <c r="F8" s="14" t="inlineStr">
        <is>
          <t>Offshore</t>
        </is>
      </c>
      <c r="G8" s="53">
        <f>B8*(1+C8+D8+E8)</f>
        <v/>
      </c>
      <c r="H8" s="54">
        <f>100*G8</f>
        <v/>
      </c>
      <c r="I8" s="54">
        <f>IFERROR(AVERAGEIF(Supplier_Scorecard!$C$5:$C$12,A8,Supplier_Scorecard!$I$5:$I$12),"-")</f>
        <v/>
      </c>
      <c r="K8" s="14" t="inlineStr">
        <is>
          <t>Saving/yr if cheaper SKUs move</t>
        </is>
      </c>
      <c r="N8" s="56">
        <f>SUMIF(T18:T43,"&gt;0")</f>
        <v/>
      </c>
    </row>
    <row r="9">
      <c r="A9" s="14" t="inlineStr">
        <is>
          <t>Germany</t>
        </is>
      </c>
      <c r="B9" s="52" t="n">
        <v>1.2</v>
      </c>
      <c r="C9" s="22" t="n">
        <v>0.07000000000000001</v>
      </c>
      <c r="D9" s="22" t="n">
        <v>0</v>
      </c>
      <c r="E9" s="22" t="n">
        <v>0.01</v>
      </c>
      <c r="F9" s="14" t="inlineStr">
        <is>
          <t>Offshore</t>
        </is>
      </c>
      <c r="G9" s="53">
        <f>B9*(1+C9+D9+E9)</f>
        <v/>
      </c>
      <c r="H9" s="54">
        <f>100*G9</f>
        <v/>
      </c>
      <c r="I9" s="54">
        <f>IFERROR(AVERAGEIF(Supplier_Scorecard!$C$5:$C$12,A9,Supplier_Scorecard!$I$5:$I$12),"-")</f>
        <v/>
      </c>
      <c r="K9" s="14" t="inlineStr">
        <is>
          <t>Inventory released if candidates move</t>
        </is>
      </c>
      <c r="N9" s="56">
        <f>SUMIF(W18:W43,"Nearshore*",V18:V43)</f>
        <v/>
      </c>
    </row>
    <row r="10">
      <c r="A10" s="14" t="inlineStr">
        <is>
          <t>Mexico</t>
        </is>
      </c>
      <c r="B10" s="52" t="n">
        <v>1.18</v>
      </c>
      <c r="C10" s="22" t="n">
        <v>0.045</v>
      </c>
      <c r="D10" s="22" t="n">
        <v>0</v>
      </c>
      <c r="E10" s="22" t="n">
        <v>0.01</v>
      </c>
      <c r="F10" s="14" t="inlineStr">
        <is>
          <t>Nearshore</t>
        </is>
      </c>
      <c r="G10" s="53">
        <f>B10*(1+C10+D10+E10)</f>
        <v/>
      </c>
      <c r="H10" s="54">
        <f>100*G10</f>
        <v/>
      </c>
      <c r="I10" s="54">
        <f>IFERROR(AVERAGEIF(Supplier_Scorecard!$C$5:$C$12,A10,Supplier_Scorecard!$I$5:$I$12),"-")</f>
        <v/>
      </c>
    </row>
    <row r="11">
      <c r="A11" s="14" t="inlineStr">
        <is>
          <t>USA</t>
        </is>
      </c>
      <c r="B11" s="52" t="n">
        <v>1.38</v>
      </c>
      <c r="C11" s="22" t="n">
        <v>0.03</v>
      </c>
      <c r="D11" s="22" t="n">
        <v>0</v>
      </c>
      <c r="E11" s="22" t="n">
        <v>0.01</v>
      </c>
      <c r="F11" s="14" t="inlineStr">
        <is>
          <t>Nearshore</t>
        </is>
      </c>
      <c r="G11" s="53">
        <f>B11*(1+C11+D11+E11)</f>
        <v/>
      </c>
      <c r="H11" s="54">
        <f>100*G11</f>
        <v/>
      </c>
      <c r="I11" s="54">
        <f>IFERROR(AVERAGEIF(Supplier_Scorecard!$C$5:$C$12,A11,Supplier_Scorecard!$I$5:$I$12),"-")</f>
        <v/>
      </c>
    </row>
    <row r="12">
      <c r="A12" s="14" t="inlineStr">
        <is>
          <t>Canada</t>
        </is>
      </c>
      <c r="B12" s="52" t="n">
        <v>1.45</v>
      </c>
      <c r="C12" s="22" t="n">
        <v>0.015</v>
      </c>
      <c r="D12" s="22" t="n">
        <v>0</v>
      </c>
      <c r="E12" s="22" t="n">
        <v>0</v>
      </c>
      <c r="F12" s="14" t="inlineStr">
        <is>
          <t>Domestic</t>
        </is>
      </c>
      <c r="G12" s="53">
        <f>B12*(1+C12+D12+E12)</f>
        <v/>
      </c>
      <c r="H12" s="54">
        <f>100*G12</f>
        <v/>
      </c>
      <c r="I12" s="54">
        <f>IFERROR(AVERAGEIF(Supplier_Scorecard!$C$5:$C$12,A12,Supplier_Scorecard!$I$5:$I$12),"-")</f>
        <v/>
      </c>
    </row>
    <row r="13">
      <c r="A13" s="2" t="inlineStr">
        <is>
          <t>Duty rates are illustrative (CUSMA, CETA, CPTPP). Check the Canada Customs Tariff for real HS codes.</t>
        </is>
      </c>
    </row>
    <row r="14">
      <c r="A14" s="5" t="inlineStr">
        <is>
          <t>Accept nearshore premium up to</t>
        </is>
      </c>
      <c r="B14" s="22" t="n">
        <v>0.03</v>
      </c>
    </row>
    <row r="16">
      <c r="A16" s="5" t="inlineStr">
        <is>
          <t>Comparison for every SKU bought offshore</t>
        </is>
      </c>
    </row>
    <row r="17" ht="42" customHeight="1">
      <c r="A17" s="42" t="inlineStr">
        <is>
          <t>SKU</t>
        </is>
      </c>
      <c r="B17" s="42" t="inlineStr">
        <is>
          <t>Product</t>
        </is>
      </c>
      <c r="C17" s="42" t="inlineStr">
        <is>
          <t>Supplier</t>
        </is>
      </c>
      <c r="D17" s="42" t="inlineStr">
        <is>
          <t>Country</t>
        </is>
      </c>
      <c r="E17" s="42" t="inlineStr">
        <is>
          <t>Weekly demand</t>
        </is>
      </c>
      <c r="F17" s="42" t="inlineStr">
        <is>
          <t>Demand std</t>
        </is>
      </c>
      <c r="G17" s="42" t="inlineStr">
        <is>
          <t>Unit cost now</t>
        </is>
      </c>
      <c r="H17" s="42" t="inlineStr">
        <is>
          <t>Base price</t>
        </is>
      </c>
      <c r="I17" s="42" t="inlineStr">
        <is>
          <t>Now: landed unit</t>
        </is>
      </c>
      <c r="J17" s="42" t="inlineStr">
        <is>
          <t>Now: inventory value</t>
        </is>
      </c>
      <c r="K17" s="42" t="inlineStr">
        <is>
          <t>Now: total/yr</t>
        </is>
      </c>
      <c r="L17" s="42" t="inlineStr">
        <is>
          <t>Mexico: total/yr</t>
        </is>
      </c>
      <c r="M17" s="42" t="inlineStr">
        <is>
          <t>Mexico: inventory value</t>
        </is>
      </c>
      <c r="N17" s="42" t="inlineStr">
        <is>
          <t>USA: total/yr</t>
        </is>
      </c>
      <c r="O17" s="42" t="inlineStr">
        <is>
          <t>USA: inventory value</t>
        </is>
      </c>
      <c r="P17" s="42" t="inlineStr">
        <is>
          <t>Canada: total/yr</t>
        </is>
      </c>
      <c r="Q17" s="42" t="inlineStr">
        <is>
          <t>Canada: inventory value</t>
        </is>
      </c>
      <c r="R17" s="42" t="inlineStr">
        <is>
          <t>Best nearshore</t>
        </is>
      </c>
      <c r="S17" s="42" t="inlineStr">
        <is>
          <t>Best nearshore total/yr</t>
        </is>
      </c>
      <c r="T17" s="42" t="inlineStr">
        <is>
          <t>Saving/yr</t>
        </is>
      </c>
      <c r="U17" s="42" t="inlineStr">
        <is>
          <t>Saving %</t>
        </is>
      </c>
      <c r="V17" s="42" t="inlineStr">
        <is>
          <t>Inventory released</t>
        </is>
      </c>
      <c r="W17" s="42" t="inlineStr">
        <is>
          <t>Recommendation</t>
        </is>
      </c>
      <c r="X17" s="42" t="inlineStr">
        <is>
          <t>row</t>
        </is>
      </c>
    </row>
    <row r="18">
      <c r="A18" s="30">
        <f>INDEX(P_SKU,$X18)</f>
        <v/>
      </c>
      <c r="B18" s="30">
        <f>INDEX(P_Name,$X18)</f>
        <v/>
      </c>
      <c r="C18" s="30">
        <f>INDEX(P_Sup,$X18)</f>
        <v/>
      </c>
      <c r="D18" s="36">
        <f>INDEX(Supplier_Scorecard!$C$5:$C$12,MATCH(C18,SC_ID,0))</f>
        <v/>
      </c>
      <c r="E18" s="33">
        <f>INDEX(P_Demand,$X18)</f>
        <v/>
      </c>
      <c r="F18" s="33">
        <f>INDEX(P_Std,$X18)</f>
        <v/>
      </c>
      <c r="G18" s="57">
        <f>INDEX(P_Cost,$X18)</f>
        <v/>
      </c>
      <c r="H18" s="57">
        <f>G18/INDEX(LC_Price,MATCH(D18,LC_Country,0))</f>
        <v/>
      </c>
      <c r="I18" s="57">
        <f>H18*INDEX(LC_Mult,MATCH(D18,LC_Country,0))</f>
        <v/>
      </c>
      <c r="J18" s="34">
        <f>(z*SQRT(INDEX(SC_LT,MATCH(C18,SC_ID,0))*F18^2+E18^2*INDEX(SC_LTStd,MATCH(C18,SC_ID,0))^2)+E18*INDEX(SC_LT,MATCH(C18,SC_ID,0)))*I18</f>
        <v/>
      </c>
      <c r="K18" s="34">
        <f>E18*WeeksYear*I18+(z*SQRT(INDEX(SC_LT,MATCH(C18,SC_ID,0))*F18^2+E18^2*INDEX(SC_LTStd,MATCH(C18,SC_ID,0))^2)+E18*INDEX(SC_LT,MATCH(C18,SC_ID,0)))*I18*HoldRate</f>
        <v/>
      </c>
      <c r="L18" s="34">
        <f>IFERROR(E18*WeeksYear*(H18*INDEX(LC_Mult,MATCH("Mexico",LC_Country,0)))+(z*SQRT(INDEX(SC_LT,MATCH("S04",SC_ID,0))*F18^2+E18^2*INDEX(SC_LTStd,MATCH("S04",SC_ID,0))^2)+E18*INDEX(SC_LT,MATCH("S04",SC_ID,0)))*(H18*INDEX(LC_Mult,MATCH("Mexico",LC_Country,0)))*HoldRate,9.99E+99)</f>
        <v/>
      </c>
      <c r="M18" s="34">
        <f>IFERROR((z*SQRT(INDEX(SC_LT,MATCH("S04",SC_ID,0))*F18^2+E18^2*INDEX(SC_LTStd,MATCH("S04",SC_ID,0))^2)+E18*INDEX(SC_LT,MATCH("S04",SC_ID,0)))*(H18*INDEX(LC_Mult,MATCH("Mexico",LC_Country,0))),0)</f>
        <v/>
      </c>
      <c r="N18" s="34">
        <f>IFERROR(E18*WeeksYear*(H18*INDEX(LC_Mult,MATCH("USA",LC_Country,0)))+(z*SQRT(INDEX(SC_LT,MATCH("S02",SC_ID,0))*F18^2+E18^2*INDEX(SC_LTStd,MATCH("S02",SC_ID,0))^2)+E18*INDEX(SC_LT,MATCH("S02",SC_ID,0)))*(H18*INDEX(LC_Mult,MATCH("USA",LC_Country,0)))*HoldRate,9.99E+99)</f>
        <v/>
      </c>
      <c r="O18" s="34">
        <f>IFERROR((z*SQRT(INDEX(SC_LT,MATCH("S02",SC_ID,0))*F18^2+E18^2*INDEX(SC_LTStd,MATCH("S02",SC_ID,0))^2)+E18*INDEX(SC_LT,MATCH("S02",SC_ID,0)))*(H18*INDEX(LC_Mult,MATCH("USA",LC_Country,0))),0)</f>
        <v/>
      </c>
      <c r="P18" s="34">
        <f>IFERROR(E18*WeeksYear*(H18*INDEX(LC_Mult,MATCH("Canada",LC_Country,0)))+(z*SQRT(INDEX(SC_LT,MATCH("S01",SC_ID,0))*F18^2+E18^2*INDEX(SC_LTStd,MATCH("S01",SC_ID,0))^2)+E18*INDEX(SC_LT,MATCH("S01",SC_ID,0)))*(H18*INDEX(LC_Mult,MATCH("Canada",LC_Country,0)))*HoldRate,9.99E+99)</f>
        <v/>
      </c>
      <c r="Q18" s="34">
        <f>IFERROR((z*SQRT(INDEX(SC_LT,MATCH("S01",SC_ID,0))*F18^2+E18^2*INDEX(SC_LTStd,MATCH("S01",SC_ID,0))^2)+E18*INDEX(SC_LT,MATCH("S01",SC_ID,0)))*(H18*INDEX(LC_Mult,MATCH("Canada",LC_Country,0))),0)</f>
        <v/>
      </c>
      <c r="R18" s="36">
        <f>IF(L18=MIN(L18,N18,P18),"Mexico",IF(N18=MIN(L18,N18,P18),"USA","Canada"))</f>
        <v/>
      </c>
      <c r="S18" s="34">
        <f>MIN(L18,N18,P18)</f>
        <v/>
      </c>
      <c r="T18" s="34">
        <f>K18-S18</f>
        <v/>
      </c>
      <c r="U18" s="35">
        <f>IFERROR(T18/K18,0)</f>
        <v/>
      </c>
      <c r="V18" s="34">
        <f>J18-IF(L18=MIN(L18,N18,P18),M18,IF(N18=MIN(L18,N18,P18),O18,Q18))</f>
        <v/>
      </c>
      <c r="W18" s="36">
        <f>IF(T18&gt;0,"Nearshore: lower total cost",IF(U18&gt;=-LC_Premium,"Nearshore candidate: small premium for resilience","Keep offshore"))</f>
        <v/>
      </c>
      <c r="X18" s="51">
        <f>MATCH("NB-0001",P_SKU,0)</f>
        <v/>
      </c>
    </row>
    <row r="19">
      <c r="A19" s="30">
        <f>INDEX(P_SKU,$X19)</f>
        <v/>
      </c>
      <c r="B19" s="30">
        <f>INDEX(P_Name,$X19)</f>
        <v/>
      </c>
      <c r="C19" s="30">
        <f>INDEX(P_Sup,$X19)</f>
        <v/>
      </c>
      <c r="D19" s="36">
        <f>INDEX(Supplier_Scorecard!$C$5:$C$12,MATCH(C19,SC_ID,0))</f>
        <v/>
      </c>
      <c r="E19" s="33">
        <f>INDEX(P_Demand,$X19)</f>
        <v/>
      </c>
      <c r="F19" s="33">
        <f>INDEX(P_Std,$X19)</f>
        <v/>
      </c>
      <c r="G19" s="57">
        <f>INDEX(P_Cost,$X19)</f>
        <v/>
      </c>
      <c r="H19" s="57">
        <f>G19/INDEX(LC_Price,MATCH(D19,LC_Country,0))</f>
        <v/>
      </c>
      <c r="I19" s="57">
        <f>H19*INDEX(LC_Mult,MATCH(D19,LC_Country,0))</f>
        <v/>
      </c>
      <c r="J19" s="34">
        <f>(z*SQRT(INDEX(SC_LT,MATCH(C19,SC_ID,0))*F19^2+E19^2*INDEX(SC_LTStd,MATCH(C19,SC_ID,0))^2)+E19*INDEX(SC_LT,MATCH(C19,SC_ID,0)))*I19</f>
        <v/>
      </c>
      <c r="K19" s="34">
        <f>E19*WeeksYear*I19+(z*SQRT(INDEX(SC_LT,MATCH(C19,SC_ID,0))*F19^2+E19^2*INDEX(SC_LTStd,MATCH(C19,SC_ID,0))^2)+E19*INDEX(SC_LT,MATCH(C19,SC_ID,0)))*I19*HoldRate</f>
        <v/>
      </c>
      <c r="L19" s="34">
        <f>IFERROR(E19*WeeksYear*(H19*INDEX(LC_Mult,MATCH("Mexico",LC_Country,0)))+(z*SQRT(INDEX(SC_LT,MATCH("S04",SC_ID,0))*F19^2+E19^2*INDEX(SC_LTStd,MATCH("S04",SC_ID,0))^2)+E19*INDEX(SC_LT,MATCH("S04",SC_ID,0)))*(H19*INDEX(LC_Mult,MATCH("Mexico",LC_Country,0)))*HoldRate,9.99E+99)</f>
        <v/>
      </c>
      <c r="M19" s="34">
        <f>IFERROR((z*SQRT(INDEX(SC_LT,MATCH("S04",SC_ID,0))*F19^2+E19^2*INDEX(SC_LTStd,MATCH("S04",SC_ID,0))^2)+E19*INDEX(SC_LT,MATCH("S04",SC_ID,0)))*(H19*INDEX(LC_Mult,MATCH("Mexico",LC_Country,0))),0)</f>
        <v/>
      </c>
      <c r="N19" s="34">
        <f>IFERROR(E19*WeeksYear*(H19*INDEX(LC_Mult,MATCH("USA",LC_Country,0)))+(z*SQRT(INDEX(SC_LT,MATCH("S02",SC_ID,0))*F19^2+E19^2*INDEX(SC_LTStd,MATCH("S02",SC_ID,0))^2)+E19*INDEX(SC_LT,MATCH("S02",SC_ID,0)))*(H19*INDEX(LC_Mult,MATCH("USA",LC_Country,0)))*HoldRate,9.99E+99)</f>
        <v/>
      </c>
      <c r="O19" s="34">
        <f>IFERROR((z*SQRT(INDEX(SC_LT,MATCH("S02",SC_ID,0))*F19^2+E19^2*INDEX(SC_LTStd,MATCH("S02",SC_ID,0))^2)+E19*INDEX(SC_LT,MATCH("S02",SC_ID,0)))*(H19*INDEX(LC_Mult,MATCH("USA",LC_Country,0))),0)</f>
        <v/>
      </c>
      <c r="P19" s="34">
        <f>IFERROR(E19*WeeksYear*(H19*INDEX(LC_Mult,MATCH("Canada",LC_Country,0)))+(z*SQRT(INDEX(SC_LT,MATCH("S01",SC_ID,0))*F19^2+E19^2*INDEX(SC_LTStd,MATCH("S01",SC_ID,0))^2)+E19*INDEX(SC_LT,MATCH("S01",SC_ID,0)))*(H19*INDEX(LC_Mult,MATCH("Canada",LC_Country,0)))*HoldRate,9.99E+99)</f>
        <v/>
      </c>
      <c r="Q19" s="34">
        <f>IFERROR((z*SQRT(INDEX(SC_LT,MATCH("S01",SC_ID,0))*F19^2+E19^2*INDEX(SC_LTStd,MATCH("S01",SC_ID,0))^2)+E19*INDEX(SC_LT,MATCH("S01",SC_ID,0)))*(H19*INDEX(LC_Mult,MATCH("Canada",LC_Country,0))),0)</f>
        <v/>
      </c>
      <c r="R19" s="36">
        <f>IF(L19=MIN(L19,N19,P19),"Mexico",IF(N19=MIN(L19,N19,P19),"USA","Canada"))</f>
        <v/>
      </c>
      <c r="S19" s="34">
        <f>MIN(L19,N19,P19)</f>
        <v/>
      </c>
      <c r="T19" s="34">
        <f>K19-S19</f>
        <v/>
      </c>
      <c r="U19" s="35">
        <f>IFERROR(T19/K19,0)</f>
        <v/>
      </c>
      <c r="V19" s="34">
        <f>J19-IF(L19=MIN(L19,N19,P19),M19,IF(N19=MIN(L19,N19,P19),O19,Q19))</f>
        <v/>
      </c>
      <c r="W19" s="36">
        <f>IF(T19&gt;0,"Nearshore: lower total cost",IF(U19&gt;=-LC_Premium,"Nearshore candidate: small premium for resilience","Keep offshore"))</f>
        <v/>
      </c>
      <c r="X19" s="51">
        <f>MATCH("NB-0002",P_SKU,0)</f>
        <v/>
      </c>
    </row>
    <row r="20">
      <c r="A20" s="30">
        <f>INDEX(P_SKU,$X20)</f>
        <v/>
      </c>
      <c r="B20" s="30">
        <f>INDEX(P_Name,$X20)</f>
        <v/>
      </c>
      <c r="C20" s="30">
        <f>INDEX(P_Sup,$X20)</f>
        <v/>
      </c>
      <c r="D20" s="36">
        <f>INDEX(Supplier_Scorecard!$C$5:$C$12,MATCH(C20,SC_ID,0))</f>
        <v/>
      </c>
      <c r="E20" s="33">
        <f>INDEX(P_Demand,$X20)</f>
        <v/>
      </c>
      <c r="F20" s="33">
        <f>INDEX(P_Std,$X20)</f>
        <v/>
      </c>
      <c r="G20" s="57">
        <f>INDEX(P_Cost,$X20)</f>
        <v/>
      </c>
      <c r="H20" s="57">
        <f>G20/INDEX(LC_Price,MATCH(D20,LC_Country,0))</f>
        <v/>
      </c>
      <c r="I20" s="57">
        <f>H20*INDEX(LC_Mult,MATCH(D20,LC_Country,0))</f>
        <v/>
      </c>
      <c r="J20" s="34">
        <f>(z*SQRT(INDEX(SC_LT,MATCH(C20,SC_ID,0))*F20^2+E20^2*INDEX(SC_LTStd,MATCH(C20,SC_ID,0))^2)+E20*INDEX(SC_LT,MATCH(C20,SC_ID,0)))*I20</f>
        <v/>
      </c>
      <c r="K20" s="34">
        <f>E20*WeeksYear*I20+(z*SQRT(INDEX(SC_LT,MATCH(C20,SC_ID,0))*F20^2+E20^2*INDEX(SC_LTStd,MATCH(C20,SC_ID,0))^2)+E20*INDEX(SC_LT,MATCH(C20,SC_ID,0)))*I20*HoldRate</f>
        <v/>
      </c>
      <c r="L20" s="34">
        <f>IFERROR(E20*WeeksYear*(H20*INDEX(LC_Mult,MATCH("Mexico",LC_Country,0)))+(z*SQRT(INDEX(SC_LT,MATCH("S04",SC_ID,0))*F20^2+E20^2*INDEX(SC_LTStd,MATCH("S04",SC_ID,0))^2)+E20*INDEX(SC_LT,MATCH("S04",SC_ID,0)))*(H20*INDEX(LC_Mult,MATCH("Mexico",LC_Country,0)))*HoldRate,9.99E+99)</f>
        <v/>
      </c>
      <c r="M20" s="34">
        <f>IFERROR((z*SQRT(INDEX(SC_LT,MATCH("S04",SC_ID,0))*F20^2+E20^2*INDEX(SC_LTStd,MATCH("S04",SC_ID,0))^2)+E20*INDEX(SC_LT,MATCH("S04",SC_ID,0)))*(H20*INDEX(LC_Mult,MATCH("Mexico",LC_Country,0))),0)</f>
        <v/>
      </c>
      <c r="N20" s="34">
        <f>IFERROR(E20*WeeksYear*(H20*INDEX(LC_Mult,MATCH("USA",LC_Country,0)))+(z*SQRT(INDEX(SC_LT,MATCH("S02",SC_ID,0))*F20^2+E20^2*INDEX(SC_LTStd,MATCH("S02",SC_ID,0))^2)+E20*INDEX(SC_LT,MATCH("S02",SC_ID,0)))*(H20*INDEX(LC_Mult,MATCH("USA",LC_Country,0)))*HoldRate,9.99E+99)</f>
        <v/>
      </c>
      <c r="O20" s="34">
        <f>IFERROR((z*SQRT(INDEX(SC_LT,MATCH("S02",SC_ID,0))*F20^2+E20^2*INDEX(SC_LTStd,MATCH("S02",SC_ID,0))^2)+E20*INDEX(SC_LT,MATCH("S02",SC_ID,0)))*(H20*INDEX(LC_Mult,MATCH("USA",LC_Country,0))),0)</f>
        <v/>
      </c>
      <c r="P20" s="34">
        <f>IFERROR(E20*WeeksYear*(H20*INDEX(LC_Mult,MATCH("Canada",LC_Country,0)))+(z*SQRT(INDEX(SC_LT,MATCH("S01",SC_ID,0))*F20^2+E20^2*INDEX(SC_LTStd,MATCH("S01",SC_ID,0))^2)+E20*INDEX(SC_LT,MATCH("S01",SC_ID,0)))*(H20*INDEX(LC_Mult,MATCH("Canada",LC_Country,0)))*HoldRate,9.99E+99)</f>
        <v/>
      </c>
      <c r="Q20" s="34">
        <f>IFERROR((z*SQRT(INDEX(SC_LT,MATCH("S01",SC_ID,0))*F20^2+E20^2*INDEX(SC_LTStd,MATCH("S01",SC_ID,0))^2)+E20*INDEX(SC_LT,MATCH("S01",SC_ID,0)))*(H20*INDEX(LC_Mult,MATCH("Canada",LC_Country,0))),0)</f>
        <v/>
      </c>
      <c r="R20" s="36">
        <f>IF(L20=MIN(L20,N20,P20),"Mexico",IF(N20=MIN(L20,N20,P20),"USA","Canada"))</f>
        <v/>
      </c>
      <c r="S20" s="34">
        <f>MIN(L20,N20,P20)</f>
        <v/>
      </c>
      <c r="T20" s="34">
        <f>K20-S20</f>
        <v/>
      </c>
      <c r="U20" s="35">
        <f>IFERROR(T20/K20,0)</f>
        <v/>
      </c>
      <c r="V20" s="34">
        <f>J20-IF(L20=MIN(L20,N20,P20),M20,IF(N20=MIN(L20,N20,P20),O20,Q20))</f>
        <v/>
      </c>
      <c r="W20" s="36">
        <f>IF(T20&gt;0,"Nearshore: lower total cost",IF(U20&gt;=-LC_Premium,"Nearshore candidate: small premium for resilience","Keep offshore"))</f>
        <v/>
      </c>
      <c r="X20" s="51">
        <f>MATCH("NB-0004",P_SKU,0)</f>
        <v/>
      </c>
    </row>
    <row r="21">
      <c r="A21" s="30">
        <f>INDEX(P_SKU,$X21)</f>
        <v/>
      </c>
      <c r="B21" s="30">
        <f>INDEX(P_Name,$X21)</f>
        <v/>
      </c>
      <c r="C21" s="30">
        <f>INDEX(P_Sup,$X21)</f>
        <v/>
      </c>
      <c r="D21" s="36">
        <f>INDEX(Supplier_Scorecard!$C$5:$C$12,MATCH(C21,SC_ID,0))</f>
        <v/>
      </c>
      <c r="E21" s="33">
        <f>INDEX(P_Demand,$X21)</f>
        <v/>
      </c>
      <c r="F21" s="33">
        <f>INDEX(P_Std,$X21)</f>
        <v/>
      </c>
      <c r="G21" s="57">
        <f>INDEX(P_Cost,$X21)</f>
        <v/>
      </c>
      <c r="H21" s="57">
        <f>G21/INDEX(LC_Price,MATCH(D21,LC_Country,0))</f>
        <v/>
      </c>
      <c r="I21" s="57">
        <f>H21*INDEX(LC_Mult,MATCH(D21,LC_Country,0))</f>
        <v/>
      </c>
      <c r="J21" s="34">
        <f>(z*SQRT(INDEX(SC_LT,MATCH(C21,SC_ID,0))*F21^2+E21^2*INDEX(SC_LTStd,MATCH(C21,SC_ID,0))^2)+E21*INDEX(SC_LT,MATCH(C21,SC_ID,0)))*I21</f>
        <v/>
      </c>
      <c r="K21" s="34">
        <f>E21*WeeksYear*I21+(z*SQRT(INDEX(SC_LT,MATCH(C21,SC_ID,0))*F21^2+E21^2*INDEX(SC_LTStd,MATCH(C21,SC_ID,0))^2)+E21*INDEX(SC_LT,MATCH(C21,SC_ID,0)))*I21*HoldRate</f>
        <v/>
      </c>
      <c r="L21" s="34">
        <f>IFERROR(E21*WeeksYear*(H21*INDEX(LC_Mult,MATCH("Mexico",LC_Country,0)))+(z*SQRT(INDEX(SC_LT,MATCH("S04",SC_ID,0))*F21^2+E21^2*INDEX(SC_LTStd,MATCH("S04",SC_ID,0))^2)+E21*INDEX(SC_LT,MATCH("S04",SC_ID,0)))*(H21*INDEX(LC_Mult,MATCH("Mexico",LC_Country,0)))*HoldRate,9.99E+99)</f>
        <v/>
      </c>
      <c r="M21" s="34">
        <f>IFERROR((z*SQRT(INDEX(SC_LT,MATCH("S04",SC_ID,0))*F21^2+E21^2*INDEX(SC_LTStd,MATCH("S04",SC_ID,0))^2)+E21*INDEX(SC_LT,MATCH("S04",SC_ID,0)))*(H21*INDEX(LC_Mult,MATCH("Mexico",LC_Country,0))),0)</f>
        <v/>
      </c>
      <c r="N21" s="34">
        <f>IFERROR(E21*WeeksYear*(H21*INDEX(LC_Mult,MATCH("USA",LC_Country,0)))+(z*SQRT(INDEX(SC_LT,MATCH("S02",SC_ID,0))*F21^2+E21^2*INDEX(SC_LTStd,MATCH("S02",SC_ID,0))^2)+E21*INDEX(SC_LT,MATCH("S02",SC_ID,0)))*(H21*INDEX(LC_Mult,MATCH("USA",LC_Country,0)))*HoldRate,9.99E+99)</f>
        <v/>
      </c>
      <c r="O21" s="34">
        <f>IFERROR((z*SQRT(INDEX(SC_LT,MATCH("S02",SC_ID,0))*F21^2+E21^2*INDEX(SC_LTStd,MATCH("S02",SC_ID,0))^2)+E21*INDEX(SC_LT,MATCH("S02",SC_ID,0)))*(H21*INDEX(LC_Mult,MATCH("USA",LC_Country,0))),0)</f>
        <v/>
      </c>
      <c r="P21" s="34">
        <f>IFERROR(E21*WeeksYear*(H21*INDEX(LC_Mult,MATCH("Canada",LC_Country,0)))+(z*SQRT(INDEX(SC_LT,MATCH("S01",SC_ID,0))*F21^2+E21^2*INDEX(SC_LTStd,MATCH("S01",SC_ID,0))^2)+E21*INDEX(SC_LT,MATCH("S01",SC_ID,0)))*(H21*INDEX(LC_Mult,MATCH("Canada",LC_Country,0)))*HoldRate,9.99E+99)</f>
        <v/>
      </c>
      <c r="Q21" s="34">
        <f>IFERROR((z*SQRT(INDEX(SC_LT,MATCH("S01",SC_ID,0))*F21^2+E21^2*INDEX(SC_LTStd,MATCH("S01",SC_ID,0))^2)+E21*INDEX(SC_LT,MATCH("S01",SC_ID,0)))*(H21*INDEX(LC_Mult,MATCH("Canada",LC_Country,0))),0)</f>
        <v/>
      </c>
      <c r="R21" s="36">
        <f>IF(L21=MIN(L21,N21,P21),"Mexico",IF(N21=MIN(L21,N21,P21),"USA","Canada"))</f>
        <v/>
      </c>
      <c r="S21" s="34">
        <f>MIN(L21,N21,P21)</f>
        <v/>
      </c>
      <c r="T21" s="34">
        <f>K21-S21</f>
        <v/>
      </c>
      <c r="U21" s="35">
        <f>IFERROR(T21/K21,0)</f>
        <v/>
      </c>
      <c r="V21" s="34">
        <f>J21-IF(L21=MIN(L21,N21,P21),M21,IF(N21=MIN(L21,N21,P21),O21,Q21))</f>
        <v/>
      </c>
      <c r="W21" s="36">
        <f>IF(T21&gt;0,"Nearshore: lower total cost",IF(U21&gt;=-LC_Premium,"Nearshore candidate: small premium for resilience","Keep offshore"))</f>
        <v/>
      </c>
      <c r="X21" s="51">
        <f>MATCH("NB-0005",P_SKU,0)</f>
        <v/>
      </c>
    </row>
    <row r="22">
      <c r="A22" s="30">
        <f>INDEX(P_SKU,$X22)</f>
        <v/>
      </c>
      <c r="B22" s="30">
        <f>INDEX(P_Name,$X22)</f>
        <v/>
      </c>
      <c r="C22" s="30">
        <f>INDEX(P_Sup,$X22)</f>
        <v/>
      </c>
      <c r="D22" s="36">
        <f>INDEX(Supplier_Scorecard!$C$5:$C$12,MATCH(C22,SC_ID,0))</f>
        <v/>
      </c>
      <c r="E22" s="33">
        <f>INDEX(P_Demand,$X22)</f>
        <v/>
      </c>
      <c r="F22" s="33">
        <f>INDEX(P_Std,$X22)</f>
        <v/>
      </c>
      <c r="G22" s="57">
        <f>INDEX(P_Cost,$X22)</f>
        <v/>
      </c>
      <c r="H22" s="57">
        <f>G22/INDEX(LC_Price,MATCH(D22,LC_Country,0))</f>
        <v/>
      </c>
      <c r="I22" s="57">
        <f>H22*INDEX(LC_Mult,MATCH(D22,LC_Country,0))</f>
        <v/>
      </c>
      <c r="J22" s="34">
        <f>(z*SQRT(INDEX(SC_LT,MATCH(C22,SC_ID,0))*F22^2+E22^2*INDEX(SC_LTStd,MATCH(C22,SC_ID,0))^2)+E22*INDEX(SC_LT,MATCH(C22,SC_ID,0)))*I22</f>
        <v/>
      </c>
      <c r="K22" s="34">
        <f>E22*WeeksYear*I22+(z*SQRT(INDEX(SC_LT,MATCH(C22,SC_ID,0))*F22^2+E22^2*INDEX(SC_LTStd,MATCH(C22,SC_ID,0))^2)+E22*INDEX(SC_LT,MATCH(C22,SC_ID,0)))*I22*HoldRate</f>
        <v/>
      </c>
      <c r="L22" s="34">
        <f>IFERROR(E22*WeeksYear*(H22*INDEX(LC_Mult,MATCH("Mexico",LC_Country,0)))+(z*SQRT(INDEX(SC_LT,MATCH("S04",SC_ID,0))*F22^2+E22^2*INDEX(SC_LTStd,MATCH("S04",SC_ID,0))^2)+E22*INDEX(SC_LT,MATCH("S04",SC_ID,0)))*(H22*INDEX(LC_Mult,MATCH("Mexico",LC_Country,0)))*HoldRate,9.99E+99)</f>
        <v/>
      </c>
      <c r="M22" s="34">
        <f>IFERROR((z*SQRT(INDEX(SC_LT,MATCH("S04",SC_ID,0))*F22^2+E22^2*INDEX(SC_LTStd,MATCH("S04",SC_ID,0))^2)+E22*INDEX(SC_LT,MATCH("S04",SC_ID,0)))*(H22*INDEX(LC_Mult,MATCH("Mexico",LC_Country,0))),0)</f>
        <v/>
      </c>
      <c r="N22" s="34">
        <f>IFERROR(E22*WeeksYear*(H22*INDEX(LC_Mult,MATCH("USA",LC_Country,0)))+(z*SQRT(INDEX(SC_LT,MATCH("S02",SC_ID,0))*F22^2+E22^2*INDEX(SC_LTStd,MATCH("S02",SC_ID,0))^2)+E22*INDEX(SC_LT,MATCH("S02",SC_ID,0)))*(H22*INDEX(LC_Mult,MATCH("USA",LC_Country,0)))*HoldRate,9.99E+99)</f>
        <v/>
      </c>
      <c r="O22" s="34">
        <f>IFERROR((z*SQRT(INDEX(SC_LT,MATCH("S02",SC_ID,0))*F22^2+E22^2*INDEX(SC_LTStd,MATCH("S02",SC_ID,0))^2)+E22*INDEX(SC_LT,MATCH("S02",SC_ID,0)))*(H22*INDEX(LC_Mult,MATCH("USA",LC_Country,0))),0)</f>
        <v/>
      </c>
      <c r="P22" s="34">
        <f>IFERROR(E22*WeeksYear*(H22*INDEX(LC_Mult,MATCH("Canada",LC_Country,0)))+(z*SQRT(INDEX(SC_LT,MATCH("S01",SC_ID,0))*F22^2+E22^2*INDEX(SC_LTStd,MATCH("S01",SC_ID,0))^2)+E22*INDEX(SC_LT,MATCH("S01",SC_ID,0)))*(H22*INDEX(LC_Mult,MATCH("Canada",LC_Country,0)))*HoldRate,9.99E+99)</f>
        <v/>
      </c>
      <c r="Q22" s="34">
        <f>IFERROR((z*SQRT(INDEX(SC_LT,MATCH("S01",SC_ID,0))*F22^2+E22^2*INDEX(SC_LTStd,MATCH("S01",SC_ID,0))^2)+E22*INDEX(SC_LT,MATCH("S01",SC_ID,0)))*(H22*INDEX(LC_Mult,MATCH("Canada",LC_Country,0))),0)</f>
        <v/>
      </c>
      <c r="R22" s="36">
        <f>IF(L22=MIN(L22,N22,P22),"Mexico",IF(N22=MIN(L22,N22,P22),"USA","Canada"))</f>
        <v/>
      </c>
      <c r="S22" s="34">
        <f>MIN(L22,N22,P22)</f>
        <v/>
      </c>
      <c r="T22" s="34">
        <f>K22-S22</f>
        <v/>
      </c>
      <c r="U22" s="35">
        <f>IFERROR(T22/K22,0)</f>
        <v/>
      </c>
      <c r="V22" s="34">
        <f>J22-IF(L22=MIN(L22,N22,P22),M22,IF(N22=MIN(L22,N22,P22),O22,Q22))</f>
        <v/>
      </c>
      <c r="W22" s="36">
        <f>IF(T22&gt;0,"Nearshore: lower total cost",IF(U22&gt;=-LC_Premium,"Nearshore candidate: small premium for resilience","Keep offshore"))</f>
        <v/>
      </c>
      <c r="X22" s="51">
        <f>MATCH("NB-0007",P_SKU,0)</f>
        <v/>
      </c>
    </row>
    <row r="23">
      <c r="A23" s="30">
        <f>INDEX(P_SKU,$X23)</f>
        <v/>
      </c>
      <c r="B23" s="30">
        <f>INDEX(P_Name,$X23)</f>
        <v/>
      </c>
      <c r="C23" s="30">
        <f>INDEX(P_Sup,$X23)</f>
        <v/>
      </c>
      <c r="D23" s="36">
        <f>INDEX(Supplier_Scorecard!$C$5:$C$12,MATCH(C23,SC_ID,0))</f>
        <v/>
      </c>
      <c r="E23" s="33">
        <f>INDEX(P_Demand,$X23)</f>
        <v/>
      </c>
      <c r="F23" s="33">
        <f>INDEX(P_Std,$X23)</f>
        <v/>
      </c>
      <c r="G23" s="57">
        <f>INDEX(P_Cost,$X23)</f>
        <v/>
      </c>
      <c r="H23" s="57">
        <f>G23/INDEX(LC_Price,MATCH(D23,LC_Country,0))</f>
        <v/>
      </c>
      <c r="I23" s="57">
        <f>H23*INDEX(LC_Mult,MATCH(D23,LC_Country,0))</f>
        <v/>
      </c>
      <c r="J23" s="34">
        <f>(z*SQRT(INDEX(SC_LT,MATCH(C23,SC_ID,0))*F23^2+E23^2*INDEX(SC_LTStd,MATCH(C23,SC_ID,0))^2)+E23*INDEX(SC_LT,MATCH(C23,SC_ID,0)))*I23</f>
        <v/>
      </c>
      <c r="K23" s="34">
        <f>E23*WeeksYear*I23+(z*SQRT(INDEX(SC_LT,MATCH(C23,SC_ID,0))*F23^2+E23^2*INDEX(SC_LTStd,MATCH(C23,SC_ID,0))^2)+E23*INDEX(SC_LT,MATCH(C23,SC_ID,0)))*I23*HoldRate</f>
        <v/>
      </c>
      <c r="L23" s="34">
        <f>IFERROR(E23*WeeksYear*(H23*INDEX(LC_Mult,MATCH("Mexico",LC_Country,0)))+(z*SQRT(INDEX(SC_LT,MATCH("S04",SC_ID,0))*F23^2+E23^2*INDEX(SC_LTStd,MATCH("S04",SC_ID,0))^2)+E23*INDEX(SC_LT,MATCH("S04",SC_ID,0)))*(H23*INDEX(LC_Mult,MATCH("Mexico",LC_Country,0)))*HoldRate,9.99E+99)</f>
        <v/>
      </c>
      <c r="M23" s="34">
        <f>IFERROR((z*SQRT(INDEX(SC_LT,MATCH("S04",SC_ID,0))*F23^2+E23^2*INDEX(SC_LTStd,MATCH("S04",SC_ID,0))^2)+E23*INDEX(SC_LT,MATCH("S04",SC_ID,0)))*(H23*INDEX(LC_Mult,MATCH("Mexico",LC_Country,0))),0)</f>
        <v/>
      </c>
      <c r="N23" s="34">
        <f>IFERROR(E23*WeeksYear*(H23*INDEX(LC_Mult,MATCH("USA",LC_Country,0)))+(z*SQRT(INDEX(SC_LT,MATCH("S02",SC_ID,0))*F23^2+E23^2*INDEX(SC_LTStd,MATCH("S02",SC_ID,0))^2)+E23*INDEX(SC_LT,MATCH("S02",SC_ID,0)))*(H23*INDEX(LC_Mult,MATCH("USA",LC_Country,0)))*HoldRate,9.99E+99)</f>
        <v/>
      </c>
      <c r="O23" s="34">
        <f>IFERROR((z*SQRT(INDEX(SC_LT,MATCH("S02",SC_ID,0))*F23^2+E23^2*INDEX(SC_LTStd,MATCH("S02",SC_ID,0))^2)+E23*INDEX(SC_LT,MATCH("S02",SC_ID,0)))*(H23*INDEX(LC_Mult,MATCH("USA",LC_Country,0))),0)</f>
        <v/>
      </c>
      <c r="P23" s="34">
        <f>IFERROR(E23*WeeksYear*(H23*INDEX(LC_Mult,MATCH("Canada",LC_Country,0)))+(z*SQRT(INDEX(SC_LT,MATCH("S01",SC_ID,0))*F23^2+E23^2*INDEX(SC_LTStd,MATCH("S01",SC_ID,0))^2)+E23*INDEX(SC_LT,MATCH("S01",SC_ID,0)))*(H23*INDEX(LC_Mult,MATCH("Canada",LC_Country,0)))*HoldRate,9.99E+99)</f>
        <v/>
      </c>
      <c r="Q23" s="34">
        <f>IFERROR((z*SQRT(INDEX(SC_LT,MATCH("S01",SC_ID,0))*F23^2+E23^2*INDEX(SC_LTStd,MATCH("S01",SC_ID,0))^2)+E23*INDEX(SC_LT,MATCH("S01",SC_ID,0)))*(H23*INDEX(LC_Mult,MATCH("Canada",LC_Country,0))),0)</f>
        <v/>
      </c>
      <c r="R23" s="36">
        <f>IF(L23=MIN(L23,N23,P23),"Mexico",IF(N23=MIN(L23,N23,P23),"USA","Canada"))</f>
        <v/>
      </c>
      <c r="S23" s="34">
        <f>MIN(L23,N23,P23)</f>
        <v/>
      </c>
      <c r="T23" s="34">
        <f>K23-S23</f>
        <v/>
      </c>
      <c r="U23" s="35">
        <f>IFERROR(T23/K23,0)</f>
        <v/>
      </c>
      <c r="V23" s="34">
        <f>J23-IF(L23=MIN(L23,N23,P23),M23,IF(N23=MIN(L23,N23,P23),O23,Q23))</f>
        <v/>
      </c>
      <c r="W23" s="36">
        <f>IF(T23&gt;0,"Nearshore: lower total cost",IF(U23&gt;=-LC_Premium,"Nearshore candidate: small premium for resilience","Keep offshore"))</f>
        <v/>
      </c>
      <c r="X23" s="51">
        <f>MATCH("NB-0008",P_SKU,0)</f>
        <v/>
      </c>
    </row>
    <row r="24">
      <c r="A24" s="30">
        <f>INDEX(P_SKU,$X24)</f>
        <v/>
      </c>
      <c r="B24" s="30">
        <f>INDEX(P_Name,$X24)</f>
        <v/>
      </c>
      <c r="C24" s="30">
        <f>INDEX(P_Sup,$X24)</f>
        <v/>
      </c>
      <c r="D24" s="36">
        <f>INDEX(Supplier_Scorecard!$C$5:$C$12,MATCH(C24,SC_ID,0))</f>
        <v/>
      </c>
      <c r="E24" s="33">
        <f>INDEX(P_Demand,$X24)</f>
        <v/>
      </c>
      <c r="F24" s="33">
        <f>INDEX(P_Std,$X24)</f>
        <v/>
      </c>
      <c r="G24" s="57">
        <f>INDEX(P_Cost,$X24)</f>
        <v/>
      </c>
      <c r="H24" s="57">
        <f>G24/INDEX(LC_Price,MATCH(D24,LC_Country,0))</f>
        <v/>
      </c>
      <c r="I24" s="57">
        <f>H24*INDEX(LC_Mult,MATCH(D24,LC_Country,0))</f>
        <v/>
      </c>
      <c r="J24" s="34">
        <f>(z*SQRT(INDEX(SC_LT,MATCH(C24,SC_ID,0))*F24^2+E24^2*INDEX(SC_LTStd,MATCH(C24,SC_ID,0))^2)+E24*INDEX(SC_LT,MATCH(C24,SC_ID,0)))*I24</f>
        <v/>
      </c>
      <c r="K24" s="34">
        <f>E24*WeeksYear*I24+(z*SQRT(INDEX(SC_LT,MATCH(C24,SC_ID,0))*F24^2+E24^2*INDEX(SC_LTStd,MATCH(C24,SC_ID,0))^2)+E24*INDEX(SC_LT,MATCH(C24,SC_ID,0)))*I24*HoldRate</f>
        <v/>
      </c>
      <c r="L24" s="34">
        <f>IFERROR(E24*WeeksYear*(H24*INDEX(LC_Mult,MATCH("Mexico",LC_Country,0)))+(z*SQRT(INDEX(SC_LT,MATCH("S04",SC_ID,0))*F24^2+E24^2*INDEX(SC_LTStd,MATCH("S04",SC_ID,0))^2)+E24*INDEX(SC_LT,MATCH("S04",SC_ID,0)))*(H24*INDEX(LC_Mult,MATCH("Mexico",LC_Country,0)))*HoldRate,9.99E+99)</f>
        <v/>
      </c>
      <c r="M24" s="34">
        <f>IFERROR((z*SQRT(INDEX(SC_LT,MATCH("S04",SC_ID,0))*F24^2+E24^2*INDEX(SC_LTStd,MATCH("S04",SC_ID,0))^2)+E24*INDEX(SC_LT,MATCH("S04",SC_ID,0)))*(H24*INDEX(LC_Mult,MATCH("Mexico",LC_Country,0))),0)</f>
        <v/>
      </c>
      <c r="N24" s="34">
        <f>IFERROR(E24*WeeksYear*(H24*INDEX(LC_Mult,MATCH("USA",LC_Country,0)))+(z*SQRT(INDEX(SC_LT,MATCH("S02",SC_ID,0))*F24^2+E24^2*INDEX(SC_LTStd,MATCH("S02",SC_ID,0))^2)+E24*INDEX(SC_LT,MATCH("S02",SC_ID,0)))*(H24*INDEX(LC_Mult,MATCH("USA",LC_Country,0)))*HoldRate,9.99E+99)</f>
        <v/>
      </c>
      <c r="O24" s="34">
        <f>IFERROR((z*SQRT(INDEX(SC_LT,MATCH("S02",SC_ID,0))*F24^2+E24^2*INDEX(SC_LTStd,MATCH("S02",SC_ID,0))^2)+E24*INDEX(SC_LT,MATCH("S02",SC_ID,0)))*(H24*INDEX(LC_Mult,MATCH("USA",LC_Country,0))),0)</f>
        <v/>
      </c>
      <c r="P24" s="34">
        <f>IFERROR(E24*WeeksYear*(H24*INDEX(LC_Mult,MATCH("Canada",LC_Country,0)))+(z*SQRT(INDEX(SC_LT,MATCH("S01",SC_ID,0))*F24^2+E24^2*INDEX(SC_LTStd,MATCH("S01",SC_ID,0))^2)+E24*INDEX(SC_LT,MATCH("S01",SC_ID,0)))*(H24*INDEX(LC_Mult,MATCH("Canada",LC_Country,0)))*HoldRate,9.99E+99)</f>
        <v/>
      </c>
      <c r="Q24" s="34">
        <f>IFERROR((z*SQRT(INDEX(SC_LT,MATCH("S01",SC_ID,0))*F24^2+E24^2*INDEX(SC_LTStd,MATCH("S01",SC_ID,0))^2)+E24*INDEX(SC_LT,MATCH("S01",SC_ID,0)))*(H24*INDEX(LC_Mult,MATCH("Canada",LC_Country,0))),0)</f>
        <v/>
      </c>
      <c r="R24" s="36">
        <f>IF(L24=MIN(L24,N24,P24),"Mexico",IF(N24=MIN(L24,N24,P24),"USA","Canada"))</f>
        <v/>
      </c>
      <c r="S24" s="34">
        <f>MIN(L24,N24,P24)</f>
        <v/>
      </c>
      <c r="T24" s="34">
        <f>K24-S24</f>
        <v/>
      </c>
      <c r="U24" s="35">
        <f>IFERROR(T24/K24,0)</f>
        <v/>
      </c>
      <c r="V24" s="34">
        <f>J24-IF(L24=MIN(L24,N24,P24),M24,IF(N24=MIN(L24,N24,P24),O24,Q24))</f>
        <v/>
      </c>
      <c r="W24" s="36">
        <f>IF(T24&gt;0,"Nearshore: lower total cost",IF(U24&gt;=-LC_Premium,"Nearshore candidate: small premium for resilience","Keep offshore"))</f>
        <v/>
      </c>
      <c r="X24" s="51">
        <f>MATCH("NB-0009",P_SKU,0)</f>
        <v/>
      </c>
    </row>
    <row r="25">
      <c r="A25" s="30">
        <f>INDEX(P_SKU,$X25)</f>
        <v/>
      </c>
      <c r="B25" s="30">
        <f>INDEX(P_Name,$X25)</f>
        <v/>
      </c>
      <c r="C25" s="30">
        <f>INDEX(P_Sup,$X25)</f>
        <v/>
      </c>
      <c r="D25" s="36">
        <f>INDEX(Supplier_Scorecard!$C$5:$C$12,MATCH(C25,SC_ID,0))</f>
        <v/>
      </c>
      <c r="E25" s="33">
        <f>INDEX(P_Demand,$X25)</f>
        <v/>
      </c>
      <c r="F25" s="33">
        <f>INDEX(P_Std,$X25)</f>
        <v/>
      </c>
      <c r="G25" s="57">
        <f>INDEX(P_Cost,$X25)</f>
        <v/>
      </c>
      <c r="H25" s="57">
        <f>G25/INDEX(LC_Price,MATCH(D25,LC_Country,0))</f>
        <v/>
      </c>
      <c r="I25" s="57">
        <f>H25*INDEX(LC_Mult,MATCH(D25,LC_Country,0))</f>
        <v/>
      </c>
      <c r="J25" s="34">
        <f>(z*SQRT(INDEX(SC_LT,MATCH(C25,SC_ID,0))*F25^2+E25^2*INDEX(SC_LTStd,MATCH(C25,SC_ID,0))^2)+E25*INDEX(SC_LT,MATCH(C25,SC_ID,0)))*I25</f>
        <v/>
      </c>
      <c r="K25" s="34">
        <f>E25*WeeksYear*I25+(z*SQRT(INDEX(SC_LT,MATCH(C25,SC_ID,0))*F25^2+E25^2*INDEX(SC_LTStd,MATCH(C25,SC_ID,0))^2)+E25*INDEX(SC_LT,MATCH(C25,SC_ID,0)))*I25*HoldRate</f>
        <v/>
      </c>
      <c r="L25" s="34">
        <f>IFERROR(E25*WeeksYear*(H25*INDEX(LC_Mult,MATCH("Mexico",LC_Country,0)))+(z*SQRT(INDEX(SC_LT,MATCH("S04",SC_ID,0))*F25^2+E25^2*INDEX(SC_LTStd,MATCH("S04",SC_ID,0))^2)+E25*INDEX(SC_LT,MATCH("S04",SC_ID,0)))*(H25*INDEX(LC_Mult,MATCH("Mexico",LC_Country,0)))*HoldRate,9.99E+99)</f>
        <v/>
      </c>
      <c r="M25" s="34">
        <f>IFERROR((z*SQRT(INDEX(SC_LT,MATCH("S04",SC_ID,0))*F25^2+E25^2*INDEX(SC_LTStd,MATCH("S04",SC_ID,0))^2)+E25*INDEX(SC_LT,MATCH("S04",SC_ID,0)))*(H25*INDEX(LC_Mult,MATCH("Mexico",LC_Country,0))),0)</f>
        <v/>
      </c>
      <c r="N25" s="34">
        <f>IFERROR(E25*WeeksYear*(H25*INDEX(LC_Mult,MATCH("USA",LC_Country,0)))+(z*SQRT(INDEX(SC_LT,MATCH("S02",SC_ID,0))*F25^2+E25^2*INDEX(SC_LTStd,MATCH("S02",SC_ID,0))^2)+E25*INDEX(SC_LT,MATCH("S02",SC_ID,0)))*(H25*INDEX(LC_Mult,MATCH("USA",LC_Country,0)))*HoldRate,9.99E+99)</f>
        <v/>
      </c>
      <c r="O25" s="34">
        <f>IFERROR((z*SQRT(INDEX(SC_LT,MATCH("S02",SC_ID,0))*F25^2+E25^2*INDEX(SC_LTStd,MATCH("S02",SC_ID,0))^2)+E25*INDEX(SC_LT,MATCH("S02",SC_ID,0)))*(H25*INDEX(LC_Mult,MATCH("USA",LC_Country,0))),0)</f>
        <v/>
      </c>
      <c r="P25" s="34">
        <f>IFERROR(E25*WeeksYear*(H25*INDEX(LC_Mult,MATCH("Canada",LC_Country,0)))+(z*SQRT(INDEX(SC_LT,MATCH("S01",SC_ID,0))*F25^2+E25^2*INDEX(SC_LTStd,MATCH("S01",SC_ID,0))^2)+E25*INDEX(SC_LT,MATCH("S01",SC_ID,0)))*(H25*INDEX(LC_Mult,MATCH("Canada",LC_Country,0)))*HoldRate,9.99E+99)</f>
        <v/>
      </c>
      <c r="Q25" s="34">
        <f>IFERROR((z*SQRT(INDEX(SC_LT,MATCH("S01",SC_ID,0))*F25^2+E25^2*INDEX(SC_LTStd,MATCH("S01",SC_ID,0))^2)+E25*INDEX(SC_LT,MATCH("S01",SC_ID,0)))*(H25*INDEX(LC_Mult,MATCH("Canada",LC_Country,0))),0)</f>
        <v/>
      </c>
      <c r="R25" s="36">
        <f>IF(L25=MIN(L25,N25,P25),"Mexico",IF(N25=MIN(L25,N25,P25),"USA","Canada"))</f>
        <v/>
      </c>
      <c r="S25" s="34">
        <f>MIN(L25,N25,P25)</f>
        <v/>
      </c>
      <c r="T25" s="34">
        <f>K25-S25</f>
        <v/>
      </c>
      <c r="U25" s="35">
        <f>IFERROR(T25/K25,0)</f>
        <v/>
      </c>
      <c r="V25" s="34">
        <f>J25-IF(L25=MIN(L25,N25,P25),M25,IF(N25=MIN(L25,N25,P25),O25,Q25))</f>
        <v/>
      </c>
      <c r="W25" s="36">
        <f>IF(T25&gt;0,"Nearshore: lower total cost",IF(U25&gt;=-LC_Premium,"Nearshore candidate: small premium for resilience","Keep offshore"))</f>
        <v/>
      </c>
      <c r="X25" s="51">
        <f>MATCH("NB-0013",P_SKU,0)</f>
        <v/>
      </c>
    </row>
    <row r="26">
      <c r="A26" s="30">
        <f>INDEX(P_SKU,$X26)</f>
        <v/>
      </c>
      <c r="B26" s="30">
        <f>INDEX(P_Name,$X26)</f>
        <v/>
      </c>
      <c r="C26" s="30">
        <f>INDEX(P_Sup,$X26)</f>
        <v/>
      </c>
      <c r="D26" s="36">
        <f>INDEX(Supplier_Scorecard!$C$5:$C$12,MATCH(C26,SC_ID,0))</f>
        <v/>
      </c>
      <c r="E26" s="33">
        <f>INDEX(P_Demand,$X26)</f>
        <v/>
      </c>
      <c r="F26" s="33">
        <f>INDEX(P_Std,$X26)</f>
        <v/>
      </c>
      <c r="G26" s="57">
        <f>INDEX(P_Cost,$X26)</f>
        <v/>
      </c>
      <c r="H26" s="57">
        <f>G26/INDEX(LC_Price,MATCH(D26,LC_Country,0))</f>
        <v/>
      </c>
      <c r="I26" s="57">
        <f>H26*INDEX(LC_Mult,MATCH(D26,LC_Country,0))</f>
        <v/>
      </c>
      <c r="J26" s="34">
        <f>(z*SQRT(INDEX(SC_LT,MATCH(C26,SC_ID,0))*F26^2+E26^2*INDEX(SC_LTStd,MATCH(C26,SC_ID,0))^2)+E26*INDEX(SC_LT,MATCH(C26,SC_ID,0)))*I26</f>
        <v/>
      </c>
      <c r="K26" s="34">
        <f>E26*WeeksYear*I26+(z*SQRT(INDEX(SC_LT,MATCH(C26,SC_ID,0))*F26^2+E26^2*INDEX(SC_LTStd,MATCH(C26,SC_ID,0))^2)+E26*INDEX(SC_LT,MATCH(C26,SC_ID,0)))*I26*HoldRate</f>
        <v/>
      </c>
      <c r="L26" s="34">
        <f>IFERROR(E26*WeeksYear*(H26*INDEX(LC_Mult,MATCH("Mexico",LC_Country,0)))+(z*SQRT(INDEX(SC_LT,MATCH("S04",SC_ID,0))*F26^2+E26^2*INDEX(SC_LTStd,MATCH("S04",SC_ID,0))^2)+E26*INDEX(SC_LT,MATCH("S04",SC_ID,0)))*(H26*INDEX(LC_Mult,MATCH("Mexico",LC_Country,0)))*HoldRate,9.99E+99)</f>
        <v/>
      </c>
      <c r="M26" s="34">
        <f>IFERROR((z*SQRT(INDEX(SC_LT,MATCH("S04",SC_ID,0))*F26^2+E26^2*INDEX(SC_LTStd,MATCH("S04",SC_ID,0))^2)+E26*INDEX(SC_LT,MATCH("S04",SC_ID,0)))*(H26*INDEX(LC_Mult,MATCH("Mexico",LC_Country,0))),0)</f>
        <v/>
      </c>
      <c r="N26" s="34">
        <f>IFERROR(E26*WeeksYear*(H26*INDEX(LC_Mult,MATCH("USA",LC_Country,0)))+(z*SQRT(INDEX(SC_LT,MATCH("S02",SC_ID,0))*F26^2+E26^2*INDEX(SC_LTStd,MATCH("S02",SC_ID,0))^2)+E26*INDEX(SC_LT,MATCH("S02",SC_ID,0)))*(H26*INDEX(LC_Mult,MATCH("USA",LC_Country,0)))*HoldRate,9.99E+99)</f>
        <v/>
      </c>
      <c r="O26" s="34">
        <f>IFERROR((z*SQRT(INDEX(SC_LT,MATCH("S02",SC_ID,0))*F26^2+E26^2*INDEX(SC_LTStd,MATCH("S02",SC_ID,0))^2)+E26*INDEX(SC_LT,MATCH("S02",SC_ID,0)))*(H26*INDEX(LC_Mult,MATCH("USA",LC_Country,0))),0)</f>
        <v/>
      </c>
      <c r="P26" s="34">
        <f>IFERROR(E26*WeeksYear*(H26*INDEX(LC_Mult,MATCH("Canada",LC_Country,0)))+(z*SQRT(INDEX(SC_LT,MATCH("S01",SC_ID,0))*F26^2+E26^2*INDEX(SC_LTStd,MATCH("S01",SC_ID,0))^2)+E26*INDEX(SC_LT,MATCH("S01",SC_ID,0)))*(H26*INDEX(LC_Mult,MATCH("Canada",LC_Country,0)))*HoldRate,9.99E+99)</f>
        <v/>
      </c>
      <c r="Q26" s="34">
        <f>IFERROR((z*SQRT(INDEX(SC_LT,MATCH("S01",SC_ID,0))*F26^2+E26^2*INDEX(SC_LTStd,MATCH("S01",SC_ID,0))^2)+E26*INDEX(SC_LT,MATCH("S01",SC_ID,0)))*(H26*INDEX(LC_Mult,MATCH("Canada",LC_Country,0))),0)</f>
        <v/>
      </c>
      <c r="R26" s="36">
        <f>IF(L26=MIN(L26,N26,P26),"Mexico",IF(N26=MIN(L26,N26,P26),"USA","Canada"))</f>
        <v/>
      </c>
      <c r="S26" s="34">
        <f>MIN(L26,N26,P26)</f>
        <v/>
      </c>
      <c r="T26" s="34">
        <f>K26-S26</f>
        <v/>
      </c>
      <c r="U26" s="35">
        <f>IFERROR(T26/K26,0)</f>
        <v/>
      </c>
      <c r="V26" s="34">
        <f>J26-IF(L26=MIN(L26,N26,P26),M26,IF(N26=MIN(L26,N26,P26),O26,Q26))</f>
        <v/>
      </c>
      <c r="W26" s="36">
        <f>IF(T26&gt;0,"Nearshore: lower total cost",IF(U26&gt;=-LC_Premium,"Nearshore candidate: small premium for resilience","Keep offshore"))</f>
        <v/>
      </c>
      <c r="X26" s="51">
        <f>MATCH("NB-0017",P_SKU,0)</f>
        <v/>
      </c>
    </row>
    <row r="27">
      <c r="A27" s="30">
        <f>INDEX(P_SKU,$X27)</f>
        <v/>
      </c>
      <c r="B27" s="30">
        <f>INDEX(P_Name,$X27)</f>
        <v/>
      </c>
      <c r="C27" s="30">
        <f>INDEX(P_Sup,$X27)</f>
        <v/>
      </c>
      <c r="D27" s="36">
        <f>INDEX(Supplier_Scorecard!$C$5:$C$12,MATCH(C27,SC_ID,0))</f>
        <v/>
      </c>
      <c r="E27" s="33">
        <f>INDEX(P_Demand,$X27)</f>
        <v/>
      </c>
      <c r="F27" s="33">
        <f>INDEX(P_Std,$X27)</f>
        <v/>
      </c>
      <c r="G27" s="57">
        <f>INDEX(P_Cost,$X27)</f>
        <v/>
      </c>
      <c r="H27" s="57">
        <f>G27/INDEX(LC_Price,MATCH(D27,LC_Country,0))</f>
        <v/>
      </c>
      <c r="I27" s="57">
        <f>H27*INDEX(LC_Mult,MATCH(D27,LC_Country,0))</f>
        <v/>
      </c>
      <c r="J27" s="34">
        <f>(z*SQRT(INDEX(SC_LT,MATCH(C27,SC_ID,0))*F27^2+E27^2*INDEX(SC_LTStd,MATCH(C27,SC_ID,0))^2)+E27*INDEX(SC_LT,MATCH(C27,SC_ID,0)))*I27</f>
        <v/>
      </c>
      <c r="K27" s="34">
        <f>E27*WeeksYear*I27+(z*SQRT(INDEX(SC_LT,MATCH(C27,SC_ID,0))*F27^2+E27^2*INDEX(SC_LTStd,MATCH(C27,SC_ID,0))^2)+E27*INDEX(SC_LT,MATCH(C27,SC_ID,0)))*I27*HoldRate</f>
        <v/>
      </c>
      <c r="L27" s="34">
        <f>IFERROR(E27*WeeksYear*(H27*INDEX(LC_Mult,MATCH("Mexico",LC_Country,0)))+(z*SQRT(INDEX(SC_LT,MATCH("S04",SC_ID,0))*F27^2+E27^2*INDEX(SC_LTStd,MATCH("S04",SC_ID,0))^2)+E27*INDEX(SC_LT,MATCH("S04",SC_ID,0)))*(H27*INDEX(LC_Mult,MATCH("Mexico",LC_Country,0)))*HoldRate,9.99E+99)</f>
        <v/>
      </c>
      <c r="M27" s="34">
        <f>IFERROR((z*SQRT(INDEX(SC_LT,MATCH("S04",SC_ID,0))*F27^2+E27^2*INDEX(SC_LTStd,MATCH("S04",SC_ID,0))^2)+E27*INDEX(SC_LT,MATCH("S04",SC_ID,0)))*(H27*INDEX(LC_Mult,MATCH("Mexico",LC_Country,0))),0)</f>
        <v/>
      </c>
      <c r="N27" s="34">
        <f>IFERROR(E27*WeeksYear*(H27*INDEX(LC_Mult,MATCH("USA",LC_Country,0)))+(z*SQRT(INDEX(SC_LT,MATCH("S02",SC_ID,0))*F27^2+E27^2*INDEX(SC_LTStd,MATCH("S02",SC_ID,0))^2)+E27*INDEX(SC_LT,MATCH("S02",SC_ID,0)))*(H27*INDEX(LC_Mult,MATCH("USA",LC_Country,0)))*HoldRate,9.99E+99)</f>
        <v/>
      </c>
      <c r="O27" s="34">
        <f>IFERROR((z*SQRT(INDEX(SC_LT,MATCH("S02",SC_ID,0))*F27^2+E27^2*INDEX(SC_LTStd,MATCH("S02",SC_ID,0))^2)+E27*INDEX(SC_LT,MATCH("S02",SC_ID,0)))*(H27*INDEX(LC_Mult,MATCH("USA",LC_Country,0))),0)</f>
        <v/>
      </c>
      <c r="P27" s="34">
        <f>IFERROR(E27*WeeksYear*(H27*INDEX(LC_Mult,MATCH("Canada",LC_Country,0)))+(z*SQRT(INDEX(SC_LT,MATCH("S01",SC_ID,0))*F27^2+E27^2*INDEX(SC_LTStd,MATCH("S01",SC_ID,0))^2)+E27*INDEX(SC_LT,MATCH("S01",SC_ID,0)))*(H27*INDEX(LC_Mult,MATCH("Canada",LC_Country,0)))*HoldRate,9.99E+99)</f>
        <v/>
      </c>
      <c r="Q27" s="34">
        <f>IFERROR((z*SQRT(INDEX(SC_LT,MATCH("S01",SC_ID,0))*F27^2+E27^2*INDEX(SC_LTStd,MATCH("S01",SC_ID,0))^2)+E27*INDEX(SC_LT,MATCH("S01",SC_ID,0)))*(H27*INDEX(LC_Mult,MATCH("Canada",LC_Country,0))),0)</f>
        <v/>
      </c>
      <c r="R27" s="36">
        <f>IF(L27=MIN(L27,N27,P27),"Mexico",IF(N27=MIN(L27,N27,P27),"USA","Canada"))</f>
        <v/>
      </c>
      <c r="S27" s="34">
        <f>MIN(L27,N27,P27)</f>
        <v/>
      </c>
      <c r="T27" s="34">
        <f>K27-S27</f>
        <v/>
      </c>
      <c r="U27" s="35">
        <f>IFERROR(T27/K27,0)</f>
        <v/>
      </c>
      <c r="V27" s="34">
        <f>J27-IF(L27=MIN(L27,N27,P27),M27,IF(N27=MIN(L27,N27,P27),O27,Q27))</f>
        <v/>
      </c>
      <c r="W27" s="36">
        <f>IF(T27&gt;0,"Nearshore: lower total cost",IF(U27&gt;=-LC_Premium,"Nearshore candidate: small premium for resilience","Keep offshore"))</f>
        <v/>
      </c>
      <c r="X27" s="51">
        <f>MATCH("NB-0020",P_SKU,0)</f>
        <v/>
      </c>
    </row>
    <row r="28">
      <c r="A28" s="30">
        <f>INDEX(P_SKU,$X28)</f>
        <v/>
      </c>
      <c r="B28" s="30">
        <f>INDEX(P_Name,$X28)</f>
        <v/>
      </c>
      <c r="C28" s="30">
        <f>INDEX(P_Sup,$X28)</f>
        <v/>
      </c>
      <c r="D28" s="36">
        <f>INDEX(Supplier_Scorecard!$C$5:$C$12,MATCH(C28,SC_ID,0))</f>
        <v/>
      </c>
      <c r="E28" s="33">
        <f>INDEX(P_Demand,$X28)</f>
        <v/>
      </c>
      <c r="F28" s="33">
        <f>INDEX(P_Std,$X28)</f>
        <v/>
      </c>
      <c r="G28" s="57">
        <f>INDEX(P_Cost,$X28)</f>
        <v/>
      </c>
      <c r="H28" s="57">
        <f>G28/INDEX(LC_Price,MATCH(D28,LC_Country,0))</f>
        <v/>
      </c>
      <c r="I28" s="57">
        <f>H28*INDEX(LC_Mult,MATCH(D28,LC_Country,0))</f>
        <v/>
      </c>
      <c r="J28" s="34">
        <f>(z*SQRT(INDEX(SC_LT,MATCH(C28,SC_ID,0))*F28^2+E28^2*INDEX(SC_LTStd,MATCH(C28,SC_ID,0))^2)+E28*INDEX(SC_LT,MATCH(C28,SC_ID,0)))*I28</f>
        <v/>
      </c>
      <c r="K28" s="34">
        <f>E28*WeeksYear*I28+(z*SQRT(INDEX(SC_LT,MATCH(C28,SC_ID,0))*F28^2+E28^2*INDEX(SC_LTStd,MATCH(C28,SC_ID,0))^2)+E28*INDEX(SC_LT,MATCH(C28,SC_ID,0)))*I28*HoldRate</f>
        <v/>
      </c>
      <c r="L28" s="34">
        <f>IFERROR(E28*WeeksYear*(H28*INDEX(LC_Mult,MATCH("Mexico",LC_Country,0)))+(z*SQRT(INDEX(SC_LT,MATCH("S04",SC_ID,0))*F28^2+E28^2*INDEX(SC_LTStd,MATCH("S04",SC_ID,0))^2)+E28*INDEX(SC_LT,MATCH("S04",SC_ID,0)))*(H28*INDEX(LC_Mult,MATCH("Mexico",LC_Country,0)))*HoldRate,9.99E+99)</f>
        <v/>
      </c>
      <c r="M28" s="34">
        <f>IFERROR((z*SQRT(INDEX(SC_LT,MATCH("S04",SC_ID,0))*F28^2+E28^2*INDEX(SC_LTStd,MATCH("S04",SC_ID,0))^2)+E28*INDEX(SC_LT,MATCH("S04",SC_ID,0)))*(H28*INDEX(LC_Mult,MATCH("Mexico",LC_Country,0))),0)</f>
        <v/>
      </c>
      <c r="N28" s="34">
        <f>IFERROR(E28*WeeksYear*(H28*INDEX(LC_Mult,MATCH("USA",LC_Country,0)))+(z*SQRT(INDEX(SC_LT,MATCH("S02",SC_ID,0))*F28^2+E28^2*INDEX(SC_LTStd,MATCH("S02",SC_ID,0))^2)+E28*INDEX(SC_LT,MATCH("S02",SC_ID,0)))*(H28*INDEX(LC_Mult,MATCH("USA",LC_Country,0)))*HoldRate,9.99E+99)</f>
        <v/>
      </c>
      <c r="O28" s="34">
        <f>IFERROR((z*SQRT(INDEX(SC_LT,MATCH("S02",SC_ID,0))*F28^2+E28^2*INDEX(SC_LTStd,MATCH("S02",SC_ID,0))^2)+E28*INDEX(SC_LT,MATCH("S02",SC_ID,0)))*(H28*INDEX(LC_Mult,MATCH("USA",LC_Country,0))),0)</f>
        <v/>
      </c>
      <c r="P28" s="34">
        <f>IFERROR(E28*WeeksYear*(H28*INDEX(LC_Mult,MATCH("Canada",LC_Country,0)))+(z*SQRT(INDEX(SC_LT,MATCH("S01",SC_ID,0))*F28^2+E28^2*INDEX(SC_LTStd,MATCH("S01",SC_ID,0))^2)+E28*INDEX(SC_LT,MATCH("S01",SC_ID,0)))*(H28*INDEX(LC_Mult,MATCH("Canada",LC_Country,0)))*HoldRate,9.99E+99)</f>
        <v/>
      </c>
      <c r="Q28" s="34">
        <f>IFERROR((z*SQRT(INDEX(SC_LT,MATCH("S01",SC_ID,0))*F28^2+E28^2*INDEX(SC_LTStd,MATCH("S01",SC_ID,0))^2)+E28*INDEX(SC_LT,MATCH("S01",SC_ID,0)))*(H28*INDEX(LC_Mult,MATCH("Canada",LC_Country,0))),0)</f>
        <v/>
      </c>
      <c r="R28" s="36">
        <f>IF(L28=MIN(L28,N28,P28),"Mexico",IF(N28=MIN(L28,N28,P28),"USA","Canada"))</f>
        <v/>
      </c>
      <c r="S28" s="34">
        <f>MIN(L28,N28,P28)</f>
        <v/>
      </c>
      <c r="T28" s="34">
        <f>K28-S28</f>
        <v/>
      </c>
      <c r="U28" s="35">
        <f>IFERROR(T28/K28,0)</f>
        <v/>
      </c>
      <c r="V28" s="34">
        <f>J28-IF(L28=MIN(L28,N28,P28),M28,IF(N28=MIN(L28,N28,P28),O28,Q28))</f>
        <v/>
      </c>
      <c r="W28" s="36">
        <f>IF(T28&gt;0,"Nearshore: lower total cost",IF(U28&gt;=-LC_Premium,"Nearshore candidate: small premium for resilience","Keep offshore"))</f>
        <v/>
      </c>
      <c r="X28" s="51">
        <f>MATCH("NB-0021",P_SKU,0)</f>
        <v/>
      </c>
    </row>
    <row r="29">
      <c r="A29" s="30">
        <f>INDEX(P_SKU,$X29)</f>
        <v/>
      </c>
      <c r="B29" s="30">
        <f>INDEX(P_Name,$X29)</f>
        <v/>
      </c>
      <c r="C29" s="30">
        <f>INDEX(P_Sup,$X29)</f>
        <v/>
      </c>
      <c r="D29" s="36">
        <f>INDEX(Supplier_Scorecard!$C$5:$C$12,MATCH(C29,SC_ID,0))</f>
        <v/>
      </c>
      <c r="E29" s="33">
        <f>INDEX(P_Demand,$X29)</f>
        <v/>
      </c>
      <c r="F29" s="33">
        <f>INDEX(P_Std,$X29)</f>
        <v/>
      </c>
      <c r="G29" s="57">
        <f>INDEX(P_Cost,$X29)</f>
        <v/>
      </c>
      <c r="H29" s="57">
        <f>G29/INDEX(LC_Price,MATCH(D29,LC_Country,0))</f>
        <v/>
      </c>
      <c r="I29" s="57">
        <f>H29*INDEX(LC_Mult,MATCH(D29,LC_Country,0))</f>
        <v/>
      </c>
      <c r="J29" s="34">
        <f>(z*SQRT(INDEX(SC_LT,MATCH(C29,SC_ID,0))*F29^2+E29^2*INDEX(SC_LTStd,MATCH(C29,SC_ID,0))^2)+E29*INDEX(SC_LT,MATCH(C29,SC_ID,0)))*I29</f>
        <v/>
      </c>
      <c r="K29" s="34">
        <f>E29*WeeksYear*I29+(z*SQRT(INDEX(SC_LT,MATCH(C29,SC_ID,0))*F29^2+E29^2*INDEX(SC_LTStd,MATCH(C29,SC_ID,0))^2)+E29*INDEX(SC_LT,MATCH(C29,SC_ID,0)))*I29*HoldRate</f>
        <v/>
      </c>
      <c r="L29" s="34">
        <f>IFERROR(E29*WeeksYear*(H29*INDEX(LC_Mult,MATCH("Mexico",LC_Country,0)))+(z*SQRT(INDEX(SC_LT,MATCH("S04",SC_ID,0))*F29^2+E29^2*INDEX(SC_LTStd,MATCH("S04",SC_ID,0))^2)+E29*INDEX(SC_LT,MATCH("S04",SC_ID,0)))*(H29*INDEX(LC_Mult,MATCH("Mexico",LC_Country,0)))*HoldRate,9.99E+99)</f>
        <v/>
      </c>
      <c r="M29" s="34">
        <f>IFERROR((z*SQRT(INDEX(SC_LT,MATCH("S04",SC_ID,0))*F29^2+E29^2*INDEX(SC_LTStd,MATCH("S04",SC_ID,0))^2)+E29*INDEX(SC_LT,MATCH("S04",SC_ID,0)))*(H29*INDEX(LC_Mult,MATCH("Mexico",LC_Country,0))),0)</f>
        <v/>
      </c>
      <c r="N29" s="34">
        <f>IFERROR(E29*WeeksYear*(H29*INDEX(LC_Mult,MATCH("USA",LC_Country,0)))+(z*SQRT(INDEX(SC_LT,MATCH("S02",SC_ID,0))*F29^2+E29^2*INDEX(SC_LTStd,MATCH("S02",SC_ID,0))^2)+E29*INDEX(SC_LT,MATCH("S02",SC_ID,0)))*(H29*INDEX(LC_Mult,MATCH("USA",LC_Country,0)))*HoldRate,9.99E+99)</f>
        <v/>
      </c>
      <c r="O29" s="34">
        <f>IFERROR((z*SQRT(INDEX(SC_LT,MATCH("S02",SC_ID,0))*F29^2+E29^2*INDEX(SC_LTStd,MATCH("S02",SC_ID,0))^2)+E29*INDEX(SC_LT,MATCH("S02",SC_ID,0)))*(H29*INDEX(LC_Mult,MATCH("USA",LC_Country,0))),0)</f>
        <v/>
      </c>
      <c r="P29" s="34">
        <f>IFERROR(E29*WeeksYear*(H29*INDEX(LC_Mult,MATCH("Canada",LC_Country,0)))+(z*SQRT(INDEX(SC_LT,MATCH("S01",SC_ID,0))*F29^2+E29^2*INDEX(SC_LTStd,MATCH("S01",SC_ID,0))^2)+E29*INDEX(SC_LT,MATCH("S01",SC_ID,0)))*(H29*INDEX(LC_Mult,MATCH("Canada",LC_Country,0)))*HoldRate,9.99E+99)</f>
        <v/>
      </c>
      <c r="Q29" s="34">
        <f>IFERROR((z*SQRT(INDEX(SC_LT,MATCH("S01",SC_ID,0))*F29^2+E29^2*INDEX(SC_LTStd,MATCH("S01",SC_ID,0))^2)+E29*INDEX(SC_LT,MATCH("S01",SC_ID,0)))*(H29*INDEX(LC_Mult,MATCH("Canada",LC_Country,0))),0)</f>
        <v/>
      </c>
      <c r="R29" s="36">
        <f>IF(L29=MIN(L29,N29,P29),"Mexico",IF(N29=MIN(L29,N29,P29),"USA","Canada"))</f>
        <v/>
      </c>
      <c r="S29" s="34">
        <f>MIN(L29,N29,P29)</f>
        <v/>
      </c>
      <c r="T29" s="34">
        <f>K29-S29</f>
        <v/>
      </c>
      <c r="U29" s="35">
        <f>IFERROR(T29/K29,0)</f>
        <v/>
      </c>
      <c r="V29" s="34">
        <f>J29-IF(L29=MIN(L29,N29,P29),M29,IF(N29=MIN(L29,N29,P29),O29,Q29))</f>
        <v/>
      </c>
      <c r="W29" s="36">
        <f>IF(T29&gt;0,"Nearshore: lower total cost",IF(U29&gt;=-LC_Premium,"Nearshore candidate: small premium for resilience","Keep offshore"))</f>
        <v/>
      </c>
      <c r="X29" s="51">
        <f>MATCH("NB-0022",P_SKU,0)</f>
        <v/>
      </c>
    </row>
    <row r="30">
      <c r="A30" s="30">
        <f>INDEX(P_SKU,$X30)</f>
        <v/>
      </c>
      <c r="B30" s="30">
        <f>INDEX(P_Name,$X30)</f>
        <v/>
      </c>
      <c r="C30" s="30">
        <f>INDEX(P_Sup,$X30)</f>
        <v/>
      </c>
      <c r="D30" s="36">
        <f>INDEX(Supplier_Scorecard!$C$5:$C$12,MATCH(C30,SC_ID,0))</f>
        <v/>
      </c>
      <c r="E30" s="33">
        <f>INDEX(P_Demand,$X30)</f>
        <v/>
      </c>
      <c r="F30" s="33">
        <f>INDEX(P_Std,$X30)</f>
        <v/>
      </c>
      <c r="G30" s="57">
        <f>INDEX(P_Cost,$X30)</f>
        <v/>
      </c>
      <c r="H30" s="57">
        <f>G30/INDEX(LC_Price,MATCH(D30,LC_Country,0))</f>
        <v/>
      </c>
      <c r="I30" s="57">
        <f>H30*INDEX(LC_Mult,MATCH(D30,LC_Country,0))</f>
        <v/>
      </c>
      <c r="J30" s="34">
        <f>(z*SQRT(INDEX(SC_LT,MATCH(C30,SC_ID,0))*F30^2+E30^2*INDEX(SC_LTStd,MATCH(C30,SC_ID,0))^2)+E30*INDEX(SC_LT,MATCH(C30,SC_ID,0)))*I30</f>
        <v/>
      </c>
      <c r="K30" s="34">
        <f>E30*WeeksYear*I30+(z*SQRT(INDEX(SC_LT,MATCH(C30,SC_ID,0))*F30^2+E30^2*INDEX(SC_LTStd,MATCH(C30,SC_ID,0))^2)+E30*INDEX(SC_LT,MATCH(C30,SC_ID,0)))*I30*HoldRate</f>
        <v/>
      </c>
      <c r="L30" s="34">
        <f>IFERROR(E30*WeeksYear*(H30*INDEX(LC_Mult,MATCH("Mexico",LC_Country,0)))+(z*SQRT(INDEX(SC_LT,MATCH("S04",SC_ID,0))*F30^2+E30^2*INDEX(SC_LTStd,MATCH("S04",SC_ID,0))^2)+E30*INDEX(SC_LT,MATCH("S04",SC_ID,0)))*(H30*INDEX(LC_Mult,MATCH("Mexico",LC_Country,0)))*HoldRate,9.99E+99)</f>
        <v/>
      </c>
      <c r="M30" s="34">
        <f>IFERROR((z*SQRT(INDEX(SC_LT,MATCH("S04",SC_ID,0))*F30^2+E30^2*INDEX(SC_LTStd,MATCH("S04",SC_ID,0))^2)+E30*INDEX(SC_LT,MATCH("S04",SC_ID,0)))*(H30*INDEX(LC_Mult,MATCH("Mexico",LC_Country,0))),0)</f>
        <v/>
      </c>
      <c r="N30" s="34">
        <f>IFERROR(E30*WeeksYear*(H30*INDEX(LC_Mult,MATCH("USA",LC_Country,0)))+(z*SQRT(INDEX(SC_LT,MATCH("S02",SC_ID,0))*F30^2+E30^2*INDEX(SC_LTStd,MATCH("S02",SC_ID,0))^2)+E30*INDEX(SC_LT,MATCH("S02",SC_ID,0)))*(H30*INDEX(LC_Mult,MATCH("USA",LC_Country,0)))*HoldRate,9.99E+99)</f>
        <v/>
      </c>
      <c r="O30" s="34">
        <f>IFERROR((z*SQRT(INDEX(SC_LT,MATCH("S02",SC_ID,0))*F30^2+E30^2*INDEX(SC_LTStd,MATCH("S02",SC_ID,0))^2)+E30*INDEX(SC_LT,MATCH("S02",SC_ID,0)))*(H30*INDEX(LC_Mult,MATCH("USA",LC_Country,0))),0)</f>
        <v/>
      </c>
      <c r="P30" s="34">
        <f>IFERROR(E30*WeeksYear*(H30*INDEX(LC_Mult,MATCH("Canada",LC_Country,0)))+(z*SQRT(INDEX(SC_LT,MATCH("S01",SC_ID,0))*F30^2+E30^2*INDEX(SC_LTStd,MATCH("S01",SC_ID,0))^2)+E30*INDEX(SC_LT,MATCH("S01",SC_ID,0)))*(H30*INDEX(LC_Mult,MATCH("Canada",LC_Country,0)))*HoldRate,9.99E+99)</f>
        <v/>
      </c>
      <c r="Q30" s="34">
        <f>IFERROR((z*SQRT(INDEX(SC_LT,MATCH("S01",SC_ID,0))*F30^2+E30^2*INDEX(SC_LTStd,MATCH("S01",SC_ID,0))^2)+E30*INDEX(SC_LT,MATCH("S01",SC_ID,0)))*(H30*INDEX(LC_Mult,MATCH("Canada",LC_Country,0))),0)</f>
        <v/>
      </c>
      <c r="R30" s="36">
        <f>IF(L30=MIN(L30,N30,P30),"Mexico",IF(N30=MIN(L30,N30,P30),"USA","Canada"))</f>
        <v/>
      </c>
      <c r="S30" s="34">
        <f>MIN(L30,N30,P30)</f>
        <v/>
      </c>
      <c r="T30" s="34">
        <f>K30-S30</f>
        <v/>
      </c>
      <c r="U30" s="35">
        <f>IFERROR(T30/K30,0)</f>
        <v/>
      </c>
      <c r="V30" s="34">
        <f>J30-IF(L30=MIN(L30,N30,P30),M30,IF(N30=MIN(L30,N30,P30),O30,Q30))</f>
        <v/>
      </c>
      <c r="W30" s="36">
        <f>IF(T30&gt;0,"Nearshore: lower total cost",IF(U30&gt;=-LC_Premium,"Nearshore candidate: small premium for resilience","Keep offshore"))</f>
        <v/>
      </c>
      <c r="X30" s="51">
        <f>MATCH("NB-0024",P_SKU,0)</f>
        <v/>
      </c>
    </row>
    <row r="31">
      <c r="A31" s="30">
        <f>INDEX(P_SKU,$X31)</f>
        <v/>
      </c>
      <c r="B31" s="30">
        <f>INDEX(P_Name,$X31)</f>
        <v/>
      </c>
      <c r="C31" s="30">
        <f>INDEX(P_Sup,$X31)</f>
        <v/>
      </c>
      <c r="D31" s="36">
        <f>INDEX(Supplier_Scorecard!$C$5:$C$12,MATCH(C31,SC_ID,0))</f>
        <v/>
      </c>
      <c r="E31" s="33">
        <f>INDEX(P_Demand,$X31)</f>
        <v/>
      </c>
      <c r="F31" s="33">
        <f>INDEX(P_Std,$X31)</f>
        <v/>
      </c>
      <c r="G31" s="57">
        <f>INDEX(P_Cost,$X31)</f>
        <v/>
      </c>
      <c r="H31" s="57">
        <f>G31/INDEX(LC_Price,MATCH(D31,LC_Country,0))</f>
        <v/>
      </c>
      <c r="I31" s="57">
        <f>H31*INDEX(LC_Mult,MATCH(D31,LC_Country,0))</f>
        <v/>
      </c>
      <c r="J31" s="34">
        <f>(z*SQRT(INDEX(SC_LT,MATCH(C31,SC_ID,0))*F31^2+E31^2*INDEX(SC_LTStd,MATCH(C31,SC_ID,0))^2)+E31*INDEX(SC_LT,MATCH(C31,SC_ID,0)))*I31</f>
        <v/>
      </c>
      <c r="K31" s="34">
        <f>E31*WeeksYear*I31+(z*SQRT(INDEX(SC_LT,MATCH(C31,SC_ID,0))*F31^2+E31^2*INDEX(SC_LTStd,MATCH(C31,SC_ID,0))^2)+E31*INDEX(SC_LT,MATCH(C31,SC_ID,0)))*I31*HoldRate</f>
        <v/>
      </c>
      <c r="L31" s="34">
        <f>IFERROR(E31*WeeksYear*(H31*INDEX(LC_Mult,MATCH("Mexico",LC_Country,0)))+(z*SQRT(INDEX(SC_LT,MATCH("S04",SC_ID,0))*F31^2+E31^2*INDEX(SC_LTStd,MATCH("S04",SC_ID,0))^2)+E31*INDEX(SC_LT,MATCH("S04",SC_ID,0)))*(H31*INDEX(LC_Mult,MATCH("Mexico",LC_Country,0)))*HoldRate,9.99E+99)</f>
        <v/>
      </c>
      <c r="M31" s="34">
        <f>IFERROR((z*SQRT(INDEX(SC_LT,MATCH("S04",SC_ID,0))*F31^2+E31^2*INDEX(SC_LTStd,MATCH("S04",SC_ID,0))^2)+E31*INDEX(SC_LT,MATCH("S04",SC_ID,0)))*(H31*INDEX(LC_Mult,MATCH("Mexico",LC_Country,0))),0)</f>
        <v/>
      </c>
      <c r="N31" s="34">
        <f>IFERROR(E31*WeeksYear*(H31*INDEX(LC_Mult,MATCH("USA",LC_Country,0)))+(z*SQRT(INDEX(SC_LT,MATCH("S02",SC_ID,0))*F31^2+E31^2*INDEX(SC_LTStd,MATCH("S02",SC_ID,0))^2)+E31*INDEX(SC_LT,MATCH("S02",SC_ID,0)))*(H31*INDEX(LC_Mult,MATCH("USA",LC_Country,0)))*HoldRate,9.99E+99)</f>
        <v/>
      </c>
      <c r="O31" s="34">
        <f>IFERROR((z*SQRT(INDEX(SC_LT,MATCH("S02",SC_ID,0))*F31^2+E31^2*INDEX(SC_LTStd,MATCH("S02",SC_ID,0))^2)+E31*INDEX(SC_LT,MATCH("S02",SC_ID,0)))*(H31*INDEX(LC_Mult,MATCH("USA",LC_Country,0))),0)</f>
        <v/>
      </c>
      <c r="P31" s="34">
        <f>IFERROR(E31*WeeksYear*(H31*INDEX(LC_Mult,MATCH("Canada",LC_Country,0)))+(z*SQRT(INDEX(SC_LT,MATCH("S01",SC_ID,0))*F31^2+E31^2*INDEX(SC_LTStd,MATCH("S01",SC_ID,0))^2)+E31*INDEX(SC_LT,MATCH("S01",SC_ID,0)))*(H31*INDEX(LC_Mult,MATCH("Canada",LC_Country,0)))*HoldRate,9.99E+99)</f>
        <v/>
      </c>
      <c r="Q31" s="34">
        <f>IFERROR((z*SQRT(INDEX(SC_LT,MATCH("S01",SC_ID,0))*F31^2+E31^2*INDEX(SC_LTStd,MATCH("S01",SC_ID,0))^2)+E31*INDEX(SC_LT,MATCH("S01",SC_ID,0)))*(H31*INDEX(LC_Mult,MATCH("Canada",LC_Country,0))),0)</f>
        <v/>
      </c>
      <c r="R31" s="36">
        <f>IF(L31=MIN(L31,N31,P31),"Mexico",IF(N31=MIN(L31,N31,P31),"USA","Canada"))</f>
        <v/>
      </c>
      <c r="S31" s="34">
        <f>MIN(L31,N31,P31)</f>
        <v/>
      </c>
      <c r="T31" s="34">
        <f>K31-S31</f>
        <v/>
      </c>
      <c r="U31" s="35">
        <f>IFERROR(T31/K31,0)</f>
        <v/>
      </c>
      <c r="V31" s="34">
        <f>J31-IF(L31=MIN(L31,N31,P31),M31,IF(N31=MIN(L31,N31,P31),O31,Q31))</f>
        <v/>
      </c>
      <c r="W31" s="36">
        <f>IF(T31&gt;0,"Nearshore: lower total cost",IF(U31&gt;=-LC_Premium,"Nearshore candidate: small premium for resilience","Keep offshore"))</f>
        <v/>
      </c>
      <c r="X31" s="51">
        <f>MATCH("NB-0030",P_SKU,0)</f>
        <v/>
      </c>
    </row>
    <row r="32">
      <c r="A32" s="30">
        <f>INDEX(P_SKU,$X32)</f>
        <v/>
      </c>
      <c r="B32" s="30">
        <f>INDEX(P_Name,$X32)</f>
        <v/>
      </c>
      <c r="C32" s="30">
        <f>INDEX(P_Sup,$X32)</f>
        <v/>
      </c>
      <c r="D32" s="36">
        <f>INDEX(Supplier_Scorecard!$C$5:$C$12,MATCH(C32,SC_ID,0))</f>
        <v/>
      </c>
      <c r="E32" s="33">
        <f>INDEX(P_Demand,$X32)</f>
        <v/>
      </c>
      <c r="F32" s="33">
        <f>INDEX(P_Std,$X32)</f>
        <v/>
      </c>
      <c r="G32" s="57">
        <f>INDEX(P_Cost,$X32)</f>
        <v/>
      </c>
      <c r="H32" s="57">
        <f>G32/INDEX(LC_Price,MATCH(D32,LC_Country,0))</f>
        <v/>
      </c>
      <c r="I32" s="57">
        <f>H32*INDEX(LC_Mult,MATCH(D32,LC_Country,0))</f>
        <v/>
      </c>
      <c r="J32" s="34">
        <f>(z*SQRT(INDEX(SC_LT,MATCH(C32,SC_ID,0))*F32^2+E32^2*INDEX(SC_LTStd,MATCH(C32,SC_ID,0))^2)+E32*INDEX(SC_LT,MATCH(C32,SC_ID,0)))*I32</f>
        <v/>
      </c>
      <c r="K32" s="34">
        <f>E32*WeeksYear*I32+(z*SQRT(INDEX(SC_LT,MATCH(C32,SC_ID,0))*F32^2+E32^2*INDEX(SC_LTStd,MATCH(C32,SC_ID,0))^2)+E32*INDEX(SC_LT,MATCH(C32,SC_ID,0)))*I32*HoldRate</f>
        <v/>
      </c>
      <c r="L32" s="34">
        <f>IFERROR(E32*WeeksYear*(H32*INDEX(LC_Mult,MATCH("Mexico",LC_Country,0)))+(z*SQRT(INDEX(SC_LT,MATCH("S04",SC_ID,0))*F32^2+E32^2*INDEX(SC_LTStd,MATCH("S04",SC_ID,0))^2)+E32*INDEX(SC_LT,MATCH("S04",SC_ID,0)))*(H32*INDEX(LC_Mult,MATCH("Mexico",LC_Country,0)))*HoldRate,9.99E+99)</f>
        <v/>
      </c>
      <c r="M32" s="34">
        <f>IFERROR((z*SQRT(INDEX(SC_LT,MATCH("S04",SC_ID,0))*F32^2+E32^2*INDEX(SC_LTStd,MATCH("S04",SC_ID,0))^2)+E32*INDEX(SC_LT,MATCH("S04",SC_ID,0)))*(H32*INDEX(LC_Mult,MATCH("Mexico",LC_Country,0))),0)</f>
        <v/>
      </c>
      <c r="N32" s="34">
        <f>IFERROR(E32*WeeksYear*(H32*INDEX(LC_Mult,MATCH("USA",LC_Country,0)))+(z*SQRT(INDEX(SC_LT,MATCH("S02",SC_ID,0))*F32^2+E32^2*INDEX(SC_LTStd,MATCH("S02",SC_ID,0))^2)+E32*INDEX(SC_LT,MATCH("S02",SC_ID,0)))*(H32*INDEX(LC_Mult,MATCH("USA",LC_Country,0)))*HoldRate,9.99E+99)</f>
        <v/>
      </c>
      <c r="O32" s="34">
        <f>IFERROR((z*SQRT(INDEX(SC_LT,MATCH("S02",SC_ID,0))*F32^2+E32^2*INDEX(SC_LTStd,MATCH("S02",SC_ID,0))^2)+E32*INDEX(SC_LT,MATCH("S02",SC_ID,0)))*(H32*INDEX(LC_Mult,MATCH("USA",LC_Country,0))),0)</f>
        <v/>
      </c>
      <c r="P32" s="34">
        <f>IFERROR(E32*WeeksYear*(H32*INDEX(LC_Mult,MATCH("Canada",LC_Country,0)))+(z*SQRT(INDEX(SC_LT,MATCH("S01",SC_ID,0))*F32^2+E32^2*INDEX(SC_LTStd,MATCH("S01",SC_ID,0))^2)+E32*INDEX(SC_LT,MATCH("S01",SC_ID,0)))*(H32*INDEX(LC_Mult,MATCH("Canada",LC_Country,0)))*HoldRate,9.99E+99)</f>
        <v/>
      </c>
      <c r="Q32" s="34">
        <f>IFERROR((z*SQRT(INDEX(SC_LT,MATCH("S01",SC_ID,0))*F32^2+E32^2*INDEX(SC_LTStd,MATCH("S01",SC_ID,0))^2)+E32*INDEX(SC_LT,MATCH("S01",SC_ID,0)))*(H32*INDEX(LC_Mult,MATCH("Canada",LC_Country,0))),0)</f>
        <v/>
      </c>
      <c r="R32" s="36">
        <f>IF(L32=MIN(L32,N32,P32),"Mexico",IF(N32=MIN(L32,N32,P32),"USA","Canada"))</f>
        <v/>
      </c>
      <c r="S32" s="34">
        <f>MIN(L32,N32,P32)</f>
        <v/>
      </c>
      <c r="T32" s="34">
        <f>K32-S32</f>
        <v/>
      </c>
      <c r="U32" s="35">
        <f>IFERROR(T32/K32,0)</f>
        <v/>
      </c>
      <c r="V32" s="34">
        <f>J32-IF(L32=MIN(L32,N32,P32),M32,IF(N32=MIN(L32,N32,P32),O32,Q32))</f>
        <v/>
      </c>
      <c r="W32" s="36">
        <f>IF(T32&gt;0,"Nearshore: lower total cost",IF(U32&gt;=-LC_Premium,"Nearshore candidate: small premium for resilience","Keep offshore"))</f>
        <v/>
      </c>
      <c r="X32" s="51">
        <f>MATCH("NB-0032",P_SKU,0)</f>
        <v/>
      </c>
    </row>
    <row r="33">
      <c r="A33" s="30">
        <f>INDEX(P_SKU,$X33)</f>
        <v/>
      </c>
      <c r="B33" s="30">
        <f>INDEX(P_Name,$X33)</f>
        <v/>
      </c>
      <c r="C33" s="30">
        <f>INDEX(P_Sup,$X33)</f>
        <v/>
      </c>
      <c r="D33" s="36">
        <f>INDEX(Supplier_Scorecard!$C$5:$C$12,MATCH(C33,SC_ID,0))</f>
        <v/>
      </c>
      <c r="E33" s="33">
        <f>INDEX(P_Demand,$X33)</f>
        <v/>
      </c>
      <c r="F33" s="33">
        <f>INDEX(P_Std,$X33)</f>
        <v/>
      </c>
      <c r="G33" s="57">
        <f>INDEX(P_Cost,$X33)</f>
        <v/>
      </c>
      <c r="H33" s="57">
        <f>G33/INDEX(LC_Price,MATCH(D33,LC_Country,0))</f>
        <v/>
      </c>
      <c r="I33" s="57">
        <f>H33*INDEX(LC_Mult,MATCH(D33,LC_Country,0))</f>
        <v/>
      </c>
      <c r="J33" s="34">
        <f>(z*SQRT(INDEX(SC_LT,MATCH(C33,SC_ID,0))*F33^2+E33^2*INDEX(SC_LTStd,MATCH(C33,SC_ID,0))^2)+E33*INDEX(SC_LT,MATCH(C33,SC_ID,0)))*I33</f>
        <v/>
      </c>
      <c r="K33" s="34">
        <f>E33*WeeksYear*I33+(z*SQRT(INDEX(SC_LT,MATCH(C33,SC_ID,0))*F33^2+E33^2*INDEX(SC_LTStd,MATCH(C33,SC_ID,0))^2)+E33*INDEX(SC_LT,MATCH(C33,SC_ID,0)))*I33*HoldRate</f>
        <v/>
      </c>
      <c r="L33" s="34">
        <f>IFERROR(E33*WeeksYear*(H33*INDEX(LC_Mult,MATCH("Mexico",LC_Country,0)))+(z*SQRT(INDEX(SC_LT,MATCH("S04",SC_ID,0))*F33^2+E33^2*INDEX(SC_LTStd,MATCH("S04",SC_ID,0))^2)+E33*INDEX(SC_LT,MATCH("S04",SC_ID,0)))*(H33*INDEX(LC_Mult,MATCH("Mexico",LC_Country,0)))*HoldRate,9.99E+99)</f>
        <v/>
      </c>
      <c r="M33" s="34">
        <f>IFERROR((z*SQRT(INDEX(SC_LT,MATCH("S04",SC_ID,0))*F33^2+E33^2*INDEX(SC_LTStd,MATCH("S04",SC_ID,0))^2)+E33*INDEX(SC_LT,MATCH("S04",SC_ID,0)))*(H33*INDEX(LC_Mult,MATCH("Mexico",LC_Country,0))),0)</f>
        <v/>
      </c>
      <c r="N33" s="34">
        <f>IFERROR(E33*WeeksYear*(H33*INDEX(LC_Mult,MATCH("USA",LC_Country,0)))+(z*SQRT(INDEX(SC_LT,MATCH("S02",SC_ID,0))*F33^2+E33^2*INDEX(SC_LTStd,MATCH("S02",SC_ID,0))^2)+E33*INDEX(SC_LT,MATCH("S02",SC_ID,0)))*(H33*INDEX(LC_Mult,MATCH("USA",LC_Country,0)))*HoldRate,9.99E+99)</f>
        <v/>
      </c>
      <c r="O33" s="34">
        <f>IFERROR((z*SQRT(INDEX(SC_LT,MATCH("S02",SC_ID,0))*F33^2+E33^2*INDEX(SC_LTStd,MATCH("S02",SC_ID,0))^2)+E33*INDEX(SC_LT,MATCH("S02",SC_ID,0)))*(H33*INDEX(LC_Mult,MATCH("USA",LC_Country,0))),0)</f>
        <v/>
      </c>
      <c r="P33" s="34">
        <f>IFERROR(E33*WeeksYear*(H33*INDEX(LC_Mult,MATCH("Canada",LC_Country,0)))+(z*SQRT(INDEX(SC_LT,MATCH("S01",SC_ID,0))*F33^2+E33^2*INDEX(SC_LTStd,MATCH("S01",SC_ID,0))^2)+E33*INDEX(SC_LT,MATCH("S01",SC_ID,0)))*(H33*INDEX(LC_Mult,MATCH("Canada",LC_Country,0)))*HoldRate,9.99E+99)</f>
        <v/>
      </c>
      <c r="Q33" s="34">
        <f>IFERROR((z*SQRT(INDEX(SC_LT,MATCH("S01",SC_ID,0))*F33^2+E33^2*INDEX(SC_LTStd,MATCH("S01",SC_ID,0))^2)+E33*INDEX(SC_LT,MATCH("S01",SC_ID,0)))*(H33*INDEX(LC_Mult,MATCH("Canada",LC_Country,0))),0)</f>
        <v/>
      </c>
      <c r="R33" s="36">
        <f>IF(L33=MIN(L33,N33,P33),"Mexico",IF(N33=MIN(L33,N33,P33),"USA","Canada"))</f>
        <v/>
      </c>
      <c r="S33" s="34">
        <f>MIN(L33,N33,P33)</f>
        <v/>
      </c>
      <c r="T33" s="34">
        <f>K33-S33</f>
        <v/>
      </c>
      <c r="U33" s="35">
        <f>IFERROR(T33/K33,0)</f>
        <v/>
      </c>
      <c r="V33" s="34">
        <f>J33-IF(L33=MIN(L33,N33,P33),M33,IF(N33=MIN(L33,N33,P33),O33,Q33))</f>
        <v/>
      </c>
      <c r="W33" s="36">
        <f>IF(T33&gt;0,"Nearshore: lower total cost",IF(U33&gt;=-LC_Premium,"Nearshore candidate: small premium for resilience","Keep offshore"))</f>
        <v/>
      </c>
      <c r="X33" s="51">
        <f>MATCH("NB-0033",P_SKU,0)</f>
        <v/>
      </c>
    </row>
    <row r="34">
      <c r="A34" s="30">
        <f>INDEX(P_SKU,$X34)</f>
        <v/>
      </c>
      <c r="B34" s="30">
        <f>INDEX(P_Name,$X34)</f>
        <v/>
      </c>
      <c r="C34" s="30">
        <f>INDEX(P_Sup,$X34)</f>
        <v/>
      </c>
      <c r="D34" s="36">
        <f>INDEX(Supplier_Scorecard!$C$5:$C$12,MATCH(C34,SC_ID,0))</f>
        <v/>
      </c>
      <c r="E34" s="33">
        <f>INDEX(P_Demand,$X34)</f>
        <v/>
      </c>
      <c r="F34" s="33">
        <f>INDEX(P_Std,$X34)</f>
        <v/>
      </c>
      <c r="G34" s="57">
        <f>INDEX(P_Cost,$X34)</f>
        <v/>
      </c>
      <c r="H34" s="57">
        <f>G34/INDEX(LC_Price,MATCH(D34,LC_Country,0))</f>
        <v/>
      </c>
      <c r="I34" s="57">
        <f>H34*INDEX(LC_Mult,MATCH(D34,LC_Country,0))</f>
        <v/>
      </c>
      <c r="J34" s="34">
        <f>(z*SQRT(INDEX(SC_LT,MATCH(C34,SC_ID,0))*F34^2+E34^2*INDEX(SC_LTStd,MATCH(C34,SC_ID,0))^2)+E34*INDEX(SC_LT,MATCH(C34,SC_ID,0)))*I34</f>
        <v/>
      </c>
      <c r="K34" s="34">
        <f>E34*WeeksYear*I34+(z*SQRT(INDEX(SC_LT,MATCH(C34,SC_ID,0))*F34^2+E34^2*INDEX(SC_LTStd,MATCH(C34,SC_ID,0))^2)+E34*INDEX(SC_LT,MATCH(C34,SC_ID,0)))*I34*HoldRate</f>
        <v/>
      </c>
      <c r="L34" s="34">
        <f>IFERROR(E34*WeeksYear*(H34*INDEX(LC_Mult,MATCH("Mexico",LC_Country,0)))+(z*SQRT(INDEX(SC_LT,MATCH("S04",SC_ID,0))*F34^2+E34^2*INDEX(SC_LTStd,MATCH("S04",SC_ID,0))^2)+E34*INDEX(SC_LT,MATCH("S04",SC_ID,0)))*(H34*INDEX(LC_Mult,MATCH("Mexico",LC_Country,0)))*HoldRate,9.99E+99)</f>
        <v/>
      </c>
      <c r="M34" s="34">
        <f>IFERROR((z*SQRT(INDEX(SC_LT,MATCH("S04",SC_ID,0))*F34^2+E34^2*INDEX(SC_LTStd,MATCH("S04",SC_ID,0))^2)+E34*INDEX(SC_LT,MATCH("S04",SC_ID,0)))*(H34*INDEX(LC_Mult,MATCH("Mexico",LC_Country,0))),0)</f>
        <v/>
      </c>
      <c r="N34" s="34">
        <f>IFERROR(E34*WeeksYear*(H34*INDEX(LC_Mult,MATCH("USA",LC_Country,0)))+(z*SQRT(INDEX(SC_LT,MATCH("S02",SC_ID,0))*F34^2+E34^2*INDEX(SC_LTStd,MATCH("S02",SC_ID,0))^2)+E34*INDEX(SC_LT,MATCH("S02",SC_ID,0)))*(H34*INDEX(LC_Mult,MATCH("USA",LC_Country,0)))*HoldRate,9.99E+99)</f>
        <v/>
      </c>
      <c r="O34" s="34">
        <f>IFERROR((z*SQRT(INDEX(SC_LT,MATCH("S02",SC_ID,0))*F34^2+E34^2*INDEX(SC_LTStd,MATCH("S02",SC_ID,0))^2)+E34*INDEX(SC_LT,MATCH("S02",SC_ID,0)))*(H34*INDEX(LC_Mult,MATCH("USA",LC_Country,0))),0)</f>
        <v/>
      </c>
      <c r="P34" s="34">
        <f>IFERROR(E34*WeeksYear*(H34*INDEX(LC_Mult,MATCH("Canada",LC_Country,0)))+(z*SQRT(INDEX(SC_LT,MATCH("S01",SC_ID,0))*F34^2+E34^2*INDEX(SC_LTStd,MATCH("S01",SC_ID,0))^2)+E34*INDEX(SC_LT,MATCH("S01",SC_ID,0)))*(H34*INDEX(LC_Mult,MATCH("Canada",LC_Country,0)))*HoldRate,9.99E+99)</f>
        <v/>
      </c>
      <c r="Q34" s="34">
        <f>IFERROR((z*SQRT(INDEX(SC_LT,MATCH("S01",SC_ID,0))*F34^2+E34^2*INDEX(SC_LTStd,MATCH("S01",SC_ID,0))^2)+E34*INDEX(SC_LT,MATCH("S01",SC_ID,0)))*(H34*INDEX(LC_Mult,MATCH("Canada",LC_Country,0))),0)</f>
        <v/>
      </c>
      <c r="R34" s="36">
        <f>IF(L34=MIN(L34,N34,P34),"Mexico",IF(N34=MIN(L34,N34,P34),"USA","Canada"))</f>
        <v/>
      </c>
      <c r="S34" s="34">
        <f>MIN(L34,N34,P34)</f>
        <v/>
      </c>
      <c r="T34" s="34">
        <f>K34-S34</f>
        <v/>
      </c>
      <c r="U34" s="35">
        <f>IFERROR(T34/K34,0)</f>
        <v/>
      </c>
      <c r="V34" s="34">
        <f>J34-IF(L34=MIN(L34,N34,P34),M34,IF(N34=MIN(L34,N34,P34),O34,Q34))</f>
        <v/>
      </c>
      <c r="W34" s="36">
        <f>IF(T34&gt;0,"Nearshore: lower total cost",IF(U34&gt;=-LC_Premium,"Nearshore candidate: small premium for resilience","Keep offshore"))</f>
        <v/>
      </c>
      <c r="X34" s="51">
        <f>MATCH("NB-0034",P_SKU,0)</f>
        <v/>
      </c>
    </row>
    <row r="35">
      <c r="A35" s="30">
        <f>INDEX(P_SKU,$X35)</f>
        <v/>
      </c>
      <c r="B35" s="30">
        <f>INDEX(P_Name,$X35)</f>
        <v/>
      </c>
      <c r="C35" s="30">
        <f>INDEX(P_Sup,$X35)</f>
        <v/>
      </c>
      <c r="D35" s="36">
        <f>INDEX(Supplier_Scorecard!$C$5:$C$12,MATCH(C35,SC_ID,0))</f>
        <v/>
      </c>
      <c r="E35" s="33">
        <f>INDEX(P_Demand,$X35)</f>
        <v/>
      </c>
      <c r="F35" s="33">
        <f>INDEX(P_Std,$X35)</f>
        <v/>
      </c>
      <c r="G35" s="57">
        <f>INDEX(P_Cost,$X35)</f>
        <v/>
      </c>
      <c r="H35" s="57">
        <f>G35/INDEX(LC_Price,MATCH(D35,LC_Country,0))</f>
        <v/>
      </c>
      <c r="I35" s="57">
        <f>H35*INDEX(LC_Mult,MATCH(D35,LC_Country,0))</f>
        <v/>
      </c>
      <c r="J35" s="34">
        <f>(z*SQRT(INDEX(SC_LT,MATCH(C35,SC_ID,0))*F35^2+E35^2*INDEX(SC_LTStd,MATCH(C35,SC_ID,0))^2)+E35*INDEX(SC_LT,MATCH(C35,SC_ID,0)))*I35</f>
        <v/>
      </c>
      <c r="K35" s="34">
        <f>E35*WeeksYear*I35+(z*SQRT(INDEX(SC_LT,MATCH(C35,SC_ID,0))*F35^2+E35^2*INDEX(SC_LTStd,MATCH(C35,SC_ID,0))^2)+E35*INDEX(SC_LT,MATCH(C35,SC_ID,0)))*I35*HoldRate</f>
        <v/>
      </c>
      <c r="L35" s="34">
        <f>IFERROR(E35*WeeksYear*(H35*INDEX(LC_Mult,MATCH("Mexico",LC_Country,0)))+(z*SQRT(INDEX(SC_LT,MATCH("S04",SC_ID,0))*F35^2+E35^2*INDEX(SC_LTStd,MATCH("S04",SC_ID,0))^2)+E35*INDEX(SC_LT,MATCH("S04",SC_ID,0)))*(H35*INDEX(LC_Mult,MATCH("Mexico",LC_Country,0)))*HoldRate,9.99E+99)</f>
        <v/>
      </c>
      <c r="M35" s="34">
        <f>IFERROR((z*SQRT(INDEX(SC_LT,MATCH("S04",SC_ID,0))*F35^2+E35^2*INDEX(SC_LTStd,MATCH("S04",SC_ID,0))^2)+E35*INDEX(SC_LT,MATCH("S04",SC_ID,0)))*(H35*INDEX(LC_Mult,MATCH("Mexico",LC_Country,0))),0)</f>
        <v/>
      </c>
      <c r="N35" s="34">
        <f>IFERROR(E35*WeeksYear*(H35*INDEX(LC_Mult,MATCH("USA",LC_Country,0)))+(z*SQRT(INDEX(SC_LT,MATCH("S02",SC_ID,0))*F35^2+E35^2*INDEX(SC_LTStd,MATCH("S02",SC_ID,0))^2)+E35*INDEX(SC_LT,MATCH("S02",SC_ID,0)))*(H35*INDEX(LC_Mult,MATCH("USA",LC_Country,0)))*HoldRate,9.99E+99)</f>
        <v/>
      </c>
      <c r="O35" s="34">
        <f>IFERROR((z*SQRT(INDEX(SC_LT,MATCH("S02",SC_ID,0))*F35^2+E35^2*INDEX(SC_LTStd,MATCH("S02",SC_ID,0))^2)+E35*INDEX(SC_LT,MATCH("S02",SC_ID,0)))*(H35*INDEX(LC_Mult,MATCH("USA",LC_Country,0))),0)</f>
        <v/>
      </c>
      <c r="P35" s="34">
        <f>IFERROR(E35*WeeksYear*(H35*INDEX(LC_Mult,MATCH("Canada",LC_Country,0)))+(z*SQRT(INDEX(SC_LT,MATCH("S01",SC_ID,0))*F35^2+E35^2*INDEX(SC_LTStd,MATCH("S01",SC_ID,0))^2)+E35*INDEX(SC_LT,MATCH("S01",SC_ID,0)))*(H35*INDEX(LC_Mult,MATCH("Canada",LC_Country,0)))*HoldRate,9.99E+99)</f>
        <v/>
      </c>
      <c r="Q35" s="34">
        <f>IFERROR((z*SQRT(INDEX(SC_LT,MATCH("S01",SC_ID,0))*F35^2+E35^2*INDEX(SC_LTStd,MATCH("S01",SC_ID,0))^2)+E35*INDEX(SC_LT,MATCH("S01",SC_ID,0)))*(H35*INDEX(LC_Mult,MATCH("Canada",LC_Country,0))),0)</f>
        <v/>
      </c>
      <c r="R35" s="36">
        <f>IF(L35=MIN(L35,N35,P35),"Mexico",IF(N35=MIN(L35,N35,P35),"USA","Canada"))</f>
        <v/>
      </c>
      <c r="S35" s="34">
        <f>MIN(L35,N35,P35)</f>
        <v/>
      </c>
      <c r="T35" s="34">
        <f>K35-S35</f>
        <v/>
      </c>
      <c r="U35" s="35">
        <f>IFERROR(T35/K35,0)</f>
        <v/>
      </c>
      <c r="V35" s="34">
        <f>J35-IF(L35=MIN(L35,N35,P35),M35,IF(N35=MIN(L35,N35,P35),O35,Q35))</f>
        <v/>
      </c>
      <c r="W35" s="36">
        <f>IF(T35&gt;0,"Nearshore: lower total cost",IF(U35&gt;=-LC_Premium,"Nearshore candidate: small premium for resilience","Keep offshore"))</f>
        <v/>
      </c>
      <c r="X35" s="51">
        <f>MATCH("NB-0036",P_SKU,0)</f>
        <v/>
      </c>
    </row>
    <row r="36">
      <c r="A36" s="30">
        <f>INDEX(P_SKU,$X36)</f>
        <v/>
      </c>
      <c r="B36" s="30">
        <f>INDEX(P_Name,$X36)</f>
        <v/>
      </c>
      <c r="C36" s="30">
        <f>INDEX(P_Sup,$X36)</f>
        <v/>
      </c>
      <c r="D36" s="36">
        <f>INDEX(Supplier_Scorecard!$C$5:$C$12,MATCH(C36,SC_ID,0))</f>
        <v/>
      </c>
      <c r="E36" s="33">
        <f>INDEX(P_Demand,$X36)</f>
        <v/>
      </c>
      <c r="F36" s="33">
        <f>INDEX(P_Std,$X36)</f>
        <v/>
      </c>
      <c r="G36" s="57">
        <f>INDEX(P_Cost,$X36)</f>
        <v/>
      </c>
      <c r="H36" s="57">
        <f>G36/INDEX(LC_Price,MATCH(D36,LC_Country,0))</f>
        <v/>
      </c>
      <c r="I36" s="57">
        <f>H36*INDEX(LC_Mult,MATCH(D36,LC_Country,0))</f>
        <v/>
      </c>
      <c r="J36" s="34">
        <f>(z*SQRT(INDEX(SC_LT,MATCH(C36,SC_ID,0))*F36^2+E36^2*INDEX(SC_LTStd,MATCH(C36,SC_ID,0))^2)+E36*INDEX(SC_LT,MATCH(C36,SC_ID,0)))*I36</f>
        <v/>
      </c>
      <c r="K36" s="34">
        <f>E36*WeeksYear*I36+(z*SQRT(INDEX(SC_LT,MATCH(C36,SC_ID,0))*F36^2+E36^2*INDEX(SC_LTStd,MATCH(C36,SC_ID,0))^2)+E36*INDEX(SC_LT,MATCH(C36,SC_ID,0)))*I36*HoldRate</f>
        <v/>
      </c>
      <c r="L36" s="34">
        <f>IFERROR(E36*WeeksYear*(H36*INDEX(LC_Mult,MATCH("Mexico",LC_Country,0)))+(z*SQRT(INDEX(SC_LT,MATCH("S04",SC_ID,0))*F36^2+E36^2*INDEX(SC_LTStd,MATCH("S04",SC_ID,0))^2)+E36*INDEX(SC_LT,MATCH("S04",SC_ID,0)))*(H36*INDEX(LC_Mult,MATCH("Mexico",LC_Country,0)))*HoldRate,9.99E+99)</f>
        <v/>
      </c>
      <c r="M36" s="34">
        <f>IFERROR((z*SQRT(INDEX(SC_LT,MATCH("S04",SC_ID,0))*F36^2+E36^2*INDEX(SC_LTStd,MATCH("S04",SC_ID,0))^2)+E36*INDEX(SC_LT,MATCH("S04",SC_ID,0)))*(H36*INDEX(LC_Mult,MATCH("Mexico",LC_Country,0))),0)</f>
        <v/>
      </c>
      <c r="N36" s="34">
        <f>IFERROR(E36*WeeksYear*(H36*INDEX(LC_Mult,MATCH("USA",LC_Country,0)))+(z*SQRT(INDEX(SC_LT,MATCH("S02",SC_ID,0))*F36^2+E36^2*INDEX(SC_LTStd,MATCH("S02",SC_ID,0))^2)+E36*INDEX(SC_LT,MATCH("S02",SC_ID,0)))*(H36*INDEX(LC_Mult,MATCH("USA",LC_Country,0)))*HoldRate,9.99E+99)</f>
        <v/>
      </c>
      <c r="O36" s="34">
        <f>IFERROR((z*SQRT(INDEX(SC_LT,MATCH("S02",SC_ID,0))*F36^2+E36^2*INDEX(SC_LTStd,MATCH("S02",SC_ID,0))^2)+E36*INDEX(SC_LT,MATCH("S02",SC_ID,0)))*(H36*INDEX(LC_Mult,MATCH("USA",LC_Country,0))),0)</f>
        <v/>
      </c>
      <c r="P36" s="34">
        <f>IFERROR(E36*WeeksYear*(H36*INDEX(LC_Mult,MATCH("Canada",LC_Country,0)))+(z*SQRT(INDEX(SC_LT,MATCH("S01",SC_ID,0))*F36^2+E36^2*INDEX(SC_LTStd,MATCH("S01",SC_ID,0))^2)+E36*INDEX(SC_LT,MATCH("S01",SC_ID,0)))*(H36*INDEX(LC_Mult,MATCH("Canada",LC_Country,0)))*HoldRate,9.99E+99)</f>
        <v/>
      </c>
      <c r="Q36" s="34">
        <f>IFERROR((z*SQRT(INDEX(SC_LT,MATCH("S01",SC_ID,0))*F36^2+E36^2*INDEX(SC_LTStd,MATCH("S01",SC_ID,0))^2)+E36*INDEX(SC_LT,MATCH("S01",SC_ID,0)))*(H36*INDEX(LC_Mult,MATCH("Canada",LC_Country,0))),0)</f>
        <v/>
      </c>
      <c r="R36" s="36">
        <f>IF(L36=MIN(L36,N36,P36),"Mexico",IF(N36=MIN(L36,N36,P36),"USA","Canada"))</f>
        <v/>
      </c>
      <c r="S36" s="34">
        <f>MIN(L36,N36,P36)</f>
        <v/>
      </c>
      <c r="T36" s="34">
        <f>K36-S36</f>
        <v/>
      </c>
      <c r="U36" s="35">
        <f>IFERROR(T36/K36,0)</f>
        <v/>
      </c>
      <c r="V36" s="34">
        <f>J36-IF(L36=MIN(L36,N36,P36),M36,IF(N36=MIN(L36,N36,P36),O36,Q36))</f>
        <v/>
      </c>
      <c r="W36" s="36">
        <f>IF(T36&gt;0,"Nearshore: lower total cost",IF(U36&gt;=-LC_Premium,"Nearshore candidate: small premium for resilience","Keep offshore"))</f>
        <v/>
      </c>
      <c r="X36" s="51">
        <f>MATCH("NB-0037",P_SKU,0)</f>
        <v/>
      </c>
    </row>
    <row r="37">
      <c r="A37" s="30">
        <f>INDEX(P_SKU,$X37)</f>
        <v/>
      </c>
      <c r="B37" s="30">
        <f>INDEX(P_Name,$X37)</f>
        <v/>
      </c>
      <c r="C37" s="30">
        <f>INDEX(P_Sup,$X37)</f>
        <v/>
      </c>
      <c r="D37" s="36">
        <f>INDEX(Supplier_Scorecard!$C$5:$C$12,MATCH(C37,SC_ID,0))</f>
        <v/>
      </c>
      <c r="E37" s="33">
        <f>INDEX(P_Demand,$X37)</f>
        <v/>
      </c>
      <c r="F37" s="33">
        <f>INDEX(P_Std,$X37)</f>
        <v/>
      </c>
      <c r="G37" s="57">
        <f>INDEX(P_Cost,$X37)</f>
        <v/>
      </c>
      <c r="H37" s="57">
        <f>G37/INDEX(LC_Price,MATCH(D37,LC_Country,0))</f>
        <v/>
      </c>
      <c r="I37" s="57">
        <f>H37*INDEX(LC_Mult,MATCH(D37,LC_Country,0))</f>
        <v/>
      </c>
      <c r="J37" s="34">
        <f>(z*SQRT(INDEX(SC_LT,MATCH(C37,SC_ID,0))*F37^2+E37^2*INDEX(SC_LTStd,MATCH(C37,SC_ID,0))^2)+E37*INDEX(SC_LT,MATCH(C37,SC_ID,0)))*I37</f>
        <v/>
      </c>
      <c r="K37" s="34">
        <f>E37*WeeksYear*I37+(z*SQRT(INDEX(SC_LT,MATCH(C37,SC_ID,0))*F37^2+E37^2*INDEX(SC_LTStd,MATCH(C37,SC_ID,0))^2)+E37*INDEX(SC_LT,MATCH(C37,SC_ID,0)))*I37*HoldRate</f>
        <v/>
      </c>
      <c r="L37" s="34">
        <f>IFERROR(E37*WeeksYear*(H37*INDEX(LC_Mult,MATCH("Mexico",LC_Country,0)))+(z*SQRT(INDEX(SC_LT,MATCH("S04",SC_ID,0))*F37^2+E37^2*INDEX(SC_LTStd,MATCH("S04",SC_ID,0))^2)+E37*INDEX(SC_LT,MATCH("S04",SC_ID,0)))*(H37*INDEX(LC_Mult,MATCH("Mexico",LC_Country,0)))*HoldRate,9.99E+99)</f>
        <v/>
      </c>
      <c r="M37" s="34">
        <f>IFERROR((z*SQRT(INDEX(SC_LT,MATCH("S04",SC_ID,0))*F37^2+E37^2*INDEX(SC_LTStd,MATCH("S04",SC_ID,0))^2)+E37*INDEX(SC_LT,MATCH("S04",SC_ID,0)))*(H37*INDEX(LC_Mult,MATCH("Mexico",LC_Country,0))),0)</f>
        <v/>
      </c>
      <c r="N37" s="34">
        <f>IFERROR(E37*WeeksYear*(H37*INDEX(LC_Mult,MATCH("USA",LC_Country,0)))+(z*SQRT(INDEX(SC_LT,MATCH("S02",SC_ID,0))*F37^2+E37^2*INDEX(SC_LTStd,MATCH("S02",SC_ID,0))^2)+E37*INDEX(SC_LT,MATCH("S02",SC_ID,0)))*(H37*INDEX(LC_Mult,MATCH("USA",LC_Country,0)))*HoldRate,9.99E+99)</f>
        <v/>
      </c>
      <c r="O37" s="34">
        <f>IFERROR((z*SQRT(INDEX(SC_LT,MATCH("S02",SC_ID,0))*F37^2+E37^2*INDEX(SC_LTStd,MATCH("S02",SC_ID,0))^2)+E37*INDEX(SC_LT,MATCH("S02",SC_ID,0)))*(H37*INDEX(LC_Mult,MATCH("USA",LC_Country,0))),0)</f>
        <v/>
      </c>
      <c r="P37" s="34">
        <f>IFERROR(E37*WeeksYear*(H37*INDEX(LC_Mult,MATCH("Canada",LC_Country,0)))+(z*SQRT(INDEX(SC_LT,MATCH("S01",SC_ID,0))*F37^2+E37^2*INDEX(SC_LTStd,MATCH("S01",SC_ID,0))^2)+E37*INDEX(SC_LT,MATCH("S01",SC_ID,0)))*(H37*INDEX(LC_Mult,MATCH("Canada",LC_Country,0)))*HoldRate,9.99E+99)</f>
        <v/>
      </c>
      <c r="Q37" s="34">
        <f>IFERROR((z*SQRT(INDEX(SC_LT,MATCH("S01",SC_ID,0))*F37^2+E37^2*INDEX(SC_LTStd,MATCH("S01",SC_ID,0))^2)+E37*INDEX(SC_LT,MATCH("S01",SC_ID,0)))*(H37*INDEX(LC_Mult,MATCH("Canada",LC_Country,0))),0)</f>
        <v/>
      </c>
      <c r="R37" s="36">
        <f>IF(L37=MIN(L37,N37,P37),"Mexico",IF(N37=MIN(L37,N37,P37),"USA","Canada"))</f>
        <v/>
      </c>
      <c r="S37" s="34">
        <f>MIN(L37,N37,P37)</f>
        <v/>
      </c>
      <c r="T37" s="34">
        <f>K37-S37</f>
        <v/>
      </c>
      <c r="U37" s="35">
        <f>IFERROR(T37/K37,0)</f>
        <v/>
      </c>
      <c r="V37" s="34">
        <f>J37-IF(L37=MIN(L37,N37,P37),M37,IF(N37=MIN(L37,N37,P37),O37,Q37))</f>
        <v/>
      </c>
      <c r="W37" s="36">
        <f>IF(T37&gt;0,"Nearshore: lower total cost",IF(U37&gt;=-LC_Premium,"Nearshore candidate: small premium for resilience","Keep offshore"))</f>
        <v/>
      </c>
      <c r="X37" s="51">
        <f>MATCH("NB-0038",P_SKU,0)</f>
        <v/>
      </c>
    </row>
    <row r="38">
      <c r="A38" s="30">
        <f>INDEX(P_SKU,$X38)</f>
        <v/>
      </c>
      <c r="B38" s="30">
        <f>INDEX(P_Name,$X38)</f>
        <v/>
      </c>
      <c r="C38" s="30">
        <f>INDEX(P_Sup,$X38)</f>
        <v/>
      </c>
      <c r="D38" s="36">
        <f>INDEX(Supplier_Scorecard!$C$5:$C$12,MATCH(C38,SC_ID,0))</f>
        <v/>
      </c>
      <c r="E38" s="33">
        <f>INDEX(P_Demand,$X38)</f>
        <v/>
      </c>
      <c r="F38" s="33">
        <f>INDEX(P_Std,$X38)</f>
        <v/>
      </c>
      <c r="G38" s="57">
        <f>INDEX(P_Cost,$X38)</f>
        <v/>
      </c>
      <c r="H38" s="57">
        <f>G38/INDEX(LC_Price,MATCH(D38,LC_Country,0))</f>
        <v/>
      </c>
      <c r="I38" s="57">
        <f>H38*INDEX(LC_Mult,MATCH(D38,LC_Country,0))</f>
        <v/>
      </c>
      <c r="J38" s="34">
        <f>(z*SQRT(INDEX(SC_LT,MATCH(C38,SC_ID,0))*F38^2+E38^2*INDEX(SC_LTStd,MATCH(C38,SC_ID,0))^2)+E38*INDEX(SC_LT,MATCH(C38,SC_ID,0)))*I38</f>
        <v/>
      </c>
      <c r="K38" s="34">
        <f>E38*WeeksYear*I38+(z*SQRT(INDEX(SC_LT,MATCH(C38,SC_ID,0))*F38^2+E38^2*INDEX(SC_LTStd,MATCH(C38,SC_ID,0))^2)+E38*INDEX(SC_LT,MATCH(C38,SC_ID,0)))*I38*HoldRate</f>
        <v/>
      </c>
      <c r="L38" s="34">
        <f>IFERROR(E38*WeeksYear*(H38*INDEX(LC_Mult,MATCH("Mexico",LC_Country,0)))+(z*SQRT(INDEX(SC_LT,MATCH("S04",SC_ID,0))*F38^2+E38^2*INDEX(SC_LTStd,MATCH("S04",SC_ID,0))^2)+E38*INDEX(SC_LT,MATCH("S04",SC_ID,0)))*(H38*INDEX(LC_Mult,MATCH("Mexico",LC_Country,0)))*HoldRate,9.99E+99)</f>
        <v/>
      </c>
      <c r="M38" s="34">
        <f>IFERROR((z*SQRT(INDEX(SC_LT,MATCH("S04",SC_ID,0))*F38^2+E38^2*INDEX(SC_LTStd,MATCH("S04",SC_ID,0))^2)+E38*INDEX(SC_LT,MATCH("S04",SC_ID,0)))*(H38*INDEX(LC_Mult,MATCH("Mexico",LC_Country,0))),0)</f>
        <v/>
      </c>
      <c r="N38" s="34">
        <f>IFERROR(E38*WeeksYear*(H38*INDEX(LC_Mult,MATCH("USA",LC_Country,0)))+(z*SQRT(INDEX(SC_LT,MATCH("S02",SC_ID,0))*F38^2+E38^2*INDEX(SC_LTStd,MATCH("S02",SC_ID,0))^2)+E38*INDEX(SC_LT,MATCH("S02",SC_ID,0)))*(H38*INDEX(LC_Mult,MATCH("USA",LC_Country,0)))*HoldRate,9.99E+99)</f>
        <v/>
      </c>
      <c r="O38" s="34">
        <f>IFERROR((z*SQRT(INDEX(SC_LT,MATCH("S02",SC_ID,0))*F38^2+E38^2*INDEX(SC_LTStd,MATCH("S02",SC_ID,0))^2)+E38*INDEX(SC_LT,MATCH("S02",SC_ID,0)))*(H38*INDEX(LC_Mult,MATCH("USA",LC_Country,0))),0)</f>
        <v/>
      </c>
      <c r="P38" s="34">
        <f>IFERROR(E38*WeeksYear*(H38*INDEX(LC_Mult,MATCH("Canada",LC_Country,0)))+(z*SQRT(INDEX(SC_LT,MATCH("S01",SC_ID,0))*F38^2+E38^2*INDEX(SC_LTStd,MATCH("S01",SC_ID,0))^2)+E38*INDEX(SC_LT,MATCH("S01",SC_ID,0)))*(H38*INDEX(LC_Mult,MATCH("Canada",LC_Country,0)))*HoldRate,9.99E+99)</f>
        <v/>
      </c>
      <c r="Q38" s="34">
        <f>IFERROR((z*SQRT(INDEX(SC_LT,MATCH("S01",SC_ID,0))*F38^2+E38^2*INDEX(SC_LTStd,MATCH("S01",SC_ID,0))^2)+E38*INDEX(SC_LT,MATCH("S01",SC_ID,0)))*(H38*INDEX(LC_Mult,MATCH("Canada",LC_Country,0))),0)</f>
        <v/>
      </c>
      <c r="R38" s="36">
        <f>IF(L38=MIN(L38,N38,P38),"Mexico",IF(N38=MIN(L38,N38,P38),"USA","Canada"))</f>
        <v/>
      </c>
      <c r="S38" s="34">
        <f>MIN(L38,N38,P38)</f>
        <v/>
      </c>
      <c r="T38" s="34">
        <f>K38-S38</f>
        <v/>
      </c>
      <c r="U38" s="35">
        <f>IFERROR(T38/K38,0)</f>
        <v/>
      </c>
      <c r="V38" s="34">
        <f>J38-IF(L38=MIN(L38,N38,P38),M38,IF(N38=MIN(L38,N38,P38),O38,Q38))</f>
        <v/>
      </c>
      <c r="W38" s="36">
        <f>IF(T38&gt;0,"Nearshore: lower total cost",IF(U38&gt;=-LC_Premium,"Nearshore candidate: small premium for resilience","Keep offshore"))</f>
        <v/>
      </c>
      <c r="X38" s="51">
        <f>MATCH("NB-0039",P_SKU,0)</f>
        <v/>
      </c>
    </row>
    <row r="39">
      <c r="A39" s="30">
        <f>INDEX(P_SKU,$X39)</f>
        <v/>
      </c>
      <c r="B39" s="30">
        <f>INDEX(P_Name,$X39)</f>
        <v/>
      </c>
      <c r="C39" s="30">
        <f>INDEX(P_Sup,$X39)</f>
        <v/>
      </c>
      <c r="D39" s="36">
        <f>INDEX(Supplier_Scorecard!$C$5:$C$12,MATCH(C39,SC_ID,0))</f>
        <v/>
      </c>
      <c r="E39" s="33">
        <f>INDEX(P_Demand,$X39)</f>
        <v/>
      </c>
      <c r="F39" s="33">
        <f>INDEX(P_Std,$X39)</f>
        <v/>
      </c>
      <c r="G39" s="57">
        <f>INDEX(P_Cost,$X39)</f>
        <v/>
      </c>
      <c r="H39" s="57">
        <f>G39/INDEX(LC_Price,MATCH(D39,LC_Country,0))</f>
        <v/>
      </c>
      <c r="I39" s="57">
        <f>H39*INDEX(LC_Mult,MATCH(D39,LC_Country,0))</f>
        <v/>
      </c>
      <c r="J39" s="34">
        <f>(z*SQRT(INDEX(SC_LT,MATCH(C39,SC_ID,0))*F39^2+E39^2*INDEX(SC_LTStd,MATCH(C39,SC_ID,0))^2)+E39*INDEX(SC_LT,MATCH(C39,SC_ID,0)))*I39</f>
        <v/>
      </c>
      <c r="K39" s="34">
        <f>E39*WeeksYear*I39+(z*SQRT(INDEX(SC_LT,MATCH(C39,SC_ID,0))*F39^2+E39^2*INDEX(SC_LTStd,MATCH(C39,SC_ID,0))^2)+E39*INDEX(SC_LT,MATCH(C39,SC_ID,0)))*I39*HoldRate</f>
        <v/>
      </c>
      <c r="L39" s="34">
        <f>IFERROR(E39*WeeksYear*(H39*INDEX(LC_Mult,MATCH("Mexico",LC_Country,0)))+(z*SQRT(INDEX(SC_LT,MATCH("S04",SC_ID,0))*F39^2+E39^2*INDEX(SC_LTStd,MATCH("S04",SC_ID,0))^2)+E39*INDEX(SC_LT,MATCH("S04",SC_ID,0)))*(H39*INDEX(LC_Mult,MATCH("Mexico",LC_Country,0)))*HoldRate,9.99E+99)</f>
        <v/>
      </c>
      <c r="M39" s="34">
        <f>IFERROR((z*SQRT(INDEX(SC_LT,MATCH("S04",SC_ID,0))*F39^2+E39^2*INDEX(SC_LTStd,MATCH("S04",SC_ID,0))^2)+E39*INDEX(SC_LT,MATCH("S04",SC_ID,0)))*(H39*INDEX(LC_Mult,MATCH("Mexico",LC_Country,0))),0)</f>
        <v/>
      </c>
      <c r="N39" s="34">
        <f>IFERROR(E39*WeeksYear*(H39*INDEX(LC_Mult,MATCH("USA",LC_Country,0)))+(z*SQRT(INDEX(SC_LT,MATCH("S02",SC_ID,0))*F39^2+E39^2*INDEX(SC_LTStd,MATCH("S02",SC_ID,0))^2)+E39*INDEX(SC_LT,MATCH("S02",SC_ID,0)))*(H39*INDEX(LC_Mult,MATCH("USA",LC_Country,0)))*HoldRate,9.99E+99)</f>
        <v/>
      </c>
      <c r="O39" s="34">
        <f>IFERROR((z*SQRT(INDEX(SC_LT,MATCH("S02",SC_ID,0))*F39^2+E39^2*INDEX(SC_LTStd,MATCH("S02",SC_ID,0))^2)+E39*INDEX(SC_LT,MATCH("S02",SC_ID,0)))*(H39*INDEX(LC_Mult,MATCH("USA",LC_Country,0))),0)</f>
        <v/>
      </c>
      <c r="P39" s="34">
        <f>IFERROR(E39*WeeksYear*(H39*INDEX(LC_Mult,MATCH("Canada",LC_Country,0)))+(z*SQRT(INDEX(SC_LT,MATCH("S01",SC_ID,0))*F39^2+E39^2*INDEX(SC_LTStd,MATCH("S01",SC_ID,0))^2)+E39*INDEX(SC_LT,MATCH("S01",SC_ID,0)))*(H39*INDEX(LC_Mult,MATCH("Canada",LC_Country,0)))*HoldRate,9.99E+99)</f>
        <v/>
      </c>
      <c r="Q39" s="34">
        <f>IFERROR((z*SQRT(INDEX(SC_LT,MATCH("S01",SC_ID,0))*F39^2+E39^2*INDEX(SC_LTStd,MATCH("S01",SC_ID,0))^2)+E39*INDEX(SC_LT,MATCH("S01",SC_ID,0)))*(H39*INDEX(LC_Mult,MATCH("Canada",LC_Country,0))),0)</f>
        <v/>
      </c>
      <c r="R39" s="36">
        <f>IF(L39=MIN(L39,N39,P39),"Mexico",IF(N39=MIN(L39,N39,P39),"USA","Canada"))</f>
        <v/>
      </c>
      <c r="S39" s="34">
        <f>MIN(L39,N39,P39)</f>
        <v/>
      </c>
      <c r="T39" s="34">
        <f>K39-S39</f>
        <v/>
      </c>
      <c r="U39" s="35">
        <f>IFERROR(T39/K39,0)</f>
        <v/>
      </c>
      <c r="V39" s="34">
        <f>J39-IF(L39=MIN(L39,N39,P39),M39,IF(N39=MIN(L39,N39,P39),O39,Q39))</f>
        <v/>
      </c>
      <c r="W39" s="36">
        <f>IF(T39&gt;0,"Nearshore: lower total cost",IF(U39&gt;=-LC_Premium,"Nearshore candidate: small premium for resilience","Keep offshore"))</f>
        <v/>
      </c>
      <c r="X39" s="51">
        <f>MATCH("NB-0043",P_SKU,0)</f>
        <v/>
      </c>
    </row>
    <row r="40">
      <c r="A40" s="30">
        <f>INDEX(P_SKU,$X40)</f>
        <v/>
      </c>
      <c r="B40" s="30">
        <f>INDEX(P_Name,$X40)</f>
        <v/>
      </c>
      <c r="C40" s="30">
        <f>INDEX(P_Sup,$X40)</f>
        <v/>
      </c>
      <c r="D40" s="36">
        <f>INDEX(Supplier_Scorecard!$C$5:$C$12,MATCH(C40,SC_ID,0))</f>
        <v/>
      </c>
      <c r="E40" s="33">
        <f>INDEX(P_Demand,$X40)</f>
        <v/>
      </c>
      <c r="F40" s="33">
        <f>INDEX(P_Std,$X40)</f>
        <v/>
      </c>
      <c r="G40" s="57">
        <f>INDEX(P_Cost,$X40)</f>
        <v/>
      </c>
      <c r="H40" s="57">
        <f>G40/INDEX(LC_Price,MATCH(D40,LC_Country,0))</f>
        <v/>
      </c>
      <c r="I40" s="57">
        <f>H40*INDEX(LC_Mult,MATCH(D40,LC_Country,0))</f>
        <v/>
      </c>
      <c r="J40" s="34">
        <f>(z*SQRT(INDEX(SC_LT,MATCH(C40,SC_ID,0))*F40^2+E40^2*INDEX(SC_LTStd,MATCH(C40,SC_ID,0))^2)+E40*INDEX(SC_LT,MATCH(C40,SC_ID,0)))*I40</f>
        <v/>
      </c>
      <c r="K40" s="34">
        <f>E40*WeeksYear*I40+(z*SQRT(INDEX(SC_LT,MATCH(C40,SC_ID,0))*F40^2+E40^2*INDEX(SC_LTStd,MATCH(C40,SC_ID,0))^2)+E40*INDEX(SC_LT,MATCH(C40,SC_ID,0)))*I40*HoldRate</f>
        <v/>
      </c>
      <c r="L40" s="34">
        <f>IFERROR(E40*WeeksYear*(H40*INDEX(LC_Mult,MATCH("Mexico",LC_Country,0)))+(z*SQRT(INDEX(SC_LT,MATCH("S04",SC_ID,0))*F40^2+E40^2*INDEX(SC_LTStd,MATCH("S04",SC_ID,0))^2)+E40*INDEX(SC_LT,MATCH("S04",SC_ID,0)))*(H40*INDEX(LC_Mult,MATCH("Mexico",LC_Country,0)))*HoldRate,9.99E+99)</f>
        <v/>
      </c>
      <c r="M40" s="34">
        <f>IFERROR((z*SQRT(INDEX(SC_LT,MATCH("S04",SC_ID,0))*F40^2+E40^2*INDEX(SC_LTStd,MATCH("S04",SC_ID,0))^2)+E40*INDEX(SC_LT,MATCH("S04",SC_ID,0)))*(H40*INDEX(LC_Mult,MATCH("Mexico",LC_Country,0))),0)</f>
        <v/>
      </c>
      <c r="N40" s="34">
        <f>IFERROR(E40*WeeksYear*(H40*INDEX(LC_Mult,MATCH("USA",LC_Country,0)))+(z*SQRT(INDEX(SC_LT,MATCH("S02",SC_ID,0))*F40^2+E40^2*INDEX(SC_LTStd,MATCH("S02",SC_ID,0))^2)+E40*INDEX(SC_LT,MATCH("S02",SC_ID,0)))*(H40*INDEX(LC_Mult,MATCH("USA",LC_Country,0)))*HoldRate,9.99E+99)</f>
        <v/>
      </c>
      <c r="O40" s="34">
        <f>IFERROR((z*SQRT(INDEX(SC_LT,MATCH("S02",SC_ID,0))*F40^2+E40^2*INDEX(SC_LTStd,MATCH("S02",SC_ID,0))^2)+E40*INDEX(SC_LT,MATCH("S02",SC_ID,0)))*(H40*INDEX(LC_Mult,MATCH("USA",LC_Country,0))),0)</f>
        <v/>
      </c>
      <c r="P40" s="34">
        <f>IFERROR(E40*WeeksYear*(H40*INDEX(LC_Mult,MATCH("Canada",LC_Country,0)))+(z*SQRT(INDEX(SC_LT,MATCH("S01",SC_ID,0))*F40^2+E40^2*INDEX(SC_LTStd,MATCH("S01",SC_ID,0))^2)+E40*INDEX(SC_LT,MATCH("S01",SC_ID,0)))*(H40*INDEX(LC_Mult,MATCH("Canada",LC_Country,0)))*HoldRate,9.99E+99)</f>
        <v/>
      </c>
      <c r="Q40" s="34">
        <f>IFERROR((z*SQRT(INDEX(SC_LT,MATCH("S01",SC_ID,0))*F40^2+E40^2*INDEX(SC_LTStd,MATCH("S01",SC_ID,0))^2)+E40*INDEX(SC_LT,MATCH("S01",SC_ID,0)))*(H40*INDEX(LC_Mult,MATCH("Canada",LC_Country,0))),0)</f>
        <v/>
      </c>
      <c r="R40" s="36">
        <f>IF(L40=MIN(L40,N40,P40),"Mexico",IF(N40=MIN(L40,N40,P40),"USA","Canada"))</f>
        <v/>
      </c>
      <c r="S40" s="34">
        <f>MIN(L40,N40,P40)</f>
        <v/>
      </c>
      <c r="T40" s="34">
        <f>K40-S40</f>
        <v/>
      </c>
      <c r="U40" s="35">
        <f>IFERROR(T40/K40,0)</f>
        <v/>
      </c>
      <c r="V40" s="34">
        <f>J40-IF(L40=MIN(L40,N40,P40),M40,IF(N40=MIN(L40,N40,P40),O40,Q40))</f>
        <v/>
      </c>
      <c r="W40" s="36">
        <f>IF(T40&gt;0,"Nearshore: lower total cost",IF(U40&gt;=-LC_Premium,"Nearshore candidate: small premium for resilience","Keep offshore"))</f>
        <v/>
      </c>
      <c r="X40" s="51">
        <f>MATCH("NB-0044",P_SKU,0)</f>
        <v/>
      </c>
    </row>
    <row r="41">
      <c r="A41" s="30">
        <f>INDEX(P_SKU,$X41)</f>
        <v/>
      </c>
      <c r="B41" s="30">
        <f>INDEX(P_Name,$X41)</f>
        <v/>
      </c>
      <c r="C41" s="30">
        <f>INDEX(P_Sup,$X41)</f>
        <v/>
      </c>
      <c r="D41" s="36">
        <f>INDEX(Supplier_Scorecard!$C$5:$C$12,MATCH(C41,SC_ID,0))</f>
        <v/>
      </c>
      <c r="E41" s="33">
        <f>INDEX(P_Demand,$X41)</f>
        <v/>
      </c>
      <c r="F41" s="33">
        <f>INDEX(P_Std,$X41)</f>
        <v/>
      </c>
      <c r="G41" s="57">
        <f>INDEX(P_Cost,$X41)</f>
        <v/>
      </c>
      <c r="H41" s="57">
        <f>G41/INDEX(LC_Price,MATCH(D41,LC_Country,0))</f>
        <v/>
      </c>
      <c r="I41" s="57">
        <f>H41*INDEX(LC_Mult,MATCH(D41,LC_Country,0))</f>
        <v/>
      </c>
      <c r="J41" s="34">
        <f>(z*SQRT(INDEX(SC_LT,MATCH(C41,SC_ID,0))*F41^2+E41^2*INDEX(SC_LTStd,MATCH(C41,SC_ID,0))^2)+E41*INDEX(SC_LT,MATCH(C41,SC_ID,0)))*I41</f>
        <v/>
      </c>
      <c r="K41" s="34">
        <f>E41*WeeksYear*I41+(z*SQRT(INDEX(SC_LT,MATCH(C41,SC_ID,0))*F41^2+E41^2*INDEX(SC_LTStd,MATCH(C41,SC_ID,0))^2)+E41*INDEX(SC_LT,MATCH(C41,SC_ID,0)))*I41*HoldRate</f>
        <v/>
      </c>
      <c r="L41" s="34">
        <f>IFERROR(E41*WeeksYear*(H41*INDEX(LC_Mult,MATCH("Mexico",LC_Country,0)))+(z*SQRT(INDEX(SC_LT,MATCH("S04",SC_ID,0))*F41^2+E41^2*INDEX(SC_LTStd,MATCH("S04",SC_ID,0))^2)+E41*INDEX(SC_LT,MATCH("S04",SC_ID,0)))*(H41*INDEX(LC_Mult,MATCH("Mexico",LC_Country,0)))*HoldRate,9.99E+99)</f>
        <v/>
      </c>
      <c r="M41" s="34">
        <f>IFERROR((z*SQRT(INDEX(SC_LT,MATCH("S04",SC_ID,0))*F41^2+E41^2*INDEX(SC_LTStd,MATCH("S04",SC_ID,0))^2)+E41*INDEX(SC_LT,MATCH("S04",SC_ID,0)))*(H41*INDEX(LC_Mult,MATCH("Mexico",LC_Country,0))),0)</f>
        <v/>
      </c>
      <c r="N41" s="34">
        <f>IFERROR(E41*WeeksYear*(H41*INDEX(LC_Mult,MATCH("USA",LC_Country,0)))+(z*SQRT(INDEX(SC_LT,MATCH("S02",SC_ID,0))*F41^2+E41^2*INDEX(SC_LTStd,MATCH("S02",SC_ID,0))^2)+E41*INDEX(SC_LT,MATCH("S02",SC_ID,0)))*(H41*INDEX(LC_Mult,MATCH("USA",LC_Country,0)))*HoldRate,9.99E+99)</f>
        <v/>
      </c>
      <c r="O41" s="34">
        <f>IFERROR((z*SQRT(INDEX(SC_LT,MATCH("S02",SC_ID,0))*F41^2+E41^2*INDEX(SC_LTStd,MATCH("S02",SC_ID,0))^2)+E41*INDEX(SC_LT,MATCH("S02",SC_ID,0)))*(H41*INDEX(LC_Mult,MATCH("USA",LC_Country,0))),0)</f>
        <v/>
      </c>
      <c r="P41" s="34">
        <f>IFERROR(E41*WeeksYear*(H41*INDEX(LC_Mult,MATCH("Canada",LC_Country,0)))+(z*SQRT(INDEX(SC_LT,MATCH("S01",SC_ID,0))*F41^2+E41^2*INDEX(SC_LTStd,MATCH("S01",SC_ID,0))^2)+E41*INDEX(SC_LT,MATCH("S01",SC_ID,0)))*(H41*INDEX(LC_Mult,MATCH("Canada",LC_Country,0)))*HoldRate,9.99E+99)</f>
        <v/>
      </c>
      <c r="Q41" s="34">
        <f>IFERROR((z*SQRT(INDEX(SC_LT,MATCH("S01",SC_ID,0))*F41^2+E41^2*INDEX(SC_LTStd,MATCH("S01",SC_ID,0))^2)+E41*INDEX(SC_LT,MATCH("S01",SC_ID,0)))*(H41*INDEX(LC_Mult,MATCH("Canada",LC_Country,0))),0)</f>
        <v/>
      </c>
      <c r="R41" s="36">
        <f>IF(L41=MIN(L41,N41,P41),"Mexico",IF(N41=MIN(L41,N41,P41),"USA","Canada"))</f>
        <v/>
      </c>
      <c r="S41" s="34">
        <f>MIN(L41,N41,P41)</f>
        <v/>
      </c>
      <c r="T41" s="34">
        <f>K41-S41</f>
        <v/>
      </c>
      <c r="U41" s="35">
        <f>IFERROR(T41/K41,0)</f>
        <v/>
      </c>
      <c r="V41" s="34">
        <f>J41-IF(L41=MIN(L41,N41,P41),M41,IF(N41=MIN(L41,N41,P41),O41,Q41))</f>
        <v/>
      </c>
      <c r="W41" s="36">
        <f>IF(T41&gt;0,"Nearshore: lower total cost",IF(U41&gt;=-LC_Premium,"Nearshore candidate: small premium for resilience","Keep offshore"))</f>
        <v/>
      </c>
      <c r="X41" s="51">
        <f>MATCH("NB-0045",P_SKU,0)</f>
        <v/>
      </c>
    </row>
    <row r="42">
      <c r="A42" s="30">
        <f>INDEX(P_SKU,$X42)</f>
        <v/>
      </c>
      <c r="B42" s="30">
        <f>INDEX(P_Name,$X42)</f>
        <v/>
      </c>
      <c r="C42" s="30">
        <f>INDEX(P_Sup,$X42)</f>
        <v/>
      </c>
      <c r="D42" s="36">
        <f>INDEX(Supplier_Scorecard!$C$5:$C$12,MATCH(C42,SC_ID,0))</f>
        <v/>
      </c>
      <c r="E42" s="33">
        <f>INDEX(P_Demand,$X42)</f>
        <v/>
      </c>
      <c r="F42" s="33">
        <f>INDEX(P_Std,$X42)</f>
        <v/>
      </c>
      <c r="G42" s="57">
        <f>INDEX(P_Cost,$X42)</f>
        <v/>
      </c>
      <c r="H42" s="57">
        <f>G42/INDEX(LC_Price,MATCH(D42,LC_Country,0))</f>
        <v/>
      </c>
      <c r="I42" s="57">
        <f>H42*INDEX(LC_Mult,MATCH(D42,LC_Country,0))</f>
        <v/>
      </c>
      <c r="J42" s="34">
        <f>(z*SQRT(INDEX(SC_LT,MATCH(C42,SC_ID,0))*F42^2+E42^2*INDEX(SC_LTStd,MATCH(C42,SC_ID,0))^2)+E42*INDEX(SC_LT,MATCH(C42,SC_ID,0)))*I42</f>
        <v/>
      </c>
      <c r="K42" s="34">
        <f>E42*WeeksYear*I42+(z*SQRT(INDEX(SC_LT,MATCH(C42,SC_ID,0))*F42^2+E42^2*INDEX(SC_LTStd,MATCH(C42,SC_ID,0))^2)+E42*INDEX(SC_LT,MATCH(C42,SC_ID,0)))*I42*HoldRate</f>
        <v/>
      </c>
      <c r="L42" s="34">
        <f>IFERROR(E42*WeeksYear*(H42*INDEX(LC_Mult,MATCH("Mexico",LC_Country,0)))+(z*SQRT(INDEX(SC_LT,MATCH("S04",SC_ID,0))*F42^2+E42^2*INDEX(SC_LTStd,MATCH("S04",SC_ID,0))^2)+E42*INDEX(SC_LT,MATCH("S04",SC_ID,0)))*(H42*INDEX(LC_Mult,MATCH("Mexico",LC_Country,0)))*HoldRate,9.99E+99)</f>
        <v/>
      </c>
      <c r="M42" s="34">
        <f>IFERROR((z*SQRT(INDEX(SC_LT,MATCH("S04",SC_ID,0))*F42^2+E42^2*INDEX(SC_LTStd,MATCH("S04",SC_ID,0))^2)+E42*INDEX(SC_LT,MATCH("S04",SC_ID,0)))*(H42*INDEX(LC_Mult,MATCH("Mexico",LC_Country,0))),0)</f>
        <v/>
      </c>
      <c r="N42" s="34">
        <f>IFERROR(E42*WeeksYear*(H42*INDEX(LC_Mult,MATCH("USA",LC_Country,0)))+(z*SQRT(INDEX(SC_LT,MATCH("S02",SC_ID,0))*F42^2+E42^2*INDEX(SC_LTStd,MATCH("S02",SC_ID,0))^2)+E42*INDEX(SC_LT,MATCH("S02",SC_ID,0)))*(H42*INDEX(LC_Mult,MATCH("USA",LC_Country,0)))*HoldRate,9.99E+99)</f>
        <v/>
      </c>
      <c r="O42" s="34">
        <f>IFERROR((z*SQRT(INDEX(SC_LT,MATCH("S02",SC_ID,0))*F42^2+E42^2*INDEX(SC_LTStd,MATCH("S02",SC_ID,0))^2)+E42*INDEX(SC_LT,MATCH("S02",SC_ID,0)))*(H42*INDEX(LC_Mult,MATCH("USA",LC_Country,0))),0)</f>
        <v/>
      </c>
      <c r="P42" s="34">
        <f>IFERROR(E42*WeeksYear*(H42*INDEX(LC_Mult,MATCH("Canada",LC_Country,0)))+(z*SQRT(INDEX(SC_LT,MATCH("S01",SC_ID,0))*F42^2+E42^2*INDEX(SC_LTStd,MATCH("S01",SC_ID,0))^2)+E42*INDEX(SC_LT,MATCH("S01",SC_ID,0)))*(H42*INDEX(LC_Mult,MATCH("Canada",LC_Country,0)))*HoldRate,9.99E+99)</f>
        <v/>
      </c>
      <c r="Q42" s="34">
        <f>IFERROR((z*SQRT(INDEX(SC_LT,MATCH("S01",SC_ID,0))*F42^2+E42^2*INDEX(SC_LTStd,MATCH("S01",SC_ID,0))^2)+E42*INDEX(SC_LT,MATCH("S01",SC_ID,0)))*(H42*INDEX(LC_Mult,MATCH("Canada",LC_Country,0))),0)</f>
        <v/>
      </c>
      <c r="R42" s="36">
        <f>IF(L42=MIN(L42,N42,P42),"Mexico",IF(N42=MIN(L42,N42,P42),"USA","Canada"))</f>
        <v/>
      </c>
      <c r="S42" s="34">
        <f>MIN(L42,N42,P42)</f>
        <v/>
      </c>
      <c r="T42" s="34">
        <f>K42-S42</f>
        <v/>
      </c>
      <c r="U42" s="35">
        <f>IFERROR(T42/K42,0)</f>
        <v/>
      </c>
      <c r="V42" s="34">
        <f>J42-IF(L42=MIN(L42,N42,P42),M42,IF(N42=MIN(L42,N42,P42),O42,Q42))</f>
        <v/>
      </c>
      <c r="W42" s="36">
        <f>IF(T42&gt;0,"Nearshore: lower total cost",IF(U42&gt;=-LC_Premium,"Nearshore candidate: small premium for resilience","Keep offshore"))</f>
        <v/>
      </c>
      <c r="X42" s="51">
        <f>MATCH("NB-0046",P_SKU,0)</f>
        <v/>
      </c>
    </row>
    <row r="43">
      <c r="A43" s="30">
        <f>INDEX(P_SKU,$X43)</f>
        <v/>
      </c>
      <c r="B43" s="30">
        <f>INDEX(P_Name,$X43)</f>
        <v/>
      </c>
      <c r="C43" s="30">
        <f>INDEX(P_Sup,$X43)</f>
        <v/>
      </c>
      <c r="D43" s="36">
        <f>INDEX(Supplier_Scorecard!$C$5:$C$12,MATCH(C43,SC_ID,0))</f>
        <v/>
      </c>
      <c r="E43" s="33">
        <f>INDEX(P_Demand,$X43)</f>
        <v/>
      </c>
      <c r="F43" s="33">
        <f>INDEX(P_Std,$X43)</f>
        <v/>
      </c>
      <c r="G43" s="57">
        <f>INDEX(P_Cost,$X43)</f>
        <v/>
      </c>
      <c r="H43" s="57">
        <f>G43/INDEX(LC_Price,MATCH(D43,LC_Country,0))</f>
        <v/>
      </c>
      <c r="I43" s="57">
        <f>H43*INDEX(LC_Mult,MATCH(D43,LC_Country,0))</f>
        <v/>
      </c>
      <c r="J43" s="34">
        <f>(z*SQRT(INDEX(SC_LT,MATCH(C43,SC_ID,0))*F43^2+E43^2*INDEX(SC_LTStd,MATCH(C43,SC_ID,0))^2)+E43*INDEX(SC_LT,MATCH(C43,SC_ID,0)))*I43</f>
        <v/>
      </c>
      <c r="K43" s="34">
        <f>E43*WeeksYear*I43+(z*SQRT(INDEX(SC_LT,MATCH(C43,SC_ID,0))*F43^2+E43^2*INDEX(SC_LTStd,MATCH(C43,SC_ID,0))^2)+E43*INDEX(SC_LT,MATCH(C43,SC_ID,0)))*I43*HoldRate</f>
        <v/>
      </c>
      <c r="L43" s="34">
        <f>IFERROR(E43*WeeksYear*(H43*INDEX(LC_Mult,MATCH("Mexico",LC_Country,0)))+(z*SQRT(INDEX(SC_LT,MATCH("S04",SC_ID,0))*F43^2+E43^2*INDEX(SC_LTStd,MATCH("S04",SC_ID,0))^2)+E43*INDEX(SC_LT,MATCH("S04",SC_ID,0)))*(H43*INDEX(LC_Mult,MATCH("Mexico",LC_Country,0)))*HoldRate,9.99E+99)</f>
        <v/>
      </c>
      <c r="M43" s="34">
        <f>IFERROR((z*SQRT(INDEX(SC_LT,MATCH("S04",SC_ID,0))*F43^2+E43^2*INDEX(SC_LTStd,MATCH("S04",SC_ID,0))^2)+E43*INDEX(SC_LT,MATCH("S04",SC_ID,0)))*(H43*INDEX(LC_Mult,MATCH("Mexico",LC_Country,0))),0)</f>
        <v/>
      </c>
      <c r="N43" s="34">
        <f>IFERROR(E43*WeeksYear*(H43*INDEX(LC_Mult,MATCH("USA",LC_Country,0)))+(z*SQRT(INDEX(SC_LT,MATCH("S02",SC_ID,0))*F43^2+E43^2*INDEX(SC_LTStd,MATCH("S02",SC_ID,0))^2)+E43*INDEX(SC_LT,MATCH("S02",SC_ID,0)))*(H43*INDEX(LC_Mult,MATCH("USA",LC_Country,0)))*HoldRate,9.99E+99)</f>
        <v/>
      </c>
      <c r="O43" s="34">
        <f>IFERROR((z*SQRT(INDEX(SC_LT,MATCH("S02",SC_ID,0))*F43^2+E43^2*INDEX(SC_LTStd,MATCH("S02",SC_ID,0))^2)+E43*INDEX(SC_LT,MATCH("S02",SC_ID,0)))*(H43*INDEX(LC_Mult,MATCH("USA",LC_Country,0))),0)</f>
        <v/>
      </c>
      <c r="P43" s="34">
        <f>IFERROR(E43*WeeksYear*(H43*INDEX(LC_Mult,MATCH("Canada",LC_Country,0)))+(z*SQRT(INDEX(SC_LT,MATCH("S01",SC_ID,0))*F43^2+E43^2*INDEX(SC_LTStd,MATCH("S01",SC_ID,0))^2)+E43*INDEX(SC_LT,MATCH("S01",SC_ID,0)))*(H43*INDEX(LC_Mult,MATCH("Canada",LC_Country,0)))*HoldRate,9.99E+99)</f>
        <v/>
      </c>
      <c r="Q43" s="34">
        <f>IFERROR((z*SQRT(INDEX(SC_LT,MATCH("S01",SC_ID,0))*F43^2+E43^2*INDEX(SC_LTStd,MATCH("S01",SC_ID,0))^2)+E43*INDEX(SC_LT,MATCH("S01",SC_ID,0)))*(H43*INDEX(LC_Mult,MATCH("Canada",LC_Country,0))),0)</f>
        <v/>
      </c>
      <c r="R43" s="36">
        <f>IF(L43=MIN(L43,N43,P43),"Mexico",IF(N43=MIN(L43,N43,P43),"USA","Canada"))</f>
        <v/>
      </c>
      <c r="S43" s="34">
        <f>MIN(L43,N43,P43)</f>
        <v/>
      </c>
      <c r="T43" s="34">
        <f>K43-S43</f>
        <v/>
      </c>
      <c r="U43" s="35">
        <f>IFERROR(T43/K43,0)</f>
        <v/>
      </c>
      <c r="V43" s="34">
        <f>J43-IF(L43=MIN(L43,N43,P43),M43,IF(N43=MIN(L43,N43,P43),O43,Q43))</f>
        <v/>
      </c>
      <c r="W43" s="36">
        <f>IF(T43&gt;0,"Nearshore: lower total cost",IF(U43&gt;=-LC_Premium,"Nearshore candidate: small premium for resilience","Keep offshore"))</f>
        <v/>
      </c>
      <c r="X43" s="51">
        <f>MATCH("NB-0047",P_SKU,0)</f>
        <v/>
      </c>
    </row>
  </sheetData>
  <conditionalFormatting sqref="W18:W43">
    <cfRule type="expression" priority="1" dxfId="2">
      <formula>LEFT(W18,27)="Nearshore: lower total cost"</formula>
    </cfRule>
    <cfRule type="expression" priority="2" dxfId="3">
      <formula>LEFT(W18,19)="Nearshore candidate"</formula>
    </cfRule>
    <cfRule type="expression" priority="3" dxfId="4">
      <formula>LEFT(W18,13)="Keep offshore"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14" customWidth="1" min="4" max="4"/>
    <col width="12" customWidth="1" min="5" max="5"/>
  </cols>
  <sheetData>
    <row r="1" ht="30" customHeight="1">
      <c r="A1" s="29" t="inlineStr">
        <is>
          <t>SKU</t>
        </is>
      </c>
      <c r="B1" s="29" t="inlineStr">
        <is>
          <t>Product</t>
        </is>
      </c>
      <c r="C1" s="29" t="inlineStr">
        <is>
          <t>Category</t>
        </is>
      </c>
      <c r="D1" s="29" t="inlineStr">
        <is>
          <t>Unit cost (CAD)</t>
        </is>
      </c>
      <c r="E1" s="29" t="inlineStr">
        <is>
          <t>Supplier ID</t>
        </is>
      </c>
    </row>
    <row r="2">
      <c r="A2" s="14" t="inlineStr">
        <is>
          <t>NB-0001</t>
        </is>
      </c>
      <c r="B2" s="14" t="inlineStr">
        <is>
          <t>Nitrile Exam Gloves M</t>
        </is>
      </c>
      <c r="C2" s="14" t="inlineStr">
        <is>
          <t>PPE</t>
        </is>
      </c>
      <c r="D2" s="58" t="n">
        <v>35.73</v>
      </c>
      <c r="E2" s="14" t="inlineStr">
        <is>
          <t>S08</t>
        </is>
      </c>
    </row>
    <row r="3">
      <c r="A3" s="14" t="inlineStr">
        <is>
          <t>NB-0002</t>
        </is>
      </c>
      <c r="B3" s="14" t="inlineStr">
        <is>
          <t>Nitrile Exam Gloves L</t>
        </is>
      </c>
      <c r="C3" s="14" t="inlineStr">
        <is>
          <t>PPE</t>
        </is>
      </c>
      <c r="D3" s="58" t="n">
        <v>35.21</v>
      </c>
      <c r="E3" s="14" t="inlineStr">
        <is>
          <t>S07</t>
        </is>
      </c>
    </row>
    <row r="4">
      <c r="A4" s="14" t="inlineStr">
        <is>
          <t>NB-0003</t>
        </is>
      </c>
      <c r="B4" s="14" t="inlineStr">
        <is>
          <t>Vinyl Gloves S</t>
        </is>
      </c>
      <c r="C4" s="14" t="inlineStr">
        <is>
          <t>PPE</t>
        </is>
      </c>
      <c r="D4" s="58" t="n">
        <v>42</v>
      </c>
      <c r="E4" s="14" t="inlineStr">
        <is>
          <t>S02</t>
        </is>
      </c>
    </row>
    <row r="5">
      <c r="A5" s="14" t="inlineStr">
        <is>
          <t>NB-0004</t>
        </is>
      </c>
      <c r="B5" s="14" t="inlineStr">
        <is>
          <t>Surgical Mask Level 2</t>
        </is>
      </c>
      <c r="C5" s="14" t="inlineStr">
        <is>
          <t>PPE</t>
        </is>
      </c>
      <c r="D5" s="58" t="n">
        <v>6.62</v>
      </c>
      <c r="E5" s="14" t="inlineStr">
        <is>
          <t>S08</t>
        </is>
      </c>
    </row>
    <row r="6">
      <c r="A6" s="14" t="inlineStr">
        <is>
          <t>NB-0005</t>
        </is>
      </c>
      <c r="B6" s="14" t="inlineStr">
        <is>
          <t>N95 Respirator</t>
        </is>
      </c>
      <c r="C6" s="14" t="inlineStr">
        <is>
          <t>PPE</t>
        </is>
      </c>
      <c r="D6" s="58" t="n">
        <v>43.8</v>
      </c>
      <c r="E6" s="14" t="inlineStr">
        <is>
          <t>S07</t>
        </is>
      </c>
    </row>
    <row r="7">
      <c r="A7" s="14" t="inlineStr">
        <is>
          <t>NB-0006</t>
        </is>
      </c>
      <c r="B7" s="14" t="inlineStr">
        <is>
          <t>Isolation Gown</t>
        </is>
      </c>
      <c r="C7" s="14" t="inlineStr">
        <is>
          <t>PPE</t>
        </is>
      </c>
      <c r="D7" s="58" t="n">
        <v>10.33</v>
      </c>
      <c r="E7" s="14" t="inlineStr">
        <is>
          <t>S02</t>
        </is>
      </c>
    </row>
    <row r="8">
      <c r="A8" s="14" t="inlineStr">
        <is>
          <t>NB-0007</t>
        </is>
      </c>
      <c r="B8" s="14" t="inlineStr">
        <is>
          <t>Face Shield</t>
        </is>
      </c>
      <c r="C8" s="14" t="inlineStr">
        <is>
          <t>PPE</t>
        </is>
      </c>
      <c r="D8" s="58" t="n">
        <v>19.19</v>
      </c>
      <c r="E8" s="14" t="inlineStr">
        <is>
          <t>S05</t>
        </is>
      </c>
    </row>
    <row r="9">
      <c r="A9" s="14" t="inlineStr">
        <is>
          <t>NB-0008</t>
        </is>
      </c>
      <c r="B9" s="14" t="inlineStr">
        <is>
          <t>Shoe Covers</t>
        </is>
      </c>
      <c r="C9" s="14" t="inlineStr">
        <is>
          <t>PPE</t>
        </is>
      </c>
      <c r="D9" s="58" t="n">
        <v>31.46</v>
      </c>
      <c r="E9" s="14" t="inlineStr">
        <is>
          <t>S07</t>
        </is>
      </c>
    </row>
    <row r="10">
      <c r="A10" s="14" t="inlineStr">
        <is>
          <t>NB-0009</t>
        </is>
      </c>
      <c r="B10" s="14" t="inlineStr">
        <is>
          <t>Bouffant Cap</t>
        </is>
      </c>
      <c r="C10" s="14" t="inlineStr">
        <is>
          <t>PPE</t>
        </is>
      </c>
      <c r="D10" s="58" t="n">
        <v>38.12</v>
      </c>
      <c r="E10" s="14" t="inlineStr">
        <is>
          <t>S07</t>
        </is>
      </c>
    </row>
    <row r="11">
      <c r="A11" s="14" t="inlineStr">
        <is>
          <t>NB-0010</t>
        </is>
      </c>
      <c r="B11" s="14" t="inlineStr">
        <is>
          <t>Latex Gloves M</t>
        </is>
      </c>
      <c r="C11" s="14" t="inlineStr">
        <is>
          <t>PPE</t>
        </is>
      </c>
      <c r="D11" s="58" t="n">
        <v>12.2</v>
      </c>
      <c r="E11" s="14" t="inlineStr">
        <is>
          <t>S02</t>
        </is>
      </c>
    </row>
    <row r="12">
      <c r="A12" s="14" t="inlineStr">
        <is>
          <t>NB-0011</t>
        </is>
      </c>
      <c r="B12" s="14" t="inlineStr">
        <is>
          <t>Gauze Pad 4x4</t>
        </is>
      </c>
      <c r="C12" s="14" t="inlineStr">
        <is>
          <t>Wound Care</t>
        </is>
      </c>
      <c r="D12" s="58" t="n">
        <v>48.16</v>
      </c>
      <c r="E12" s="14" t="inlineStr">
        <is>
          <t>S02</t>
        </is>
      </c>
    </row>
    <row r="13">
      <c r="A13" s="14" t="inlineStr">
        <is>
          <t>NB-0012</t>
        </is>
      </c>
      <c r="B13" s="14" t="inlineStr">
        <is>
          <t>Foam Dressing 10cm</t>
        </is>
      </c>
      <c r="C13" s="14" t="inlineStr">
        <is>
          <t>Wound Care</t>
        </is>
      </c>
      <c r="D13" s="58" t="n">
        <v>31.44</v>
      </c>
      <c r="E13" s="14" t="inlineStr">
        <is>
          <t>S02</t>
        </is>
      </c>
    </row>
    <row r="14">
      <c r="A14" s="14" t="inlineStr">
        <is>
          <t>NB-0013</t>
        </is>
      </c>
      <c r="B14" s="14" t="inlineStr">
        <is>
          <t>Adhesive Bandage Strip</t>
        </is>
      </c>
      <c r="C14" s="14" t="inlineStr">
        <is>
          <t>Wound Care</t>
        </is>
      </c>
      <c r="D14" s="58" t="n">
        <v>36.2</v>
      </c>
      <c r="E14" s="14" t="inlineStr">
        <is>
          <t>S06</t>
        </is>
      </c>
    </row>
    <row r="15">
      <c r="A15" s="14" t="inlineStr">
        <is>
          <t>NB-0014</t>
        </is>
      </c>
      <c r="B15" s="14" t="inlineStr">
        <is>
          <t>Hydrocolloid Dressing</t>
        </is>
      </c>
      <c r="C15" s="14" t="inlineStr">
        <is>
          <t>Wound Care</t>
        </is>
      </c>
      <c r="D15" s="58" t="n">
        <v>52.08</v>
      </c>
      <c r="E15" s="14" t="inlineStr">
        <is>
          <t>S01</t>
        </is>
      </c>
    </row>
    <row r="16">
      <c r="A16" s="14" t="inlineStr">
        <is>
          <t>NB-0015</t>
        </is>
      </c>
      <c r="B16" s="14" t="inlineStr">
        <is>
          <t>Elastic Bandage 3in</t>
        </is>
      </c>
      <c r="C16" s="14" t="inlineStr">
        <is>
          <t>Wound Care</t>
        </is>
      </c>
      <c r="D16" s="58" t="n">
        <v>41.74</v>
      </c>
      <c r="E16" s="14" t="inlineStr">
        <is>
          <t>S01</t>
        </is>
      </c>
    </row>
    <row r="17">
      <c r="A17" s="14" t="inlineStr">
        <is>
          <t>NB-0016</t>
        </is>
      </c>
      <c r="B17" s="14" t="inlineStr">
        <is>
          <t>Medical Tape 1in</t>
        </is>
      </c>
      <c r="C17" s="14" t="inlineStr">
        <is>
          <t>Wound Care</t>
        </is>
      </c>
      <c r="D17" s="58" t="n">
        <v>15.02</v>
      </c>
      <c r="E17" s="14" t="inlineStr">
        <is>
          <t>S02</t>
        </is>
      </c>
    </row>
    <row r="18">
      <c r="A18" s="14" t="inlineStr">
        <is>
          <t>NB-0017</t>
        </is>
      </c>
      <c r="B18" s="14" t="inlineStr">
        <is>
          <t>Alginate Dressing</t>
        </is>
      </c>
      <c r="C18" s="14" t="inlineStr">
        <is>
          <t>Wound Care</t>
        </is>
      </c>
      <c r="D18" s="58" t="n">
        <v>14.71</v>
      </c>
      <c r="E18" s="14" t="inlineStr">
        <is>
          <t>S06</t>
        </is>
      </c>
    </row>
    <row r="19">
      <c r="A19" s="14" t="inlineStr">
        <is>
          <t>NB-0018</t>
        </is>
      </c>
      <c r="B19" s="14" t="inlineStr">
        <is>
          <t>Transparent Film Dressing</t>
        </is>
      </c>
      <c r="C19" s="14" t="inlineStr">
        <is>
          <t>Wound Care</t>
        </is>
      </c>
      <c r="D19" s="58" t="n">
        <v>22.28</v>
      </c>
      <c r="E19" s="14" t="inlineStr">
        <is>
          <t>S02</t>
        </is>
      </c>
    </row>
    <row r="20">
      <c r="A20" s="14" t="inlineStr">
        <is>
          <t>NB-0019</t>
        </is>
      </c>
      <c r="B20" s="14" t="inlineStr">
        <is>
          <t>Skin Closure Strips</t>
        </is>
      </c>
      <c r="C20" s="14" t="inlineStr">
        <is>
          <t>Wound Care</t>
        </is>
      </c>
      <c r="D20" s="58" t="n">
        <v>57.94</v>
      </c>
      <c r="E20" s="14" t="inlineStr">
        <is>
          <t>S02</t>
        </is>
      </c>
    </row>
    <row r="21">
      <c r="A21" s="14" t="inlineStr">
        <is>
          <t>NB-0020</t>
        </is>
      </c>
      <c r="B21" s="14" t="inlineStr">
        <is>
          <t>Rapid Antigen Test Kit</t>
        </is>
      </c>
      <c r="C21" s="14" t="inlineStr">
        <is>
          <t>Diagnostics</t>
        </is>
      </c>
      <c r="D21" s="58" t="n">
        <v>88.29000000000001</v>
      </c>
      <c r="E21" s="14" t="inlineStr">
        <is>
          <t>S03</t>
        </is>
      </c>
    </row>
    <row r="22">
      <c r="A22" s="14" t="inlineStr">
        <is>
          <t>NB-0021</t>
        </is>
      </c>
      <c r="B22" s="14" t="inlineStr">
        <is>
          <t>Glucose Test Strips</t>
        </is>
      </c>
      <c r="C22" s="14" t="inlineStr">
        <is>
          <t>Diagnostics</t>
        </is>
      </c>
      <c r="D22" s="58" t="n">
        <v>59.05</v>
      </c>
      <c r="E22" s="14" t="inlineStr">
        <is>
          <t>S03</t>
        </is>
      </c>
    </row>
    <row r="23">
      <c r="A23" s="14" t="inlineStr">
        <is>
          <t>NB-0022</t>
        </is>
      </c>
      <c r="B23" s="14" t="inlineStr">
        <is>
          <t>Urine Test Strips</t>
        </is>
      </c>
      <c r="C23" s="14" t="inlineStr">
        <is>
          <t>Diagnostics</t>
        </is>
      </c>
      <c r="D23" s="58" t="n">
        <v>92.95</v>
      </c>
      <c r="E23" s="14" t="inlineStr">
        <is>
          <t>S08</t>
        </is>
      </c>
    </row>
    <row r="24">
      <c r="A24" s="14" t="inlineStr">
        <is>
          <t>NB-0023</t>
        </is>
      </c>
      <c r="B24" s="14" t="inlineStr">
        <is>
          <t>Digital Thermometer</t>
        </is>
      </c>
      <c r="C24" s="14" t="inlineStr">
        <is>
          <t>Diagnostics</t>
        </is>
      </c>
      <c r="D24" s="58" t="n">
        <v>80.78</v>
      </c>
      <c r="E24" s="14" t="inlineStr">
        <is>
          <t>S02</t>
        </is>
      </c>
    </row>
    <row r="25">
      <c r="A25" s="14" t="inlineStr">
        <is>
          <t>NB-0024</t>
        </is>
      </c>
      <c r="B25" s="14" t="inlineStr">
        <is>
          <t>Pulse Oximeter</t>
        </is>
      </c>
      <c r="C25" s="14" t="inlineStr">
        <is>
          <t>Diagnostics</t>
        </is>
      </c>
      <c r="D25" s="58" t="n">
        <v>24.19</v>
      </c>
      <c r="E25" s="14" t="inlineStr">
        <is>
          <t>S08</t>
        </is>
      </c>
    </row>
    <row r="26">
      <c r="A26" s="14" t="inlineStr">
        <is>
          <t>NB-0025</t>
        </is>
      </c>
      <c r="B26" s="14" t="inlineStr">
        <is>
          <t>BP Cuff Adult</t>
        </is>
      </c>
      <c r="C26" s="14" t="inlineStr">
        <is>
          <t>Diagnostics</t>
        </is>
      </c>
      <c r="D26" s="58" t="n">
        <v>73.08</v>
      </c>
      <c r="E26" s="14" t="inlineStr">
        <is>
          <t>S02</t>
        </is>
      </c>
    </row>
    <row r="27">
      <c r="A27" s="14" t="inlineStr">
        <is>
          <t>NB-0026</t>
        </is>
      </c>
      <c r="B27" s="14" t="inlineStr">
        <is>
          <t>Lancets 28G</t>
        </is>
      </c>
      <c r="C27" s="14" t="inlineStr">
        <is>
          <t>Diagnostics</t>
        </is>
      </c>
      <c r="D27" s="58" t="n">
        <v>95.67</v>
      </c>
      <c r="E27" s="14" t="inlineStr">
        <is>
          <t>S02</t>
        </is>
      </c>
    </row>
    <row r="28">
      <c r="A28" s="14" t="inlineStr">
        <is>
          <t>NB-0027</t>
        </is>
      </c>
      <c r="B28" s="14" t="inlineStr">
        <is>
          <t>Specimen Collection Cup</t>
        </is>
      </c>
      <c r="C28" s="14" t="inlineStr">
        <is>
          <t>Diagnostics</t>
        </is>
      </c>
      <c r="D28" s="58" t="n">
        <v>72.03</v>
      </c>
      <c r="E28" s="14" t="inlineStr">
        <is>
          <t>S02</t>
        </is>
      </c>
    </row>
    <row r="29">
      <c r="A29" s="14" t="inlineStr">
        <is>
          <t>NB-0028</t>
        </is>
      </c>
      <c r="B29" s="14" t="inlineStr">
        <is>
          <t>Suture Kit 3-0</t>
        </is>
      </c>
      <c r="C29" s="14" t="inlineStr">
        <is>
          <t>Surgical</t>
        </is>
      </c>
      <c r="D29" s="58" t="n">
        <v>8.130000000000001</v>
      </c>
      <c r="E29" s="14" t="inlineStr">
        <is>
          <t>S04</t>
        </is>
      </c>
    </row>
    <row r="30">
      <c r="A30" s="14" t="inlineStr">
        <is>
          <t>NB-0029</t>
        </is>
      </c>
      <c r="B30" s="14" t="inlineStr">
        <is>
          <t>Scalpel Blade #10</t>
        </is>
      </c>
      <c r="C30" s="14" t="inlineStr">
        <is>
          <t>Surgical</t>
        </is>
      </c>
      <c r="D30" s="58" t="n">
        <v>20.74</v>
      </c>
      <c r="E30" s="14" t="inlineStr">
        <is>
          <t>S04</t>
        </is>
      </c>
    </row>
    <row r="31">
      <c r="A31" s="14" t="inlineStr">
        <is>
          <t>NB-0030</t>
        </is>
      </c>
      <c r="B31" s="14" t="inlineStr">
        <is>
          <t>Sterile Drape</t>
        </is>
      </c>
      <c r="C31" s="14" t="inlineStr">
        <is>
          <t>Surgical</t>
        </is>
      </c>
      <c r="D31" s="58" t="n">
        <v>137.82</v>
      </c>
      <c r="E31" s="14" t="inlineStr">
        <is>
          <t>S06</t>
        </is>
      </c>
    </row>
    <row r="32">
      <c r="A32" s="14" t="inlineStr">
        <is>
          <t>NB-0031</t>
        </is>
      </c>
      <c r="B32" s="14" t="inlineStr">
        <is>
          <t>Surgical Sponge</t>
        </is>
      </c>
      <c r="C32" s="14" t="inlineStr">
        <is>
          <t>Surgical</t>
        </is>
      </c>
      <c r="D32" s="58" t="n">
        <v>125.32</v>
      </c>
      <c r="E32" s="14" t="inlineStr">
        <is>
          <t>S04</t>
        </is>
      </c>
    </row>
    <row r="33">
      <c r="A33" s="14" t="inlineStr">
        <is>
          <t>NB-0032</t>
        </is>
      </c>
      <c r="B33" s="14" t="inlineStr">
        <is>
          <t>Skin Stapler</t>
        </is>
      </c>
      <c r="C33" s="14" t="inlineStr">
        <is>
          <t>Surgical</t>
        </is>
      </c>
      <c r="D33" s="58" t="n">
        <v>42.11</v>
      </c>
      <c r="E33" s="14" t="inlineStr">
        <is>
          <t>S06</t>
        </is>
      </c>
    </row>
    <row r="34">
      <c r="A34" s="14" t="inlineStr">
        <is>
          <t>NB-0033</t>
        </is>
      </c>
      <c r="B34" s="14" t="inlineStr">
        <is>
          <t>Hemostat Forceps</t>
        </is>
      </c>
      <c r="C34" s="14" t="inlineStr">
        <is>
          <t>Surgical</t>
        </is>
      </c>
      <c r="D34" s="58" t="n">
        <v>148.89</v>
      </c>
      <c r="E34" s="14" t="inlineStr">
        <is>
          <t>S03</t>
        </is>
      </c>
    </row>
    <row r="35">
      <c r="A35" s="14" t="inlineStr">
        <is>
          <t>NB-0034</t>
        </is>
      </c>
      <c r="B35" s="14" t="inlineStr">
        <is>
          <t>Suction Catheter</t>
        </is>
      </c>
      <c r="C35" s="14" t="inlineStr">
        <is>
          <t>Surgical</t>
        </is>
      </c>
      <c r="D35" s="58" t="n">
        <v>50.81</v>
      </c>
      <c r="E35" s="14" t="inlineStr">
        <is>
          <t>S06</t>
        </is>
      </c>
    </row>
    <row r="36">
      <c r="A36" s="14" t="inlineStr">
        <is>
          <t>NB-0035</t>
        </is>
      </c>
      <c r="B36" s="14" t="inlineStr">
        <is>
          <t>Syringe 10ml</t>
        </is>
      </c>
      <c r="C36" s="14" t="inlineStr">
        <is>
          <t>Surgical</t>
        </is>
      </c>
      <c r="D36" s="58" t="n">
        <v>113.28</v>
      </c>
      <c r="E36" s="14" t="inlineStr">
        <is>
          <t>S04</t>
        </is>
      </c>
    </row>
    <row r="37">
      <c r="A37" s="14" t="inlineStr">
        <is>
          <t>NB-0036</t>
        </is>
      </c>
      <c r="B37" s="14" t="inlineStr">
        <is>
          <t>IV Start Kit</t>
        </is>
      </c>
      <c r="C37" s="14" t="inlineStr">
        <is>
          <t>Surgical</t>
        </is>
      </c>
      <c r="D37" s="58" t="n">
        <v>27.23</v>
      </c>
      <c r="E37" s="14" t="inlineStr">
        <is>
          <t>S03</t>
        </is>
      </c>
    </row>
    <row r="38">
      <c r="A38" s="14" t="inlineStr">
        <is>
          <t>NB-0037</t>
        </is>
      </c>
      <c r="B38" s="14" t="inlineStr">
        <is>
          <t>Incontinence Brief L</t>
        </is>
      </c>
      <c r="C38" s="14" t="inlineStr">
        <is>
          <t>Patient Care</t>
        </is>
      </c>
      <c r="D38" s="58" t="n">
        <v>14.48</v>
      </c>
      <c r="E38" s="14" t="inlineStr">
        <is>
          <t>S07</t>
        </is>
      </c>
    </row>
    <row r="39">
      <c r="A39" s="14" t="inlineStr">
        <is>
          <t>NB-0038</t>
        </is>
      </c>
      <c r="B39" s="14" t="inlineStr">
        <is>
          <t>Underpad 30x36</t>
        </is>
      </c>
      <c r="C39" s="14" t="inlineStr">
        <is>
          <t>Patient Care</t>
        </is>
      </c>
      <c r="D39" s="58" t="n">
        <v>11.5</v>
      </c>
      <c r="E39" s="14" t="inlineStr">
        <is>
          <t>S07</t>
        </is>
      </c>
    </row>
    <row r="40">
      <c r="A40" s="14" t="inlineStr">
        <is>
          <t>NB-0039</t>
        </is>
      </c>
      <c r="B40" s="14" t="inlineStr">
        <is>
          <t>Bed Bath Wipes</t>
        </is>
      </c>
      <c r="C40" s="14" t="inlineStr">
        <is>
          <t>Patient Care</t>
        </is>
      </c>
      <c r="D40" s="58" t="n">
        <v>28.69</v>
      </c>
      <c r="E40" s="14" t="inlineStr">
        <is>
          <t>S07</t>
        </is>
      </c>
    </row>
    <row r="41">
      <c r="A41" s="14" t="inlineStr">
        <is>
          <t>NB-0040</t>
        </is>
      </c>
      <c r="B41" s="14" t="inlineStr">
        <is>
          <t>Denture Cup</t>
        </is>
      </c>
      <c r="C41" s="14" t="inlineStr">
        <is>
          <t>Patient Care</t>
        </is>
      </c>
      <c r="D41" s="58" t="n">
        <v>7.85</v>
      </c>
      <c r="E41" s="14" t="inlineStr">
        <is>
          <t>S04</t>
        </is>
      </c>
    </row>
    <row r="42">
      <c r="A42" s="14" t="inlineStr">
        <is>
          <t>NB-0041</t>
        </is>
      </c>
      <c r="B42" s="14" t="inlineStr">
        <is>
          <t>Emesis Bag</t>
        </is>
      </c>
      <c r="C42" s="14" t="inlineStr">
        <is>
          <t>Patient Care</t>
        </is>
      </c>
      <c r="D42" s="58" t="n">
        <v>38.36</v>
      </c>
      <c r="E42" s="14" t="inlineStr">
        <is>
          <t>S04</t>
        </is>
      </c>
    </row>
    <row r="43">
      <c r="A43" s="14" t="inlineStr">
        <is>
          <t>NB-0042</t>
        </is>
      </c>
      <c r="B43" s="14" t="inlineStr">
        <is>
          <t>Patient ID Band</t>
        </is>
      </c>
      <c r="C43" s="14" t="inlineStr">
        <is>
          <t>Patient Care</t>
        </is>
      </c>
      <c r="D43" s="58" t="n">
        <v>6.92</v>
      </c>
      <c r="E43" s="14" t="inlineStr">
        <is>
          <t>S01</t>
        </is>
      </c>
    </row>
    <row r="44">
      <c r="A44" s="14" t="inlineStr">
        <is>
          <t>NB-0043</t>
        </is>
      </c>
      <c r="B44" s="14" t="inlineStr">
        <is>
          <t>Mouth Swab</t>
        </is>
      </c>
      <c r="C44" s="14" t="inlineStr">
        <is>
          <t>Patient Care</t>
        </is>
      </c>
      <c r="D44" s="58" t="n">
        <v>37.52</v>
      </c>
      <c r="E44" s="14" t="inlineStr">
        <is>
          <t>S07</t>
        </is>
      </c>
    </row>
    <row r="45">
      <c r="A45" s="14" t="inlineStr">
        <is>
          <t>NB-0044</t>
        </is>
      </c>
      <c r="B45" s="14" t="inlineStr">
        <is>
          <t>Hand Sanitizer 500ml</t>
        </is>
      </c>
      <c r="C45" s="14" t="inlineStr">
        <is>
          <t>Patient Care</t>
        </is>
      </c>
      <c r="D45" s="58" t="n">
        <v>33.69</v>
      </c>
      <c r="E45" s="14" t="inlineStr">
        <is>
          <t>S07</t>
        </is>
      </c>
    </row>
    <row r="46">
      <c r="A46" s="14" t="inlineStr">
        <is>
          <t>NB-0045</t>
        </is>
      </c>
      <c r="B46" s="14" t="inlineStr">
        <is>
          <t>Sterilization Pouch</t>
        </is>
      </c>
      <c r="C46" s="14" t="inlineStr">
        <is>
          <t>Sterilization</t>
        </is>
      </c>
      <c r="D46" s="58" t="n">
        <v>79.42</v>
      </c>
      <c r="E46" s="14" t="inlineStr">
        <is>
          <t>S03</t>
        </is>
      </c>
    </row>
    <row r="47">
      <c r="A47" s="14" t="inlineStr">
        <is>
          <t>NB-0046</t>
        </is>
      </c>
      <c r="B47" s="14" t="inlineStr">
        <is>
          <t>Indicator Tape</t>
        </is>
      </c>
      <c r="C47" s="14" t="inlineStr">
        <is>
          <t>Sterilization</t>
        </is>
      </c>
      <c r="D47" s="58" t="n">
        <v>79.40000000000001</v>
      </c>
      <c r="E47" s="14" t="inlineStr">
        <is>
          <t>S03</t>
        </is>
      </c>
    </row>
    <row r="48">
      <c r="A48" s="14" t="inlineStr">
        <is>
          <t>NB-0047</t>
        </is>
      </c>
      <c r="B48" s="14" t="inlineStr">
        <is>
          <t>Biological Indicator</t>
        </is>
      </c>
      <c r="C48" s="14" t="inlineStr">
        <is>
          <t>Sterilization</t>
        </is>
      </c>
      <c r="D48" s="58" t="n">
        <v>75.33</v>
      </c>
      <c r="E48" s="14" t="inlineStr">
        <is>
          <t>S03</t>
        </is>
      </c>
    </row>
    <row r="49">
      <c r="A49" s="14" t="inlineStr">
        <is>
          <t>NB-0048</t>
        </is>
      </c>
      <c r="B49" s="14" t="inlineStr">
        <is>
          <t>Enzymatic Cleaner 4L</t>
        </is>
      </c>
      <c r="C49" s="14" t="inlineStr">
        <is>
          <t>Sterilization</t>
        </is>
      </c>
      <c r="D49" s="58" t="n">
        <v>34.83</v>
      </c>
      <c r="E49" s="14" t="inlineStr">
        <is>
          <t>S01</t>
        </is>
      </c>
    </row>
    <row r="50">
      <c r="A50" s="14" t="inlineStr">
        <is>
          <t>NB-0049</t>
        </is>
      </c>
      <c r="B50" s="14" t="inlineStr">
        <is>
          <t>Instrument Wrap</t>
        </is>
      </c>
      <c r="C50" s="14" t="inlineStr">
        <is>
          <t>Sterilization</t>
        </is>
      </c>
      <c r="D50" s="58" t="n">
        <v>22.29</v>
      </c>
      <c r="E50" s="14" t="inlineStr">
        <is>
          <t>S01</t>
        </is>
      </c>
    </row>
  </sheetData>
  <autoFilter ref="A1:E5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6" customWidth="1" min="4" max="4"/>
  </cols>
  <sheetData>
    <row r="1" ht="30" customHeight="1">
      <c r="A1" s="29" t="inlineStr">
        <is>
          <t>Supplier ID</t>
        </is>
      </c>
      <c r="B1" s="29" t="inlineStr">
        <is>
          <t>Supplier</t>
        </is>
      </c>
      <c r="C1" s="29" t="inlineStr">
        <is>
          <t>Country</t>
        </is>
      </c>
      <c r="D1" s="29" t="inlineStr">
        <is>
          <t>Promised lead time (wks)</t>
        </is>
      </c>
    </row>
    <row r="2">
      <c r="A2" s="14" t="inlineStr">
        <is>
          <t>S01</t>
        </is>
      </c>
      <c r="B2" s="14" t="inlineStr">
        <is>
          <t>Maple Leaf Medical Mfg</t>
        </is>
      </c>
      <c r="C2" s="14" t="inlineStr">
        <is>
          <t>Canada</t>
        </is>
      </c>
      <c r="D2" s="14" t="n">
        <v>2</v>
      </c>
    </row>
    <row r="3">
      <c r="A3" s="14" t="inlineStr">
        <is>
          <t>S02</t>
        </is>
      </c>
      <c r="B3" s="14" t="inlineStr">
        <is>
          <t>Great Lakes Health Products</t>
        </is>
      </c>
      <c r="C3" s="14" t="inlineStr">
        <is>
          <t>USA</t>
        </is>
      </c>
      <c r="D3" s="14" t="n">
        <v>3</v>
      </c>
    </row>
    <row r="4">
      <c r="A4" s="14" t="inlineStr">
        <is>
          <t>S03</t>
        </is>
      </c>
      <c r="B4" s="14" t="inlineStr">
        <is>
          <t>Rhein MedTech GmbH</t>
        </is>
      </c>
      <c r="C4" s="14" t="inlineStr">
        <is>
          <t>Germany</t>
        </is>
      </c>
      <c r="D4" s="14" t="n">
        <v>6</v>
      </c>
    </row>
    <row r="5">
      <c r="A5" s="14" t="inlineStr">
        <is>
          <t>S04</t>
        </is>
      </c>
      <c r="B5" s="14" t="inlineStr">
        <is>
          <t>Monterrey Surgical SA</t>
        </is>
      </c>
      <c r="C5" s="14" t="inlineStr">
        <is>
          <t>Mexico</t>
        </is>
      </c>
      <c r="D5" s="14" t="n">
        <v>4</v>
      </c>
    </row>
    <row r="6">
      <c r="A6" s="14" t="inlineStr">
        <is>
          <t>S05</t>
        </is>
      </c>
      <c r="B6" s="14" t="inlineStr">
        <is>
          <t>Penang Glove Industries</t>
        </is>
      </c>
      <c r="C6" s="14" t="inlineStr">
        <is>
          <t>Malaysia</t>
        </is>
      </c>
      <c r="D6" s="14" t="n">
        <v>8</v>
      </c>
    </row>
    <row r="7">
      <c r="A7" s="14" t="inlineStr">
        <is>
          <t>S06</t>
        </is>
      </c>
      <c r="B7" s="14" t="inlineStr">
        <is>
          <t>Chennai Healthcare Exports</t>
        </is>
      </c>
      <c r="C7" s="14" t="inlineStr">
        <is>
          <t>India</t>
        </is>
      </c>
      <c r="D7" s="14" t="n">
        <v>9</v>
      </c>
    </row>
    <row r="8">
      <c r="A8" s="14" t="inlineStr">
        <is>
          <t>S07</t>
        </is>
      </c>
      <c r="B8" s="14" t="inlineStr">
        <is>
          <t>Saigon Textile Medical</t>
        </is>
      </c>
      <c r="C8" s="14" t="inlineStr">
        <is>
          <t>Vietnam</t>
        </is>
      </c>
      <c r="D8" s="14" t="n">
        <v>8</v>
      </c>
    </row>
    <row r="9">
      <c r="A9" s="14" t="inlineStr">
        <is>
          <t>S08</t>
        </is>
      </c>
      <c r="B9" s="14" t="inlineStr">
        <is>
          <t>Shenzhen Diagnostics Co</t>
        </is>
      </c>
      <c r="C9" s="14" t="inlineStr">
        <is>
          <t>China</t>
        </is>
      </c>
      <c r="D9" s="14" t="n">
        <v>10</v>
      </c>
    </row>
  </sheetData>
  <autoFilter ref="A1:D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0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4" customWidth="1" min="4" max="4"/>
    <col width="16" customWidth="1" min="5" max="5"/>
  </cols>
  <sheetData>
    <row r="1" ht="30" customHeight="1">
      <c r="A1" s="29" t="inlineStr">
        <is>
          <t>Week start</t>
        </is>
      </c>
      <c r="B1" s="29" t="inlineStr">
        <is>
          <t>SKU</t>
        </is>
      </c>
      <c r="C1" s="29" t="inlineStr">
        <is>
          <t>Units</t>
        </is>
      </c>
      <c r="D1" s="29" t="inlineStr">
        <is>
          <t>In last 52 wks (1/0)</t>
        </is>
      </c>
      <c r="E1" s="29" t="inlineStr">
        <is>
          <t>Units² (last 52 wks)</t>
        </is>
      </c>
    </row>
    <row r="2">
      <c r="A2" s="26" t="n">
        <v>45292</v>
      </c>
      <c r="B2" s="14" t="inlineStr">
        <is>
          <t>NB-0001</t>
        </is>
      </c>
      <c r="C2" s="14" t="n">
        <v>119</v>
      </c>
      <c r="D2" s="14">
        <f>IF(A2&gt;LastWeek-364,1,0)</f>
        <v/>
      </c>
      <c r="E2" s="14">
        <f>C2^2*D2</f>
        <v/>
      </c>
    </row>
    <row r="3">
      <c r="A3" s="26" t="n">
        <v>45299</v>
      </c>
      <c r="B3" s="14" t="inlineStr">
        <is>
          <t>NB-0001</t>
        </is>
      </c>
      <c r="C3" s="14" t="n">
        <v>138</v>
      </c>
      <c r="D3" s="14">
        <f>IF(A3&gt;LastWeek-364,1,0)</f>
        <v/>
      </c>
      <c r="E3" s="14">
        <f>C3^2*D3</f>
        <v/>
      </c>
    </row>
    <row r="4">
      <c r="A4" s="26" t="n">
        <v>45306</v>
      </c>
      <c r="B4" s="14" t="inlineStr">
        <is>
          <t>NB-0001</t>
        </is>
      </c>
      <c r="C4" s="14" t="n">
        <v>108</v>
      </c>
      <c r="D4" s="14">
        <f>IF(A4&gt;LastWeek-364,1,0)</f>
        <v/>
      </c>
      <c r="E4" s="14">
        <f>C4^2*D4</f>
        <v/>
      </c>
    </row>
    <row r="5">
      <c r="A5" s="26" t="n">
        <v>45313</v>
      </c>
      <c r="B5" s="14" t="inlineStr">
        <is>
          <t>NB-0001</t>
        </is>
      </c>
      <c r="C5" s="14" t="n">
        <v>114</v>
      </c>
      <c r="D5" s="14">
        <f>IF(A5&gt;LastWeek-364,1,0)</f>
        <v/>
      </c>
      <c r="E5" s="14">
        <f>C5^2*D5</f>
        <v/>
      </c>
    </row>
    <row r="6">
      <c r="A6" s="26" t="n">
        <v>45320</v>
      </c>
      <c r="B6" s="14" t="inlineStr">
        <is>
          <t>NB-0001</t>
        </is>
      </c>
      <c r="C6" s="14" t="n">
        <v>103</v>
      </c>
      <c r="D6" s="14">
        <f>IF(A6&gt;LastWeek-364,1,0)</f>
        <v/>
      </c>
      <c r="E6" s="14">
        <f>C6^2*D6</f>
        <v/>
      </c>
    </row>
    <row r="7">
      <c r="A7" s="26" t="n">
        <v>45327</v>
      </c>
      <c r="B7" s="14" t="inlineStr">
        <is>
          <t>NB-0001</t>
        </is>
      </c>
      <c r="C7" s="14" t="n">
        <v>100</v>
      </c>
      <c r="D7" s="14">
        <f>IF(A7&gt;LastWeek-364,1,0)</f>
        <v/>
      </c>
      <c r="E7" s="14">
        <f>C7^2*D7</f>
        <v/>
      </c>
    </row>
    <row r="8">
      <c r="A8" s="26" t="n">
        <v>45334</v>
      </c>
      <c r="B8" s="14" t="inlineStr">
        <is>
          <t>NB-0001</t>
        </is>
      </c>
      <c r="C8" s="14" t="n">
        <v>74</v>
      </c>
      <c r="D8" s="14">
        <f>IF(A8&gt;LastWeek-364,1,0)</f>
        <v/>
      </c>
      <c r="E8" s="14">
        <f>C8^2*D8</f>
        <v/>
      </c>
    </row>
    <row r="9">
      <c r="A9" s="26" t="n">
        <v>45341</v>
      </c>
      <c r="B9" s="14" t="inlineStr">
        <is>
          <t>NB-0001</t>
        </is>
      </c>
      <c r="C9" s="14" t="n">
        <v>107</v>
      </c>
      <c r="D9" s="14">
        <f>IF(A9&gt;LastWeek-364,1,0)</f>
        <v/>
      </c>
      <c r="E9" s="14">
        <f>C9^2*D9</f>
        <v/>
      </c>
    </row>
    <row r="10">
      <c r="A10" s="26" t="n">
        <v>45348</v>
      </c>
      <c r="B10" s="14" t="inlineStr">
        <is>
          <t>NB-0001</t>
        </is>
      </c>
      <c r="C10" s="14" t="n">
        <v>91</v>
      </c>
      <c r="D10" s="14">
        <f>IF(A10&gt;LastWeek-364,1,0)</f>
        <v/>
      </c>
      <c r="E10" s="14">
        <f>C10^2*D10</f>
        <v/>
      </c>
    </row>
    <row r="11">
      <c r="A11" s="26" t="n">
        <v>45355</v>
      </c>
      <c r="B11" s="14" t="inlineStr">
        <is>
          <t>NB-0001</t>
        </is>
      </c>
      <c r="C11" s="14" t="n">
        <v>157</v>
      </c>
      <c r="D11" s="14">
        <f>IF(A11&gt;LastWeek-364,1,0)</f>
        <v/>
      </c>
      <c r="E11" s="14">
        <f>C11^2*D11</f>
        <v/>
      </c>
    </row>
    <row r="12">
      <c r="A12" s="26" t="n">
        <v>45362</v>
      </c>
      <c r="B12" s="14" t="inlineStr">
        <is>
          <t>NB-0001</t>
        </is>
      </c>
      <c r="C12" s="14" t="n">
        <v>137</v>
      </c>
      <c r="D12" s="14">
        <f>IF(A12&gt;LastWeek-364,1,0)</f>
        <v/>
      </c>
      <c r="E12" s="14">
        <f>C12^2*D12</f>
        <v/>
      </c>
    </row>
    <row r="13">
      <c r="A13" s="26" t="n">
        <v>45369</v>
      </c>
      <c r="B13" s="14" t="inlineStr">
        <is>
          <t>NB-0001</t>
        </is>
      </c>
      <c r="C13" s="14" t="n">
        <v>98</v>
      </c>
      <c r="D13" s="14">
        <f>IF(A13&gt;LastWeek-364,1,0)</f>
        <v/>
      </c>
      <c r="E13" s="14">
        <f>C13^2*D13</f>
        <v/>
      </c>
    </row>
    <row r="14">
      <c r="A14" s="26" t="n">
        <v>45376</v>
      </c>
      <c r="B14" s="14" t="inlineStr">
        <is>
          <t>NB-0001</t>
        </is>
      </c>
      <c r="C14" s="14" t="n">
        <v>62</v>
      </c>
      <c r="D14" s="14">
        <f>IF(A14&gt;LastWeek-364,1,0)</f>
        <v/>
      </c>
      <c r="E14" s="14">
        <f>C14^2*D14</f>
        <v/>
      </c>
    </row>
    <row r="15">
      <c r="A15" s="26" t="n">
        <v>45383</v>
      </c>
      <c r="B15" s="14" t="inlineStr">
        <is>
          <t>NB-0001</t>
        </is>
      </c>
      <c r="C15" s="14" t="n">
        <v>51</v>
      </c>
      <c r="D15" s="14">
        <f>IF(A15&gt;LastWeek-364,1,0)</f>
        <v/>
      </c>
      <c r="E15" s="14">
        <f>C15^2*D15</f>
        <v/>
      </c>
    </row>
    <row r="16">
      <c r="A16" s="26" t="n">
        <v>45390</v>
      </c>
      <c r="B16" s="14" t="inlineStr">
        <is>
          <t>NB-0001</t>
        </is>
      </c>
      <c r="C16" s="14" t="n">
        <v>110</v>
      </c>
      <c r="D16" s="14">
        <f>IF(A16&gt;LastWeek-364,1,0)</f>
        <v/>
      </c>
      <c r="E16" s="14">
        <f>C16^2*D16</f>
        <v/>
      </c>
    </row>
    <row r="17">
      <c r="A17" s="26" t="n">
        <v>45397</v>
      </c>
      <c r="B17" s="14" t="inlineStr">
        <is>
          <t>NB-0001</t>
        </is>
      </c>
      <c r="C17" s="14" t="n">
        <v>82</v>
      </c>
      <c r="D17" s="14">
        <f>IF(A17&gt;LastWeek-364,1,0)</f>
        <v/>
      </c>
      <c r="E17" s="14">
        <f>C17^2*D17</f>
        <v/>
      </c>
    </row>
    <row r="18">
      <c r="A18" s="26" t="n">
        <v>45404</v>
      </c>
      <c r="B18" s="14" t="inlineStr">
        <is>
          <t>NB-0001</t>
        </is>
      </c>
      <c r="C18" s="14" t="n">
        <v>84</v>
      </c>
      <c r="D18" s="14">
        <f>IF(A18&gt;LastWeek-364,1,0)</f>
        <v/>
      </c>
      <c r="E18" s="14">
        <f>C18^2*D18</f>
        <v/>
      </c>
    </row>
    <row r="19">
      <c r="A19" s="26" t="n">
        <v>45411</v>
      </c>
      <c r="B19" s="14" t="inlineStr">
        <is>
          <t>NB-0001</t>
        </is>
      </c>
      <c r="C19" s="14" t="n">
        <v>29</v>
      </c>
      <c r="D19" s="14">
        <f>IF(A19&gt;LastWeek-364,1,0)</f>
        <v/>
      </c>
      <c r="E19" s="14">
        <f>C19^2*D19</f>
        <v/>
      </c>
    </row>
    <row r="20">
      <c r="A20" s="26" t="n">
        <v>45418</v>
      </c>
      <c r="B20" s="14" t="inlineStr">
        <is>
          <t>NB-0001</t>
        </is>
      </c>
      <c r="C20" s="14" t="n">
        <v>88</v>
      </c>
      <c r="D20" s="14">
        <f>IF(A20&gt;LastWeek-364,1,0)</f>
        <v/>
      </c>
      <c r="E20" s="14">
        <f>C20^2*D20</f>
        <v/>
      </c>
    </row>
    <row r="21">
      <c r="A21" s="26" t="n">
        <v>45425</v>
      </c>
      <c r="B21" s="14" t="inlineStr">
        <is>
          <t>NB-0001</t>
        </is>
      </c>
      <c r="C21" s="14" t="n">
        <v>75</v>
      </c>
      <c r="D21" s="14">
        <f>IF(A21&gt;LastWeek-364,1,0)</f>
        <v/>
      </c>
      <c r="E21" s="14">
        <f>C21^2*D21</f>
        <v/>
      </c>
    </row>
    <row r="22">
      <c r="A22" s="26" t="n">
        <v>45432</v>
      </c>
      <c r="B22" s="14" t="inlineStr">
        <is>
          <t>NB-0001</t>
        </is>
      </c>
      <c r="C22" s="14" t="n">
        <v>39</v>
      </c>
      <c r="D22" s="14">
        <f>IF(A22&gt;LastWeek-364,1,0)</f>
        <v/>
      </c>
      <c r="E22" s="14">
        <f>C22^2*D22</f>
        <v/>
      </c>
    </row>
    <row r="23">
      <c r="A23" s="26" t="n">
        <v>45439</v>
      </c>
      <c r="B23" s="14" t="inlineStr">
        <is>
          <t>NB-0001</t>
        </is>
      </c>
      <c r="C23" s="14" t="n">
        <v>51</v>
      </c>
      <c r="D23" s="14">
        <f>IF(A23&gt;LastWeek-364,1,0)</f>
        <v/>
      </c>
      <c r="E23" s="14">
        <f>C23^2*D23</f>
        <v/>
      </c>
    </row>
    <row r="24">
      <c r="A24" s="26" t="n">
        <v>45446</v>
      </c>
      <c r="B24" s="14" t="inlineStr">
        <is>
          <t>NB-0001</t>
        </is>
      </c>
      <c r="C24" s="14" t="n">
        <v>64</v>
      </c>
      <c r="D24" s="14">
        <f>IF(A24&gt;LastWeek-364,1,0)</f>
        <v/>
      </c>
      <c r="E24" s="14">
        <f>C24^2*D24</f>
        <v/>
      </c>
    </row>
    <row r="25">
      <c r="A25" s="26" t="n">
        <v>45453</v>
      </c>
      <c r="B25" s="14" t="inlineStr">
        <is>
          <t>NB-0001</t>
        </is>
      </c>
      <c r="C25" s="14" t="n">
        <v>58</v>
      </c>
      <c r="D25" s="14">
        <f>IF(A25&gt;LastWeek-364,1,0)</f>
        <v/>
      </c>
      <c r="E25" s="14">
        <f>C25^2*D25</f>
        <v/>
      </c>
    </row>
    <row r="26">
      <c r="A26" s="26" t="n">
        <v>45460</v>
      </c>
      <c r="B26" s="14" t="inlineStr">
        <is>
          <t>NB-0001</t>
        </is>
      </c>
      <c r="C26" s="14" t="n">
        <v>50</v>
      </c>
      <c r="D26" s="14">
        <f>IF(A26&gt;LastWeek-364,1,0)</f>
        <v/>
      </c>
      <c r="E26" s="14">
        <f>C26^2*D26</f>
        <v/>
      </c>
    </row>
    <row r="27">
      <c r="A27" s="26" t="n">
        <v>45467</v>
      </c>
      <c r="B27" s="14" t="inlineStr">
        <is>
          <t>NB-0001</t>
        </is>
      </c>
      <c r="C27" s="14" t="n">
        <v>53</v>
      </c>
      <c r="D27" s="14">
        <f>IF(A27&gt;LastWeek-364,1,0)</f>
        <v/>
      </c>
      <c r="E27" s="14">
        <f>C27^2*D27</f>
        <v/>
      </c>
    </row>
    <row r="28">
      <c r="A28" s="26" t="n">
        <v>45474</v>
      </c>
      <c r="B28" s="14" t="inlineStr">
        <is>
          <t>NB-0001</t>
        </is>
      </c>
      <c r="C28" s="14" t="n">
        <v>50</v>
      </c>
      <c r="D28" s="14">
        <f>IF(A28&gt;LastWeek-364,1,0)</f>
        <v/>
      </c>
      <c r="E28" s="14">
        <f>C28^2*D28</f>
        <v/>
      </c>
    </row>
    <row r="29">
      <c r="A29" s="26" t="n">
        <v>45481</v>
      </c>
      <c r="B29" s="14" t="inlineStr">
        <is>
          <t>NB-0001</t>
        </is>
      </c>
      <c r="C29" s="14" t="n">
        <v>57</v>
      </c>
      <c r="D29" s="14">
        <f>IF(A29&gt;LastWeek-364,1,0)</f>
        <v/>
      </c>
      <c r="E29" s="14">
        <f>C29^2*D29</f>
        <v/>
      </c>
    </row>
    <row r="30">
      <c r="A30" s="26" t="n">
        <v>45488</v>
      </c>
      <c r="B30" s="14" t="inlineStr">
        <is>
          <t>NB-0001</t>
        </is>
      </c>
      <c r="C30" s="14" t="n">
        <v>82</v>
      </c>
      <c r="D30" s="14">
        <f>IF(A30&gt;LastWeek-364,1,0)</f>
        <v/>
      </c>
      <c r="E30" s="14">
        <f>C30^2*D30</f>
        <v/>
      </c>
    </row>
    <row r="31">
      <c r="A31" s="26" t="n">
        <v>45495</v>
      </c>
      <c r="B31" s="14" t="inlineStr">
        <is>
          <t>NB-0001</t>
        </is>
      </c>
      <c r="C31" s="14" t="n">
        <v>7</v>
      </c>
      <c r="D31" s="14">
        <f>IF(A31&gt;LastWeek-364,1,0)</f>
        <v/>
      </c>
      <c r="E31" s="14">
        <f>C31^2*D31</f>
        <v/>
      </c>
    </row>
    <row r="32">
      <c r="A32" s="26" t="n">
        <v>45502</v>
      </c>
      <c r="B32" s="14" t="inlineStr">
        <is>
          <t>NB-0001</t>
        </is>
      </c>
      <c r="C32" s="14" t="n">
        <v>51</v>
      </c>
      <c r="D32" s="14">
        <f>IF(A32&gt;LastWeek-364,1,0)</f>
        <v/>
      </c>
      <c r="E32" s="14">
        <f>C32^2*D32</f>
        <v/>
      </c>
    </row>
    <row r="33">
      <c r="A33" s="26" t="n">
        <v>45509</v>
      </c>
      <c r="B33" s="14" t="inlineStr">
        <is>
          <t>NB-0001</t>
        </is>
      </c>
      <c r="C33" s="14" t="n">
        <v>60</v>
      </c>
      <c r="D33" s="14">
        <f>IF(A33&gt;LastWeek-364,1,0)</f>
        <v/>
      </c>
      <c r="E33" s="14">
        <f>C33^2*D33</f>
        <v/>
      </c>
    </row>
    <row r="34">
      <c r="A34" s="26" t="n">
        <v>45516</v>
      </c>
      <c r="B34" s="14" t="inlineStr">
        <is>
          <t>NB-0001</t>
        </is>
      </c>
      <c r="C34" s="14" t="n">
        <v>64</v>
      </c>
      <c r="D34" s="14">
        <f>IF(A34&gt;LastWeek-364,1,0)</f>
        <v/>
      </c>
      <c r="E34" s="14">
        <f>C34^2*D34</f>
        <v/>
      </c>
    </row>
    <row r="35">
      <c r="A35" s="26" t="n">
        <v>45523</v>
      </c>
      <c r="B35" s="14" t="inlineStr">
        <is>
          <t>NB-0001</t>
        </is>
      </c>
      <c r="C35" s="14" t="n">
        <v>52</v>
      </c>
      <c r="D35" s="14">
        <f>IF(A35&gt;LastWeek-364,1,0)</f>
        <v/>
      </c>
      <c r="E35" s="14">
        <f>C35^2*D35</f>
        <v/>
      </c>
    </row>
    <row r="36">
      <c r="A36" s="26" t="n">
        <v>45530</v>
      </c>
      <c r="B36" s="14" t="inlineStr">
        <is>
          <t>NB-0001</t>
        </is>
      </c>
      <c r="C36" s="14" t="n">
        <v>25</v>
      </c>
      <c r="D36" s="14">
        <f>IF(A36&gt;LastWeek-364,1,0)</f>
        <v/>
      </c>
      <c r="E36" s="14">
        <f>C36^2*D36</f>
        <v/>
      </c>
    </row>
    <row r="37">
      <c r="A37" s="26" t="n">
        <v>45537</v>
      </c>
      <c r="B37" s="14" t="inlineStr">
        <is>
          <t>NB-0001</t>
        </is>
      </c>
      <c r="C37" s="14" t="n">
        <v>71</v>
      </c>
      <c r="D37" s="14">
        <f>IF(A37&gt;LastWeek-364,1,0)</f>
        <v/>
      </c>
      <c r="E37" s="14">
        <f>C37^2*D37</f>
        <v/>
      </c>
    </row>
    <row r="38">
      <c r="A38" s="26" t="n">
        <v>45544</v>
      </c>
      <c r="B38" s="14" t="inlineStr">
        <is>
          <t>NB-0001</t>
        </is>
      </c>
      <c r="C38" s="14" t="n">
        <v>104</v>
      </c>
      <c r="D38" s="14">
        <f>IF(A38&gt;LastWeek-364,1,0)</f>
        <v/>
      </c>
      <c r="E38" s="14">
        <f>C38^2*D38</f>
        <v/>
      </c>
    </row>
    <row r="39">
      <c r="A39" s="26" t="n">
        <v>45551</v>
      </c>
      <c r="B39" s="14" t="inlineStr">
        <is>
          <t>NB-0001</t>
        </is>
      </c>
      <c r="C39" s="14" t="n">
        <v>33</v>
      </c>
      <c r="D39" s="14">
        <f>IF(A39&gt;LastWeek-364,1,0)</f>
        <v/>
      </c>
      <c r="E39" s="14">
        <f>C39^2*D39</f>
        <v/>
      </c>
    </row>
    <row r="40">
      <c r="A40" s="26" t="n">
        <v>45558</v>
      </c>
      <c r="B40" s="14" t="inlineStr">
        <is>
          <t>NB-0001</t>
        </is>
      </c>
      <c r="C40" s="14" t="n">
        <v>92</v>
      </c>
      <c r="D40" s="14">
        <f>IF(A40&gt;LastWeek-364,1,0)</f>
        <v/>
      </c>
      <c r="E40" s="14">
        <f>C40^2*D40</f>
        <v/>
      </c>
    </row>
    <row r="41">
      <c r="A41" s="26" t="n">
        <v>45565</v>
      </c>
      <c r="B41" s="14" t="inlineStr">
        <is>
          <t>NB-0001</t>
        </is>
      </c>
      <c r="C41" s="14" t="n">
        <v>65</v>
      </c>
      <c r="D41" s="14">
        <f>IF(A41&gt;LastWeek-364,1,0)</f>
        <v/>
      </c>
      <c r="E41" s="14">
        <f>C41^2*D41</f>
        <v/>
      </c>
    </row>
    <row r="42">
      <c r="A42" s="26" t="n">
        <v>45572</v>
      </c>
      <c r="B42" s="14" t="inlineStr">
        <is>
          <t>NB-0001</t>
        </is>
      </c>
      <c r="C42" s="14" t="n">
        <v>74</v>
      </c>
      <c r="D42" s="14">
        <f>IF(A42&gt;LastWeek-364,1,0)</f>
        <v/>
      </c>
      <c r="E42" s="14">
        <f>C42^2*D42</f>
        <v/>
      </c>
    </row>
    <row r="43">
      <c r="A43" s="26" t="n">
        <v>45579</v>
      </c>
      <c r="B43" s="14" t="inlineStr">
        <is>
          <t>NB-0001</t>
        </is>
      </c>
      <c r="C43" s="14" t="n">
        <v>51</v>
      </c>
      <c r="D43" s="14">
        <f>IF(A43&gt;LastWeek-364,1,0)</f>
        <v/>
      </c>
      <c r="E43" s="14">
        <f>C43^2*D43</f>
        <v/>
      </c>
    </row>
    <row r="44">
      <c r="A44" s="26" t="n">
        <v>45586</v>
      </c>
      <c r="B44" s="14" t="inlineStr">
        <is>
          <t>NB-0001</t>
        </is>
      </c>
      <c r="C44" s="14" t="n">
        <v>72</v>
      </c>
      <c r="D44" s="14">
        <f>IF(A44&gt;LastWeek-364,1,0)</f>
        <v/>
      </c>
      <c r="E44" s="14">
        <f>C44^2*D44</f>
        <v/>
      </c>
    </row>
    <row r="45">
      <c r="A45" s="26" t="n">
        <v>45593</v>
      </c>
      <c r="B45" s="14" t="inlineStr">
        <is>
          <t>NB-0001</t>
        </is>
      </c>
      <c r="C45" s="14" t="n">
        <v>121</v>
      </c>
      <c r="D45" s="14">
        <f>IF(A45&gt;LastWeek-364,1,0)</f>
        <v/>
      </c>
      <c r="E45" s="14">
        <f>C45^2*D45</f>
        <v/>
      </c>
    </row>
    <row r="46">
      <c r="A46" s="26" t="n">
        <v>45600</v>
      </c>
      <c r="B46" s="14" t="inlineStr">
        <is>
          <t>NB-0001</t>
        </is>
      </c>
      <c r="C46" s="14" t="n">
        <v>103</v>
      </c>
      <c r="D46" s="14">
        <f>IF(A46&gt;LastWeek-364,1,0)</f>
        <v/>
      </c>
      <c r="E46" s="14">
        <f>C46^2*D46</f>
        <v/>
      </c>
    </row>
    <row r="47">
      <c r="A47" s="26" t="n">
        <v>45607</v>
      </c>
      <c r="B47" s="14" t="inlineStr">
        <is>
          <t>NB-0001</t>
        </is>
      </c>
      <c r="C47" s="14" t="n">
        <v>140</v>
      </c>
      <c r="D47" s="14">
        <f>IF(A47&gt;LastWeek-364,1,0)</f>
        <v/>
      </c>
      <c r="E47" s="14">
        <f>C47^2*D47</f>
        <v/>
      </c>
    </row>
    <row r="48">
      <c r="A48" s="26" t="n">
        <v>45614</v>
      </c>
      <c r="B48" s="14" t="inlineStr">
        <is>
          <t>NB-0001</t>
        </is>
      </c>
      <c r="C48" s="14" t="n">
        <v>126</v>
      </c>
      <c r="D48" s="14">
        <f>IF(A48&gt;LastWeek-364,1,0)</f>
        <v/>
      </c>
      <c r="E48" s="14">
        <f>C48^2*D48</f>
        <v/>
      </c>
    </row>
    <row r="49">
      <c r="A49" s="26" t="n">
        <v>45621</v>
      </c>
      <c r="B49" s="14" t="inlineStr">
        <is>
          <t>NB-0001</t>
        </is>
      </c>
      <c r="C49" s="14" t="n">
        <v>106</v>
      </c>
      <c r="D49" s="14">
        <f>IF(A49&gt;LastWeek-364,1,0)</f>
        <v/>
      </c>
      <c r="E49" s="14">
        <f>C49^2*D49</f>
        <v/>
      </c>
    </row>
    <row r="50">
      <c r="A50" s="26" t="n">
        <v>45628</v>
      </c>
      <c r="B50" s="14" t="inlineStr">
        <is>
          <t>NB-0001</t>
        </is>
      </c>
      <c r="C50" s="14" t="n">
        <v>149</v>
      </c>
      <c r="D50" s="14">
        <f>IF(A50&gt;LastWeek-364,1,0)</f>
        <v/>
      </c>
      <c r="E50" s="14">
        <f>C50^2*D50</f>
        <v/>
      </c>
    </row>
    <row r="51">
      <c r="A51" s="26" t="n">
        <v>45635</v>
      </c>
      <c r="B51" s="14" t="inlineStr">
        <is>
          <t>NB-0001</t>
        </is>
      </c>
      <c r="C51" s="14" t="n">
        <v>109</v>
      </c>
      <c r="D51" s="14">
        <f>IF(A51&gt;LastWeek-364,1,0)</f>
        <v/>
      </c>
      <c r="E51" s="14">
        <f>C51^2*D51</f>
        <v/>
      </c>
    </row>
    <row r="52">
      <c r="A52" s="26" t="n">
        <v>45642</v>
      </c>
      <c r="B52" s="14" t="inlineStr">
        <is>
          <t>NB-0001</t>
        </is>
      </c>
      <c r="C52" s="14" t="n">
        <v>123</v>
      </c>
      <c r="D52" s="14">
        <f>IF(A52&gt;LastWeek-364,1,0)</f>
        <v/>
      </c>
      <c r="E52" s="14">
        <f>C52^2*D52</f>
        <v/>
      </c>
    </row>
    <row r="53">
      <c r="A53" s="26" t="n">
        <v>45649</v>
      </c>
      <c r="B53" s="14" t="inlineStr">
        <is>
          <t>NB-0001</t>
        </is>
      </c>
      <c r="C53" s="14" t="n">
        <v>87</v>
      </c>
      <c r="D53" s="14">
        <f>IF(A53&gt;LastWeek-364,1,0)</f>
        <v/>
      </c>
      <c r="E53" s="14">
        <f>C53^2*D53</f>
        <v/>
      </c>
    </row>
    <row r="54">
      <c r="A54" s="26" t="n">
        <v>45656</v>
      </c>
      <c r="B54" s="14" t="inlineStr">
        <is>
          <t>NB-0001</t>
        </is>
      </c>
      <c r="C54" s="14" t="n">
        <v>99</v>
      </c>
      <c r="D54" s="14">
        <f>IF(A54&gt;LastWeek-364,1,0)</f>
        <v/>
      </c>
      <c r="E54" s="14">
        <f>C54^2*D54</f>
        <v/>
      </c>
    </row>
    <row r="55">
      <c r="A55" s="26" t="n">
        <v>45663</v>
      </c>
      <c r="B55" s="14" t="inlineStr">
        <is>
          <t>NB-0001</t>
        </is>
      </c>
      <c r="C55" s="14" t="n">
        <v>74</v>
      </c>
      <c r="D55" s="14">
        <f>IF(A55&gt;LastWeek-364,1,0)</f>
        <v/>
      </c>
      <c r="E55" s="14">
        <f>C55^2*D55</f>
        <v/>
      </c>
    </row>
    <row r="56">
      <c r="A56" s="26" t="n">
        <v>45670</v>
      </c>
      <c r="B56" s="14" t="inlineStr">
        <is>
          <t>NB-0001</t>
        </is>
      </c>
      <c r="C56" s="14" t="n">
        <v>129</v>
      </c>
      <c r="D56" s="14">
        <f>IF(A56&gt;LastWeek-364,1,0)</f>
        <v/>
      </c>
      <c r="E56" s="14">
        <f>C56^2*D56</f>
        <v/>
      </c>
    </row>
    <row r="57">
      <c r="A57" s="26" t="n">
        <v>45677</v>
      </c>
      <c r="B57" s="14" t="inlineStr">
        <is>
          <t>NB-0001</t>
        </is>
      </c>
      <c r="C57" s="14" t="n">
        <v>58</v>
      </c>
      <c r="D57" s="14">
        <f>IF(A57&gt;LastWeek-364,1,0)</f>
        <v/>
      </c>
      <c r="E57" s="14">
        <f>C57^2*D57</f>
        <v/>
      </c>
    </row>
    <row r="58">
      <c r="A58" s="26" t="n">
        <v>45684</v>
      </c>
      <c r="B58" s="14" t="inlineStr">
        <is>
          <t>NB-0001</t>
        </is>
      </c>
      <c r="C58" s="14" t="n">
        <v>121</v>
      </c>
      <c r="D58" s="14">
        <f>IF(A58&gt;LastWeek-364,1,0)</f>
        <v/>
      </c>
      <c r="E58" s="14">
        <f>C58^2*D58</f>
        <v/>
      </c>
    </row>
    <row r="59">
      <c r="A59" s="26" t="n">
        <v>45691</v>
      </c>
      <c r="B59" s="14" t="inlineStr">
        <is>
          <t>NB-0001</t>
        </is>
      </c>
      <c r="C59" s="14" t="n">
        <v>88</v>
      </c>
      <c r="D59" s="14">
        <f>IF(A59&gt;LastWeek-364,1,0)</f>
        <v/>
      </c>
      <c r="E59" s="14">
        <f>C59^2*D59</f>
        <v/>
      </c>
    </row>
    <row r="60">
      <c r="A60" s="26" t="n">
        <v>45698</v>
      </c>
      <c r="B60" s="14" t="inlineStr">
        <is>
          <t>NB-0001</t>
        </is>
      </c>
      <c r="C60" s="14" t="n">
        <v>129</v>
      </c>
      <c r="D60" s="14">
        <f>IF(A60&gt;LastWeek-364,1,0)</f>
        <v/>
      </c>
      <c r="E60" s="14">
        <f>C60^2*D60</f>
        <v/>
      </c>
    </row>
    <row r="61">
      <c r="A61" s="26" t="n">
        <v>45705</v>
      </c>
      <c r="B61" s="14" t="inlineStr">
        <is>
          <t>NB-0001</t>
        </is>
      </c>
      <c r="C61" s="14" t="n">
        <v>114</v>
      </c>
      <c r="D61" s="14">
        <f>IF(A61&gt;LastWeek-364,1,0)</f>
        <v/>
      </c>
      <c r="E61" s="14">
        <f>C61^2*D61</f>
        <v/>
      </c>
    </row>
    <row r="62">
      <c r="A62" s="26" t="n">
        <v>45712</v>
      </c>
      <c r="B62" s="14" t="inlineStr">
        <is>
          <t>NB-0001</t>
        </is>
      </c>
      <c r="C62" s="14" t="n">
        <v>144</v>
      </c>
      <c r="D62" s="14">
        <f>IF(A62&gt;LastWeek-364,1,0)</f>
        <v/>
      </c>
      <c r="E62" s="14">
        <f>C62^2*D62</f>
        <v/>
      </c>
    </row>
    <row r="63">
      <c r="A63" s="26" t="n">
        <v>45719</v>
      </c>
      <c r="B63" s="14" t="inlineStr">
        <is>
          <t>NB-0001</t>
        </is>
      </c>
      <c r="C63" s="14" t="n">
        <v>108</v>
      </c>
      <c r="D63" s="14">
        <f>IF(A63&gt;LastWeek-364,1,0)</f>
        <v/>
      </c>
      <c r="E63" s="14">
        <f>C63^2*D63</f>
        <v/>
      </c>
    </row>
    <row r="64">
      <c r="A64" s="26" t="n">
        <v>45726</v>
      </c>
      <c r="B64" s="14" t="inlineStr">
        <is>
          <t>NB-0001</t>
        </is>
      </c>
      <c r="C64" s="14" t="n">
        <v>40</v>
      </c>
      <c r="D64" s="14">
        <f>IF(A64&gt;LastWeek-364,1,0)</f>
        <v/>
      </c>
      <c r="E64" s="14">
        <f>C64^2*D64</f>
        <v/>
      </c>
    </row>
    <row r="65">
      <c r="A65" s="26" t="n">
        <v>45733</v>
      </c>
      <c r="B65" s="14" t="inlineStr">
        <is>
          <t>NB-0001</t>
        </is>
      </c>
      <c r="C65" s="14" t="n">
        <v>80</v>
      </c>
      <c r="D65" s="14">
        <f>IF(A65&gt;LastWeek-364,1,0)</f>
        <v/>
      </c>
      <c r="E65" s="14">
        <f>C65^2*D65</f>
        <v/>
      </c>
    </row>
    <row r="66">
      <c r="A66" s="26" t="n">
        <v>45740</v>
      </c>
      <c r="B66" s="14" t="inlineStr">
        <is>
          <t>NB-0001</t>
        </is>
      </c>
      <c r="C66" s="14" t="n">
        <v>48</v>
      </c>
      <c r="D66" s="14">
        <f>IF(A66&gt;LastWeek-364,1,0)</f>
        <v/>
      </c>
      <c r="E66" s="14">
        <f>C66^2*D66</f>
        <v/>
      </c>
    </row>
    <row r="67">
      <c r="A67" s="26" t="n">
        <v>45747</v>
      </c>
      <c r="B67" s="14" t="inlineStr">
        <is>
          <t>NB-0001</t>
        </is>
      </c>
      <c r="C67" s="14" t="n">
        <v>63</v>
      </c>
      <c r="D67" s="14">
        <f>IF(A67&gt;LastWeek-364,1,0)</f>
        <v/>
      </c>
      <c r="E67" s="14">
        <f>C67^2*D67</f>
        <v/>
      </c>
    </row>
    <row r="68">
      <c r="A68" s="26" t="n">
        <v>45754</v>
      </c>
      <c r="B68" s="14" t="inlineStr">
        <is>
          <t>NB-0001</t>
        </is>
      </c>
      <c r="C68" s="14" t="n">
        <v>112</v>
      </c>
      <c r="D68" s="14">
        <f>IF(A68&gt;LastWeek-364,1,0)</f>
        <v/>
      </c>
      <c r="E68" s="14">
        <f>C68^2*D68</f>
        <v/>
      </c>
    </row>
    <row r="69">
      <c r="A69" s="26" t="n">
        <v>45761</v>
      </c>
      <c r="B69" s="14" t="inlineStr">
        <is>
          <t>NB-0001</t>
        </is>
      </c>
      <c r="C69" s="14" t="n">
        <v>87</v>
      </c>
      <c r="D69" s="14">
        <f>IF(A69&gt;LastWeek-364,1,0)</f>
        <v/>
      </c>
      <c r="E69" s="14">
        <f>C69^2*D69</f>
        <v/>
      </c>
    </row>
    <row r="70">
      <c r="A70" s="26" t="n">
        <v>45768</v>
      </c>
      <c r="B70" s="14" t="inlineStr">
        <is>
          <t>NB-0001</t>
        </is>
      </c>
      <c r="C70" s="14" t="n">
        <v>52</v>
      </c>
      <c r="D70" s="14">
        <f>IF(A70&gt;LastWeek-364,1,0)</f>
        <v/>
      </c>
      <c r="E70" s="14">
        <f>C70^2*D70</f>
        <v/>
      </c>
    </row>
    <row r="71">
      <c r="A71" s="26" t="n">
        <v>45775</v>
      </c>
      <c r="B71" s="14" t="inlineStr">
        <is>
          <t>NB-0001</t>
        </is>
      </c>
      <c r="C71" s="14" t="n">
        <v>43</v>
      </c>
      <c r="D71" s="14">
        <f>IF(A71&gt;LastWeek-364,1,0)</f>
        <v/>
      </c>
      <c r="E71" s="14">
        <f>C71^2*D71</f>
        <v/>
      </c>
    </row>
    <row r="72">
      <c r="A72" s="26" t="n">
        <v>45782</v>
      </c>
      <c r="B72" s="14" t="inlineStr">
        <is>
          <t>NB-0001</t>
        </is>
      </c>
      <c r="C72" s="14" t="n">
        <v>64</v>
      </c>
      <c r="D72" s="14">
        <f>IF(A72&gt;LastWeek-364,1,0)</f>
        <v/>
      </c>
      <c r="E72" s="14">
        <f>C72^2*D72</f>
        <v/>
      </c>
    </row>
    <row r="73">
      <c r="A73" s="26" t="n">
        <v>45789</v>
      </c>
      <c r="B73" s="14" t="inlineStr">
        <is>
          <t>NB-0001</t>
        </is>
      </c>
      <c r="C73" s="14" t="n">
        <v>36</v>
      </c>
      <c r="D73" s="14">
        <f>IF(A73&gt;LastWeek-364,1,0)</f>
        <v/>
      </c>
      <c r="E73" s="14">
        <f>C73^2*D73</f>
        <v/>
      </c>
    </row>
    <row r="74">
      <c r="A74" s="26" t="n">
        <v>45796</v>
      </c>
      <c r="B74" s="14" t="inlineStr">
        <is>
          <t>NB-0001</t>
        </is>
      </c>
      <c r="C74" s="14" t="n">
        <v>46</v>
      </c>
      <c r="D74" s="14">
        <f>IF(A74&gt;LastWeek-364,1,0)</f>
        <v/>
      </c>
      <c r="E74" s="14">
        <f>C74^2*D74</f>
        <v/>
      </c>
    </row>
    <row r="75">
      <c r="A75" s="26" t="n">
        <v>45803</v>
      </c>
      <c r="B75" s="14" t="inlineStr">
        <is>
          <t>NB-0001</t>
        </is>
      </c>
      <c r="C75" s="14" t="n">
        <v>63</v>
      </c>
      <c r="D75" s="14">
        <f>IF(A75&gt;LastWeek-364,1,0)</f>
        <v/>
      </c>
      <c r="E75" s="14">
        <f>C75^2*D75</f>
        <v/>
      </c>
    </row>
    <row r="76">
      <c r="A76" s="26" t="n">
        <v>45810</v>
      </c>
      <c r="B76" s="14" t="inlineStr">
        <is>
          <t>NB-0001</t>
        </is>
      </c>
      <c r="C76" s="14" t="n">
        <v>77</v>
      </c>
      <c r="D76" s="14">
        <f>IF(A76&gt;LastWeek-364,1,0)</f>
        <v/>
      </c>
      <c r="E76" s="14">
        <f>C76^2*D76</f>
        <v/>
      </c>
    </row>
    <row r="77">
      <c r="A77" s="26" t="n">
        <v>45817</v>
      </c>
      <c r="B77" s="14" t="inlineStr">
        <is>
          <t>NB-0001</t>
        </is>
      </c>
      <c r="C77" s="14" t="n">
        <v>65</v>
      </c>
      <c r="D77" s="14">
        <f>IF(A77&gt;LastWeek-364,1,0)</f>
        <v/>
      </c>
      <c r="E77" s="14">
        <f>C77^2*D77</f>
        <v/>
      </c>
    </row>
    <row r="78">
      <c r="A78" s="26" t="n">
        <v>45824</v>
      </c>
      <c r="B78" s="14" t="inlineStr">
        <is>
          <t>NB-0001</t>
        </is>
      </c>
      <c r="C78" s="14" t="n">
        <v>12</v>
      </c>
      <c r="D78" s="14">
        <f>IF(A78&gt;LastWeek-364,1,0)</f>
        <v/>
      </c>
      <c r="E78" s="14">
        <f>C78^2*D78</f>
        <v/>
      </c>
    </row>
    <row r="79">
      <c r="A79" s="26" t="n">
        <v>45831</v>
      </c>
      <c r="B79" s="14" t="inlineStr">
        <is>
          <t>NB-0001</t>
        </is>
      </c>
      <c r="C79" s="14" t="n">
        <v>57</v>
      </c>
      <c r="D79" s="14">
        <f>IF(A79&gt;LastWeek-364,1,0)</f>
        <v/>
      </c>
      <c r="E79" s="14">
        <f>C79^2*D79</f>
        <v/>
      </c>
    </row>
    <row r="80">
      <c r="A80" s="26" t="n">
        <v>45838</v>
      </c>
      <c r="B80" s="14" t="inlineStr">
        <is>
          <t>NB-0001</t>
        </is>
      </c>
      <c r="C80" s="14" t="n">
        <v>53</v>
      </c>
      <c r="D80" s="14">
        <f>IF(A80&gt;LastWeek-364,1,0)</f>
        <v/>
      </c>
      <c r="E80" s="14">
        <f>C80^2*D80</f>
        <v/>
      </c>
    </row>
    <row r="81">
      <c r="A81" s="26" t="n">
        <v>45845</v>
      </c>
      <c r="B81" s="14" t="inlineStr">
        <is>
          <t>NB-0001</t>
        </is>
      </c>
      <c r="C81" s="14" t="n">
        <v>59</v>
      </c>
      <c r="D81" s="14">
        <f>IF(A81&gt;LastWeek-364,1,0)</f>
        <v/>
      </c>
      <c r="E81" s="14">
        <f>C81^2*D81</f>
        <v/>
      </c>
    </row>
    <row r="82">
      <c r="A82" s="26" t="n">
        <v>45852</v>
      </c>
      <c r="B82" s="14" t="inlineStr">
        <is>
          <t>NB-0001</t>
        </is>
      </c>
      <c r="C82" s="14" t="n">
        <v>80</v>
      </c>
      <c r="D82" s="14">
        <f>IF(A82&gt;LastWeek-364,1,0)</f>
        <v/>
      </c>
      <c r="E82" s="14">
        <f>C82^2*D82</f>
        <v/>
      </c>
    </row>
    <row r="83">
      <c r="A83" s="26" t="n">
        <v>45859</v>
      </c>
      <c r="B83" s="14" t="inlineStr">
        <is>
          <t>NB-0001</t>
        </is>
      </c>
      <c r="C83" s="14" t="n">
        <v>16</v>
      </c>
      <c r="D83" s="14">
        <f>IF(A83&gt;LastWeek-364,1,0)</f>
        <v/>
      </c>
      <c r="E83" s="14">
        <f>C83^2*D83</f>
        <v/>
      </c>
    </row>
    <row r="84">
      <c r="A84" s="26" t="n">
        <v>45866</v>
      </c>
      <c r="B84" s="14" t="inlineStr">
        <is>
          <t>NB-0001</t>
        </is>
      </c>
      <c r="C84" s="14" t="n">
        <v>42</v>
      </c>
      <c r="D84" s="14">
        <f>IF(A84&gt;LastWeek-364,1,0)</f>
        <v/>
      </c>
      <c r="E84" s="14">
        <f>C84^2*D84</f>
        <v/>
      </c>
    </row>
    <row r="85">
      <c r="A85" s="26" t="n">
        <v>45873</v>
      </c>
      <c r="B85" s="14" t="inlineStr">
        <is>
          <t>NB-0001</t>
        </is>
      </c>
      <c r="C85" s="14" t="n">
        <v>64</v>
      </c>
      <c r="D85" s="14">
        <f>IF(A85&gt;LastWeek-364,1,0)</f>
        <v/>
      </c>
      <c r="E85" s="14">
        <f>C85^2*D85</f>
        <v/>
      </c>
    </row>
    <row r="86">
      <c r="A86" s="26" t="n">
        <v>45880</v>
      </c>
      <c r="B86" s="14" t="inlineStr">
        <is>
          <t>NB-0001</t>
        </is>
      </c>
      <c r="C86" s="14" t="n">
        <v>26</v>
      </c>
      <c r="D86" s="14">
        <f>IF(A86&gt;LastWeek-364,1,0)</f>
        <v/>
      </c>
      <c r="E86" s="14">
        <f>C86^2*D86</f>
        <v/>
      </c>
    </row>
    <row r="87">
      <c r="A87" s="26" t="n">
        <v>45887</v>
      </c>
      <c r="B87" s="14" t="inlineStr">
        <is>
          <t>NB-0001</t>
        </is>
      </c>
      <c r="C87" s="14" t="n">
        <v>84</v>
      </c>
      <c r="D87" s="14">
        <f>IF(A87&gt;LastWeek-364,1,0)</f>
        <v/>
      </c>
      <c r="E87" s="14">
        <f>C87^2*D87</f>
        <v/>
      </c>
    </row>
    <row r="88">
      <c r="A88" s="26" t="n">
        <v>45894</v>
      </c>
      <c r="B88" s="14" t="inlineStr">
        <is>
          <t>NB-0001</t>
        </is>
      </c>
      <c r="C88" s="14" t="n">
        <v>65</v>
      </c>
      <c r="D88" s="14">
        <f>IF(A88&gt;LastWeek-364,1,0)</f>
        <v/>
      </c>
      <c r="E88" s="14">
        <f>C88^2*D88</f>
        <v/>
      </c>
    </row>
    <row r="89">
      <c r="A89" s="26" t="n">
        <v>45901</v>
      </c>
      <c r="B89" s="14" t="inlineStr">
        <is>
          <t>NB-0001</t>
        </is>
      </c>
      <c r="C89" s="14" t="n">
        <v>77</v>
      </c>
      <c r="D89" s="14">
        <f>IF(A89&gt;LastWeek-364,1,0)</f>
        <v/>
      </c>
      <c r="E89" s="14">
        <f>C89^2*D89</f>
        <v/>
      </c>
    </row>
    <row r="90">
      <c r="A90" s="26" t="n">
        <v>45908</v>
      </c>
      <c r="B90" s="14" t="inlineStr">
        <is>
          <t>NB-0001</t>
        </is>
      </c>
      <c r="C90" s="14" t="n">
        <v>50</v>
      </c>
      <c r="D90" s="14">
        <f>IF(A90&gt;LastWeek-364,1,0)</f>
        <v/>
      </c>
      <c r="E90" s="14">
        <f>C90^2*D90</f>
        <v/>
      </c>
    </row>
    <row r="91">
      <c r="A91" s="26" t="n">
        <v>45915</v>
      </c>
      <c r="B91" s="14" t="inlineStr">
        <is>
          <t>NB-0001</t>
        </is>
      </c>
      <c r="C91" s="14" t="n">
        <v>82</v>
      </c>
      <c r="D91" s="14">
        <f>IF(A91&gt;LastWeek-364,1,0)</f>
        <v/>
      </c>
      <c r="E91" s="14">
        <f>C91^2*D91</f>
        <v/>
      </c>
    </row>
    <row r="92">
      <c r="A92" s="26" t="n">
        <v>45922</v>
      </c>
      <c r="B92" s="14" t="inlineStr">
        <is>
          <t>NB-0001</t>
        </is>
      </c>
      <c r="C92" s="14" t="n">
        <v>91</v>
      </c>
      <c r="D92" s="14">
        <f>IF(A92&gt;LastWeek-364,1,0)</f>
        <v/>
      </c>
      <c r="E92" s="14">
        <f>C92^2*D92</f>
        <v/>
      </c>
    </row>
    <row r="93">
      <c r="A93" s="26" t="n">
        <v>45929</v>
      </c>
      <c r="B93" s="14" t="inlineStr">
        <is>
          <t>NB-0001</t>
        </is>
      </c>
      <c r="C93" s="14" t="n">
        <v>75</v>
      </c>
      <c r="D93" s="14">
        <f>IF(A93&gt;LastWeek-364,1,0)</f>
        <v/>
      </c>
      <c r="E93" s="14">
        <f>C93^2*D93</f>
        <v/>
      </c>
    </row>
    <row r="94">
      <c r="A94" s="26" t="n">
        <v>45936</v>
      </c>
      <c r="B94" s="14" t="inlineStr">
        <is>
          <t>NB-0001</t>
        </is>
      </c>
      <c r="C94" s="14" t="n">
        <v>77</v>
      </c>
      <c r="D94" s="14">
        <f>IF(A94&gt;LastWeek-364,1,0)</f>
        <v/>
      </c>
      <c r="E94" s="14">
        <f>C94^2*D94</f>
        <v/>
      </c>
    </row>
    <row r="95">
      <c r="A95" s="26" t="n">
        <v>45943</v>
      </c>
      <c r="B95" s="14" t="inlineStr">
        <is>
          <t>NB-0001</t>
        </is>
      </c>
      <c r="C95" s="14" t="n">
        <v>81</v>
      </c>
      <c r="D95" s="14">
        <f>IF(A95&gt;LastWeek-364,1,0)</f>
        <v/>
      </c>
      <c r="E95" s="14">
        <f>C95^2*D95</f>
        <v/>
      </c>
    </row>
    <row r="96">
      <c r="A96" s="26" t="n">
        <v>45950</v>
      </c>
      <c r="B96" s="14" t="inlineStr">
        <is>
          <t>NB-0001</t>
        </is>
      </c>
      <c r="C96" s="14" t="n">
        <v>54</v>
      </c>
      <c r="D96" s="14">
        <f>IF(A96&gt;LastWeek-364,1,0)</f>
        <v/>
      </c>
      <c r="E96" s="14">
        <f>C96^2*D96</f>
        <v/>
      </c>
    </row>
    <row r="97">
      <c r="A97" s="26" t="n">
        <v>45957</v>
      </c>
      <c r="B97" s="14" t="inlineStr">
        <is>
          <t>NB-0001</t>
        </is>
      </c>
      <c r="C97" s="14" t="n">
        <v>75</v>
      </c>
      <c r="D97" s="14">
        <f>IF(A97&gt;LastWeek-364,1,0)</f>
        <v/>
      </c>
      <c r="E97" s="14">
        <f>C97^2*D97</f>
        <v/>
      </c>
    </row>
    <row r="98">
      <c r="A98" s="26" t="n">
        <v>45964</v>
      </c>
      <c r="B98" s="14" t="inlineStr">
        <is>
          <t>NB-0001</t>
        </is>
      </c>
      <c r="C98" s="14" t="n">
        <v>77</v>
      </c>
      <c r="D98" s="14">
        <f>IF(A98&gt;LastWeek-364,1,0)</f>
        <v/>
      </c>
      <c r="E98" s="14">
        <f>C98^2*D98</f>
        <v/>
      </c>
    </row>
    <row r="99">
      <c r="A99" s="26" t="n">
        <v>45971</v>
      </c>
      <c r="B99" s="14" t="inlineStr">
        <is>
          <t>NB-0001</t>
        </is>
      </c>
      <c r="C99" s="14" t="n">
        <v>94</v>
      </c>
      <c r="D99" s="14">
        <f>IF(A99&gt;LastWeek-364,1,0)</f>
        <v/>
      </c>
      <c r="E99" s="14">
        <f>C99^2*D99</f>
        <v/>
      </c>
    </row>
    <row r="100">
      <c r="A100" s="26" t="n">
        <v>45978</v>
      </c>
      <c r="B100" s="14" t="inlineStr">
        <is>
          <t>NB-0001</t>
        </is>
      </c>
      <c r="C100" s="14" t="n">
        <v>114</v>
      </c>
      <c r="D100" s="14">
        <f>IF(A100&gt;LastWeek-364,1,0)</f>
        <v/>
      </c>
      <c r="E100" s="14">
        <f>C100^2*D100</f>
        <v/>
      </c>
    </row>
    <row r="101">
      <c r="A101" s="26" t="n">
        <v>45985</v>
      </c>
      <c r="B101" s="14" t="inlineStr">
        <is>
          <t>NB-0001</t>
        </is>
      </c>
      <c r="C101" s="14" t="n">
        <v>56</v>
      </c>
      <c r="D101" s="14">
        <f>IF(A101&gt;LastWeek-364,1,0)</f>
        <v/>
      </c>
      <c r="E101" s="14">
        <f>C101^2*D101</f>
        <v/>
      </c>
    </row>
    <row r="102">
      <c r="A102" s="26" t="n">
        <v>45992</v>
      </c>
      <c r="B102" s="14" t="inlineStr">
        <is>
          <t>NB-0001</t>
        </is>
      </c>
      <c r="C102" s="14" t="n">
        <v>85</v>
      </c>
      <c r="D102" s="14">
        <f>IF(A102&gt;LastWeek-364,1,0)</f>
        <v/>
      </c>
      <c r="E102" s="14">
        <f>C102^2*D102</f>
        <v/>
      </c>
    </row>
    <row r="103">
      <c r="A103" s="26" t="n">
        <v>45999</v>
      </c>
      <c r="B103" s="14" t="inlineStr">
        <is>
          <t>NB-0001</t>
        </is>
      </c>
      <c r="C103" s="14" t="n">
        <v>135</v>
      </c>
      <c r="D103" s="14">
        <f>IF(A103&gt;LastWeek-364,1,0)</f>
        <v/>
      </c>
      <c r="E103" s="14">
        <f>C103^2*D103</f>
        <v/>
      </c>
    </row>
    <row r="104">
      <c r="A104" s="26" t="n">
        <v>46006</v>
      </c>
      <c r="B104" s="14" t="inlineStr">
        <is>
          <t>NB-0001</t>
        </is>
      </c>
      <c r="C104" s="14" t="n">
        <v>68</v>
      </c>
      <c r="D104" s="14">
        <f>IF(A104&gt;LastWeek-364,1,0)</f>
        <v/>
      </c>
      <c r="E104" s="14">
        <f>C104^2*D104</f>
        <v/>
      </c>
    </row>
    <row r="105">
      <c r="A105" s="26" t="n">
        <v>46013</v>
      </c>
      <c r="B105" s="14" t="inlineStr">
        <is>
          <t>NB-0001</t>
        </is>
      </c>
      <c r="C105" s="14" t="n">
        <v>66</v>
      </c>
      <c r="D105" s="14">
        <f>IF(A105&gt;LastWeek-364,1,0)</f>
        <v/>
      </c>
      <c r="E105" s="14">
        <f>C105^2*D105</f>
        <v/>
      </c>
    </row>
    <row r="106">
      <c r="A106" s="26" t="n">
        <v>45292</v>
      </c>
      <c r="B106" s="14" t="inlineStr">
        <is>
          <t>NB-0002</t>
        </is>
      </c>
      <c r="C106" s="14" t="n">
        <v>28</v>
      </c>
      <c r="D106" s="14">
        <f>IF(A106&gt;LastWeek-364,1,0)</f>
        <v/>
      </c>
      <c r="E106" s="14">
        <f>C106^2*D106</f>
        <v/>
      </c>
    </row>
    <row r="107">
      <c r="A107" s="26" t="n">
        <v>45299</v>
      </c>
      <c r="B107" s="14" t="inlineStr">
        <is>
          <t>NB-0002</t>
        </is>
      </c>
      <c r="C107" s="14" t="n">
        <v>31</v>
      </c>
      <c r="D107" s="14">
        <f>IF(A107&gt;LastWeek-364,1,0)</f>
        <v/>
      </c>
      <c r="E107" s="14">
        <f>C107^2*D107</f>
        <v/>
      </c>
    </row>
    <row r="108">
      <c r="A108" s="26" t="n">
        <v>45306</v>
      </c>
      <c r="B108" s="14" t="inlineStr">
        <is>
          <t>NB-0002</t>
        </is>
      </c>
      <c r="C108" s="14" t="n">
        <v>28</v>
      </c>
      <c r="D108" s="14">
        <f>IF(A108&gt;LastWeek-364,1,0)</f>
        <v/>
      </c>
      <c r="E108" s="14">
        <f>C108^2*D108</f>
        <v/>
      </c>
    </row>
    <row r="109">
      <c r="A109" s="26" t="n">
        <v>45313</v>
      </c>
      <c r="B109" s="14" t="inlineStr">
        <is>
          <t>NB-0002</t>
        </is>
      </c>
      <c r="C109" s="14" t="n">
        <v>32</v>
      </c>
      <c r="D109" s="14">
        <f>IF(A109&gt;LastWeek-364,1,0)</f>
        <v/>
      </c>
      <c r="E109" s="14">
        <f>C109^2*D109</f>
        <v/>
      </c>
    </row>
    <row r="110">
      <c r="A110" s="26" t="n">
        <v>45320</v>
      </c>
      <c r="B110" s="14" t="inlineStr">
        <is>
          <t>NB-0002</t>
        </is>
      </c>
      <c r="C110" s="14" t="n">
        <v>30</v>
      </c>
      <c r="D110" s="14">
        <f>IF(A110&gt;LastWeek-364,1,0)</f>
        <v/>
      </c>
      <c r="E110" s="14">
        <f>C110^2*D110</f>
        <v/>
      </c>
    </row>
    <row r="111">
      <c r="A111" s="26" t="n">
        <v>45327</v>
      </c>
      <c r="B111" s="14" t="inlineStr">
        <is>
          <t>NB-0002</t>
        </is>
      </c>
      <c r="C111" s="14" t="n">
        <v>30</v>
      </c>
      <c r="D111" s="14">
        <f>IF(A111&gt;LastWeek-364,1,0)</f>
        <v/>
      </c>
      <c r="E111" s="14">
        <f>C111^2*D111</f>
        <v/>
      </c>
    </row>
    <row r="112">
      <c r="A112" s="26" t="n">
        <v>45334</v>
      </c>
      <c r="B112" s="14" t="inlineStr">
        <is>
          <t>NB-0002</t>
        </is>
      </c>
      <c r="C112" s="14" t="n">
        <v>29</v>
      </c>
      <c r="D112" s="14">
        <f>IF(A112&gt;LastWeek-364,1,0)</f>
        <v/>
      </c>
      <c r="E112" s="14">
        <f>C112^2*D112</f>
        <v/>
      </c>
    </row>
    <row r="113">
      <c r="A113" s="26" t="n">
        <v>45341</v>
      </c>
      <c r="B113" s="14" t="inlineStr">
        <is>
          <t>NB-0002</t>
        </is>
      </c>
      <c r="C113" s="14" t="n">
        <v>34</v>
      </c>
      <c r="D113" s="14">
        <f>IF(A113&gt;LastWeek-364,1,0)</f>
        <v/>
      </c>
      <c r="E113" s="14">
        <f>C113^2*D113</f>
        <v/>
      </c>
    </row>
    <row r="114">
      <c r="A114" s="26" t="n">
        <v>45348</v>
      </c>
      <c r="B114" s="14" t="inlineStr">
        <is>
          <t>NB-0002</t>
        </is>
      </c>
      <c r="C114" s="14" t="n">
        <v>25</v>
      </c>
      <c r="D114" s="14">
        <f>IF(A114&gt;LastWeek-364,1,0)</f>
        <v/>
      </c>
      <c r="E114" s="14">
        <f>C114^2*D114</f>
        <v/>
      </c>
    </row>
    <row r="115">
      <c r="A115" s="26" t="n">
        <v>45355</v>
      </c>
      <c r="B115" s="14" t="inlineStr">
        <is>
          <t>NB-0002</t>
        </is>
      </c>
      <c r="C115" s="14" t="n">
        <v>19</v>
      </c>
      <c r="D115" s="14">
        <f>IF(A115&gt;LastWeek-364,1,0)</f>
        <v/>
      </c>
      <c r="E115" s="14">
        <f>C115^2*D115</f>
        <v/>
      </c>
    </row>
    <row r="116">
      <c r="A116" s="26" t="n">
        <v>45362</v>
      </c>
      <c r="B116" s="14" t="inlineStr">
        <is>
          <t>NB-0002</t>
        </is>
      </c>
      <c r="C116" s="14" t="n">
        <v>29</v>
      </c>
      <c r="D116" s="14">
        <f>IF(A116&gt;LastWeek-364,1,0)</f>
        <v/>
      </c>
      <c r="E116" s="14">
        <f>C116^2*D116</f>
        <v/>
      </c>
    </row>
    <row r="117">
      <c r="A117" s="26" t="n">
        <v>45369</v>
      </c>
      <c r="B117" s="14" t="inlineStr">
        <is>
          <t>NB-0002</t>
        </is>
      </c>
      <c r="C117" s="14" t="n">
        <v>22</v>
      </c>
      <c r="D117" s="14">
        <f>IF(A117&gt;LastWeek-364,1,0)</f>
        <v/>
      </c>
      <c r="E117" s="14">
        <f>C117^2*D117</f>
        <v/>
      </c>
    </row>
    <row r="118">
      <c r="A118" s="26" t="n">
        <v>45376</v>
      </c>
      <c r="B118" s="14" t="inlineStr">
        <is>
          <t>NB-0002</t>
        </is>
      </c>
      <c r="C118" s="14" t="n">
        <v>23</v>
      </c>
      <c r="D118" s="14">
        <f>IF(A118&gt;LastWeek-364,1,0)</f>
        <v/>
      </c>
      <c r="E118" s="14">
        <f>C118^2*D118</f>
        <v/>
      </c>
    </row>
    <row r="119">
      <c r="A119" s="26" t="n">
        <v>45383</v>
      </c>
      <c r="B119" s="14" t="inlineStr">
        <is>
          <t>NB-0002</t>
        </is>
      </c>
      <c r="C119" s="14" t="n">
        <v>25</v>
      </c>
      <c r="D119" s="14">
        <f>IF(A119&gt;LastWeek-364,1,0)</f>
        <v/>
      </c>
      <c r="E119" s="14">
        <f>C119^2*D119</f>
        <v/>
      </c>
    </row>
    <row r="120">
      <c r="A120" s="26" t="n">
        <v>45390</v>
      </c>
      <c r="B120" s="14" t="inlineStr">
        <is>
          <t>NB-0002</t>
        </is>
      </c>
      <c r="C120" s="14" t="n">
        <v>17</v>
      </c>
      <c r="D120" s="14">
        <f>IF(A120&gt;LastWeek-364,1,0)</f>
        <v/>
      </c>
      <c r="E120" s="14">
        <f>C120^2*D120</f>
        <v/>
      </c>
    </row>
    <row r="121">
      <c r="A121" s="26" t="n">
        <v>45397</v>
      </c>
      <c r="B121" s="14" t="inlineStr">
        <is>
          <t>NB-0002</t>
        </is>
      </c>
      <c r="C121" s="14" t="n">
        <v>17</v>
      </c>
      <c r="D121" s="14">
        <f>IF(A121&gt;LastWeek-364,1,0)</f>
        <v/>
      </c>
      <c r="E121" s="14">
        <f>C121^2*D121</f>
        <v/>
      </c>
    </row>
    <row r="122">
      <c r="A122" s="26" t="n">
        <v>45404</v>
      </c>
      <c r="B122" s="14" t="inlineStr">
        <is>
          <t>NB-0002</t>
        </is>
      </c>
      <c r="C122" s="14" t="n">
        <v>15</v>
      </c>
      <c r="D122" s="14">
        <f>IF(A122&gt;LastWeek-364,1,0)</f>
        <v/>
      </c>
      <c r="E122" s="14">
        <f>C122^2*D122</f>
        <v/>
      </c>
    </row>
    <row r="123">
      <c r="A123" s="26" t="n">
        <v>45411</v>
      </c>
      <c r="B123" s="14" t="inlineStr">
        <is>
          <t>NB-0002</t>
        </is>
      </c>
      <c r="C123" s="14" t="n">
        <v>16</v>
      </c>
      <c r="D123" s="14">
        <f>IF(A123&gt;LastWeek-364,1,0)</f>
        <v/>
      </c>
      <c r="E123" s="14">
        <f>C123^2*D123</f>
        <v/>
      </c>
    </row>
    <row r="124">
      <c r="A124" s="26" t="n">
        <v>45418</v>
      </c>
      <c r="B124" s="14" t="inlineStr">
        <is>
          <t>NB-0002</t>
        </is>
      </c>
      <c r="C124" s="14" t="n">
        <v>18</v>
      </c>
      <c r="D124" s="14">
        <f>IF(A124&gt;LastWeek-364,1,0)</f>
        <v/>
      </c>
      <c r="E124" s="14">
        <f>C124^2*D124</f>
        <v/>
      </c>
    </row>
    <row r="125">
      <c r="A125" s="26" t="n">
        <v>45425</v>
      </c>
      <c r="B125" s="14" t="inlineStr">
        <is>
          <t>NB-0002</t>
        </is>
      </c>
      <c r="C125" s="14" t="n">
        <v>18</v>
      </c>
      <c r="D125" s="14">
        <f>IF(A125&gt;LastWeek-364,1,0)</f>
        <v/>
      </c>
      <c r="E125" s="14">
        <f>C125^2*D125</f>
        <v/>
      </c>
    </row>
    <row r="126">
      <c r="A126" s="26" t="n">
        <v>45432</v>
      </c>
      <c r="B126" s="14" t="inlineStr">
        <is>
          <t>NB-0002</t>
        </is>
      </c>
      <c r="C126" s="14" t="n">
        <v>16</v>
      </c>
      <c r="D126" s="14">
        <f>IF(A126&gt;LastWeek-364,1,0)</f>
        <v/>
      </c>
      <c r="E126" s="14">
        <f>C126^2*D126</f>
        <v/>
      </c>
    </row>
    <row r="127">
      <c r="A127" s="26" t="n">
        <v>45439</v>
      </c>
      <c r="B127" s="14" t="inlineStr">
        <is>
          <t>NB-0002</t>
        </is>
      </c>
      <c r="C127" s="14" t="n">
        <v>12</v>
      </c>
      <c r="D127" s="14">
        <f>IF(A127&gt;LastWeek-364,1,0)</f>
        <v/>
      </c>
      <c r="E127" s="14">
        <f>C127^2*D127</f>
        <v/>
      </c>
    </row>
    <row r="128">
      <c r="A128" s="26" t="n">
        <v>45446</v>
      </c>
      <c r="B128" s="14" t="inlineStr">
        <is>
          <t>NB-0002</t>
        </is>
      </c>
      <c r="C128" s="14" t="n">
        <v>10</v>
      </c>
      <c r="D128" s="14">
        <f>IF(A128&gt;LastWeek-364,1,0)</f>
        <v/>
      </c>
      <c r="E128" s="14">
        <f>C128^2*D128</f>
        <v/>
      </c>
    </row>
    <row r="129">
      <c r="A129" s="26" t="n">
        <v>45453</v>
      </c>
      <c r="B129" s="14" t="inlineStr">
        <is>
          <t>NB-0002</t>
        </is>
      </c>
      <c r="C129" s="14" t="n">
        <v>14</v>
      </c>
      <c r="D129" s="14">
        <f>IF(A129&gt;LastWeek-364,1,0)</f>
        <v/>
      </c>
      <c r="E129" s="14">
        <f>C129^2*D129</f>
        <v/>
      </c>
    </row>
    <row r="130">
      <c r="A130" s="26" t="n">
        <v>45460</v>
      </c>
      <c r="B130" s="14" t="inlineStr">
        <is>
          <t>NB-0002</t>
        </is>
      </c>
      <c r="C130" s="14" t="n">
        <v>13</v>
      </c>
      <c r="D130" s="14">
        <f>IF(A130&gt;LastWeek-364,1,0)</f>
        <v/>
      </c>
      <c r="E130" s="14">
        <f>C130^2*D130</f>
        <v/>
      </c>
    </row>
    <row r="131">
      <c r="A131" s="26" t="n">
        <v>45467</v>
      </c>
      <c r="B131" s="14" t="inlineStr">
        <is>
          <t>NB-0002</t>
        </is>
      </c>
      <c r="C131" s="14" t="n">
        <v>14</v>
      </c>
      <c r="D131" s="14">
        <f>IF(A131&gt;LastWeek-364,1,0)</f>
        <v/>
      </c>
      <c r="E131" s="14">
        <f>C131^2*D131</f>
        <v/>
      </c>
    </row>
    <row r="132">
      <c r="A132" s="26" t="n">
        <v>45474</v>
      </c>
      <c r="B132" s="14" t="inlineStr">
        <is>
          <t>NB-0002</t>
        </is>
      </c>
      <c r="C132" s="14" t="n">
        <v>14</v>
      </c>
      <c r="D132" s="14">
        <f>IF(A132&gt;LastWeek-364,1,0)</f>
        <v/>
      </c>
      <c r="E132" s="14">
        <f>C132^2*D132</f>
        <v/>
      </c>
    </row>
    <row r="133">
      <c r="A133" s="26" t="n">
        <v>45481</v>
      </c>
      <c r="B133" s="14" t="inlineStr">
        <is>
          <t>NB-0002</t>
        </is>
      </c>
      <c r="C133" s="14" t="n">
        <v>13</v>
      </c>
      <c r="D133" s="14">
        <f>IF(A133&gt;LastWeek-364,1,0)</f>
        <v/>
      </c>
      <c r="E133" s="14">
        <f>C133^2*D133</f>
        <v/>
      </c>
    </row>
    <row r="134">
      <c r="A134" s="26" t="n">
        <v>45488</v>
      </c>
      <c r="B134" s="14" t="inlineStr">
        <is>
          <t>NB-0002</t>
        </is>
      </c>
      <c r="C134" s="14" t="n">
        <v>15</v>
      </c>
      <c r="D134" s="14">
        <f>IF(A134&gt;LastWeek-364,1,0)</f>
        <v/>
      </c>
      <c r="E134" s="14">
        <f>C134^2*D134</f>
        <v/>
      </c>
    </row>
    <row r="135">
      <c r="A135" s="26" t="n">
        <v>45495</v>
      </c>
      <c r="B135" s="14" t="inlineStr">
        <is>
          <t>NB-0002</t>
        </is>
      </c>
      <c r="C135" s="14" t="n">
        <v>14</v>
      </c>
      <c r="D135" s="14">
        <f>IF(A135&gt;LastWeek-364,1,0)</f>
        <v/>
      </c>
      <c r="E135" s="14">
        <f>C135^2*D135</f>
        <v/>
      </c>
    </row>
    <row r="136">
      <c r="A136" s="26" t="n">
        <v>45502</v>
      </c>
      <c r="B136" s="14" t="inlineStr">
        <is>
          <t>NB-0002</t>
        </is>
      </c>
      <c r="C136" s="14" t="n">
        <v>15</v>
      </c>
      <c r="D136" s="14">
        <f>IF(A136&gt;LastWeek-364,1,0)</f>
        <v/>
      </c>
      <c r="E136" s="14">
        <f>C136^2*D136</f>
        <v/>
      </c>
    </row>
    <row r="137">
      <c r="A137" s="26" t="n">
        <v>45509</v>
      </c>
      <c r="B137" s="14" t="inlineStr">
        <is>
          <t>NB-0002</t>
        </is>
      </c>
      <c r="C137" s="14" t="n">
        <v>13</v>
      </c>
      <c r="D137" s="14">
        <f>IF(A137&gt;LastWeek-364,1,0)</f>
        <v/>
      </c>
      <c r="E137" s="14">
        <f>C137^2*D137</f>
        <v/>
      </c>
    </row>
    <row r="138">
      <c r="A138" s="26" t="n">
        <v>45516</v>
      </c>
      <c r="B138" s="14" t="inlineStr">
        <is>
          <t>NB-0002</t>
        </is>
      </c>
      <c r="C138" s="14" t="n">
        <v>15</v>
      </c>
      <c r="D138" s="14">
        <f>IF(A138&gt;LastWeek-364,1,0)</f>
        <v/>
      </c>
      <c r="E138" s="14">
        <f>C138^2*D138</f>
        <v/>
      </c>
    </row>
    <row r="139">
      <c r="A139" s="26" t="n">
        <v>45523</v>
      </c>
      <c r="B139" s="14" t="inlineStr">
        <is>
          <t>NB-0002</t>
        </is>
      </c>
      <c r="C139" s="14" t="n">
        <v>16</v>
      </c>
      <c r="D139" s="14">
        <f>IF(A139&gt;LastWeek-364,1,0)</f>
        <v/>
      </c>
      <c r="E139" s="14">
        <f>C139^2*D139</f>
        <v/>
      </c>
    </row>
    <row r="140">
      <c r="A140" s="26" t="n">
        <v>45530</v>
      </c>
      <c r="B140" s="14" t="inlineStr">
        <is>
          <t>NB-0002</t>
        </is>
      </c>
      <c r="C140" s="14" t="n">
        <v>18</v>
      </c>
      <c r="D140" s="14">
        <f>IF(A140&gt;LastWeek-364,1,0)</f>
        <v/>
      </c>
      <c r="E140" s="14">
        <f>C140^2*D140</f>
        <v/>
      </c>
    </row>
    <row r="141">
      <c r="A141" s="26" t="n">
        <v>45537</v>
      </c>
      <c r="B141" s="14" t="inlineStr">
        <is>
          <t>NB-0002</t>
        </is>
      </c>
      <c r="C141" s="14" t="n">
        <v>16</v>
      </c>
      <c r="D141" s="14">
        <f>IF(A141&gt;LastWeek-364,1,0)</f>
        <v/>
      </c>
      <c r="E141" s="14">
        <f>C141^2*D141</f>
        <v/>
      </c>
    </row>
    <row r="142">
      <c r="A142" s="26" t="n">
        <v>45544</v>
      </c>
      <c r="B142" s="14" t="inlineStr">
        <is>
          <t>NB-0002</t>
        </is>
      </c>
      <c r="C142" s="14" t="n">
        <v>19</v>
      </c>
      <c r="D142" s="14">
        <f>IF(A142&gt;LastWeek-364,1,0)</f>
        <v/>
      </c>
      <c r="E142" s="14">
        <f>C142^2*D142</f>
        <v/>
      </c>
    </row>
    <row r="143">
      <c r="A143" s="26" t="n">
        <v>45551</v>
      </c>
      <c r="B143" s="14" t="inlineStr">
        <is>
          <t>NB-0002</t>
        </is>
      </c>
      <c r="C143" s="14" t="n">
        <v>19</v>
      </c>
      <c r="D143" s="14">
        <f>IF(A143&gt;LastWeek-364,1,0)</f>
        <v/>
      </c>
      <c r="E143" s="14">
        <f>C143^2*D143</f>
        <v/>
      </c>
    </row>
    <row r="144">
      <c r="A144" s="26" t="n">
        <v>45558</v>
      </c>
      <c r="B144" s="14" t="inlineStr">
        <is>
          <t>NB-0002</t>
        </is>
      </c>
      <c r="C144" s="14" t="n">
        <v>20</v>
      </c>
      <c r="D144" s="14">
        <f>IF(A144&gt;LastWeek-364,1,0)</f>
        <v/>
      </c>
      <c r="E144" s="14">
        <f>C144^2*D144</f>
        <v/>
      </c>
    </row>
    <row r="145">
      <c r="A145" s="26" t="n">
        <v>45565</v>
      </c>
      <c r="B145" s="14" t="inlineStr">
        <is>
          <t>NB-0002</t>
        </is>
      </c>
      <c r="C145" s="14" t="n">
        <v>24</v>
      </c>
      <c r="D145" s="14">
        <f>IF(A145&gt;LastWeek-364,1,0)</f>
        <v/>
      </c>
      <c r="E145" s="14">
        <f>C145^2*D145</f>
        <v/>
      </c>
    </row>
    <row r="146">
      <c r="A146" s="26" t="n">
        <v>45572</v>
      </c>
      <c r="B146" s="14" t="inlineStr">
        <is>
          <t>NB-0002</t>
        </is>
      </c>
      <c r="C146" s="14" t="n">
        <v>17</v>
      </c>
      <c r="D146" s="14">
        <f>IF(A146&gt;LastWeek-364,1,0)</f>
        <v/>
      </c>
      <c r="E146" s="14">
        <f>C146^2*D146</f>
        <v/>
      </c>
    </row>
    <row r="147">
      <c r="A147" s="26" t="n">
        <v>45579</v>
      </c>
      <c r="B147" s="14" t="inlineStr">
        <is>
          <t>NB-0002</t>
        </is>
      </c>
      <c r="C147" s="14" t="n">
        <v>20</v>
      </c>
      <c r="D147" s="14">
        <f>IF(A147&gt;LastWeek-364,1,0)</f>
        <v/>
      </c>
      <c r="E147" s="14">
        <f>C147^2*D147</f>
        <v/>
      </c>
    </row>
    <row r="148">
      <c r="A148" s="26" t="n">
        <v>45586</v>
      </c>
      <c r="B148" s="14" t="inlineStr">
        <is>
          <t>NB-0002</t>
        </is>
      </c>
      <c r="C148" s="14" t="n">
        <v>20</v>
      </c>
      <c r="D148" s="14">
        <f>IF(A148&gt;LastWeek-364,1,0)</f>
        <v/>
      </c>
      <c r="E148" s="14">
        <f>C148^2*D148</f>
        <v/>
      </c>
    </row>
    <row r="149">
      <c r="A149" s="26" t="n">
        <v>45593</v>
      </c>
      <c r="B149" s="14" t="inlineStr">
        <is>
          <t>NB-0002</t>
        </is>
      </c>
      <c r="C149" s="14" t="n">
        <v>18</v>
      </c>
      <c r="D149" s="14">
        <f>IF(A149&gt;LastWeek-364,1,0)</f>
        <v/>
      </c>
      <c r="E149" s="14">
        <f>C149^2*D149</f>
        <v/>
      </c>
    </row>
    <row r="150">
      <c r="A150" s="26" t="n">
        <v>45600</v>
      </c>
      <c r="B150" s="14" t="inlineStr">
        <is>
          <t>NB-0002</t>
        </is>
      </c>
      <c r="C150" s="14" t="n">
        <v>25</v>
      </c>
      <c r="D150" s="14">
        <f>IF(A150&gt;LastWeek-364,1,0)</f>
        <v/>
      </c>
      <c r="E150" s="14">
        <f>C150^2*D150</f>
        <v/>
      </c>
    </row>
    <row r="151">
      <c r="A151" s="26" t="n">
        <v>45607</v>
      </c>
      <c r="B151" s="14" t="inlineStr">
        <is>
          <t>NB-0002</t>
        </is>
      </c>
      <c r="C151" s="14" t="n">
        <v>31</v>
      </c>
      <c r="D151" s="14">
        <f>IF(A151&gt;LastWeek-364,1,0)</f>
        <v/>
      </c>
      <c r="E151" s="14">
        <f>C151^2*D151</f>
        <v/>
      </c>
    </row>
    <row r="152">
      <c r="A152" s="26" t="n">
        <v>45614</v>
      </c>
      <c r="B152" s="14" t="inlineStr">
        <is>
          <t>NB-0002</t>
        </is>
      </c>
      <c r="C152" s="14" t="n">
        <v>28</v>
      </c>
      <c r="D152" s="14">
        <f>IF(A152&gt;LastWeek-364,1,0)</f>
        <v/>
      </c>
      <c r="E152" s="14">
        <f>C152^2*D152</f>
        <v/>
      </c>
    </row>
    <row r="153">
      <c r="A153" s="26" t="n">
        <v>45621</v>
      </c>
      <c r="B153" s="14" t="inlineStr">
        <is>
          <t>NB-0002</t>
        </is>
      </c>
      <c r="C153" s="14" t="n">
        <v>31</v>
      </c>
      <c r="D153" s="14">
        <f>IF(A153&gt;LastWeek-364,1,0)</f>
        <v/>
      </c>
      <c r="E153" s="14">
        <f>C153^2*D153</f>
        <v/>
      </c>
    </row>
    <row r="154">
      <c r="A154" s="26" t="n">
        <v>45628</v>
      </c>
      <c r="B154" s="14" t="inlineStr">
        <is>
          <t>NB-0002</t>
        </is>
      </c>
      <c r="C154" s="14" t="n">
        <v>35</v>
      </c>
      <c r="D154" s="14">
        <f>IF(A154&gt;LastWeek-364,1,0)</f>
        <v/>
      </c>
      <c r="E154" s="14">
        <f>C154^2*D154</f>
        <v/>
      </c>
    </row>
    <row r="155">
      <c r="A155" s="26" t="n">
        <v>45635</v>
      </c>
      <c r="B155" s="14" t="inlineStr">
        <is>
          <t>NB-0002</t>
        </is>
      </c>
      <c r="C155" s="14" t="n">
        <v>37</v>
      </c>
      <c r="D155" s="14">
        <f>IF(A155&gt;LastWeek-364,1,0)</f>
        <v/>
      </c>
      <c r="E155" s="14">
        <f>C155^2*D155</f>
        <v/>
      </c>
    </row>
    <row r="156">
      <c r="A156" s="26" t="n">
        <v>45642</v>
      </c>
      <c r="B156" s="14" t="inlineStr">
        <is>
          <t>NB-0002</t>
        </is>
      </c>
      <c r="C156" s="14" t="n">
        <v>32</v>
      </c>
      <c r="D156" s="14">
        <f>IF(A156&gt;LastWeek-364,1,0)</f>
        <v/>
      </c>
      <c r="E156" s="14">
        <f>C156^2*D156</f>
        <v/>
      </c>
    </row>
    <row r="157">
      <c r="A157" s="26" t="n">
        <v>45649</v>
      </c>
      <c r="B157" s="14" t="inlineStr">
        <is>
          <t>NB-0002</t>
        </is>
      </c>
      <c r="C157" s="14" t="n">
        <v>38</v>
      </c>
      <c r="D157" s="14">
        <f>IF(A157&gt;LastWeek-364,1,0)</f>
        <v/>
      </c>
      <c r="E157" s="14">
        <f>C157^2*D157</f>
        <v/>
      </c>
    </row>
    <row r="158">
      <c r="A158" s="26" t="n">
        <v>45656</v>
      </c>
      <c r="B158" s="14" t="inlineStr">
        <is>
          <t>NB-0002</t>
        </is>
      </c>
      <c r="C158" s="14" t="n">
        <v>33</v>
      </c>
      <c r="D158" s="14">
        <f>IF(A158&gt;LastWeek-364,1,0)</f>
        <v/>
      </c>
      <c r="E158" s="14">
        <f>C158^2*D158</f>
        <v/>
      </c>
    </row>
    <row r="159">
      <c r="A159" s="26" t="n">
        <v>45663</v>
      </c>
      <c r="B159" s="14" t="inlineStr">
        <is>
          <t>NB-0002</t>
        </is>
      </c>
      <c r="C159" s="14" t="n">
        <v>29</v>
      </c>
      <c r="D159" s="14">
        <f>IF(A159&gt;LastWeek-364,1,0)</f>
        <v/>
      </c>
      <c r="E159" s="14">
        <f>C159^2*D159</f>
        <v/>
      </c>
    </row>
    <row r="160">
      <c r="A160" s="26" t="n">
        <v>45670</v>
      </c>
      <c r="B160" s="14" t="inlineStr">
        <is>
          <t>NB-0002</t>
        </is>
      </c>
      <c r="C160" s="14" t="n">
        <v>30</v>
      </c>
      <c r="D160" s="14">
        <f>IF(A160&gt;LastWeek-364,1,0)</f>
        <v/>
      </c>
      <c r="E160" s="14">
        <f>C160^2*D160</f>
        <v/>
      </c>
    </row>
    <row r="161">
      <c r="A161" s="26" t="n">
        <v>45677</v>
      </c>
      <c r="B161" s="14" t="inlineStr">
        <is>
          <t>NB-0002</t>
        </is>
      </c>
      <c r="C161" s="14" t="n">
        <v>27</v>
      </c>
      <c r="D161" s="14">
        <f>IF(A161&gt;LastWeek-364,1,0)</f>
        <v/>
      </c>
      <c r="E161" s="14">
        <f>C161^2*D161</f>
        <v/>
      </c>
    </row>
    <row r="162">
      <c r="A162" s="26" t="n">
        <v>45684</v>
      </c>
      <c r="B162" s="14" t="inlineStr">
        <is>
          <t>NB-0002</t>
        </is>
      </c>
      <c r="C162" s="14" t="n">
        <v>29</v>
      </c>
      <c r="D162" s="14">
        <f>IF(A162&gt;LastWeek-364,1,0)</f>
        <v/>
      </c>
      <c r="E162" s="14">
        <f>C162^2*D162</f>
        <v/>
      </c>
    </row>
    <row r="163">
      <c r="A163" s="26" t="n">
        <v>45691</v>
      </c>
      <c r="B163" s="14" t="inlineStr">
        <is>
          <t>NB-0002</t>
        </is>
      </c>
      <c r="C163" s="14" t="n">
        <v>31</v>
      </c>
      <c r="D163" s="14">
        <f>IF(A163&gt;LastWeek-364,1,0)</f>
        <v/>
      </c>
      <c r="E163" s="14">
        <f>C163^2*D163</f>
        <v/>
      </c>
    </row>
    <row r="164">
      <c r="A164" s="26" t="n">
        <v>45698</v>
      </c>
      <c r="B164" s="14" t="inlineStr">
        <is>
          <t>NB-0002</t>
        </is>
      </c>
      <c r="C164" s="14" t="n">
        <v>35</v>
      </c>
      <c r="D164" s="14">
        <f>IF(A164&gt;LastWeek-364,1,0)</f>
        <v/>
      </c>
      <c r="E164" s="14">
        <f>C164^2*D164</f>
        <v/>
      </c>
    </row>
    <row r="165">
      <c r="A165" s="26" t="n">
        <v>45705</v>
      </c>
      <c r="B165" s="14" t="inlineStr">
        <is>
          <t>NB-0002</t>
        </is>
      </c>
      <c r="C165" s="14" t="n">
        <v>38</v>
      </c>
      <c r="D165" s="14">
        <f>IF(A165&gt;LastWeek-364,1,0)</f>
        <v/>
      </c>
      <c r="E165" s="14">
        <f>C165^2*D165</f>
        <v/>
      </c>
    </row>
    <row r="166">
      <c r="A166" s="26" t="n">
        <v>45712</v>
      </c>
      <c r="B166" s="14" t="inlineStr">
        <is>
          <t>NB-0002</t>
        </is>
      </c>
      <c r="C166" s="14" t="n">
        <v>25</v>
      </c>
      <c r="D166" s="14">
        <f>IF(A166&gt;LastWeek-364,1,0)</f>
        <v/>
      </c>
      <c r="E166" s="14">
        <f>C166^2*D166</f>
        <v/>
      </c>
    </row>
    <row r="167">
      <c r="A167" s="26" t="n">
        <v>45719</v>
      </c>
      <c r="B167" s="14" t="inlineStr">
        <is>
          <t>NB-0002</t>
        </is>
      </c>
      <c r="C167" s="14" t="n">
        <v>31</v>
      </c>
      <c r="D167" s="14">
        <f>IF(A167&gt;LastWeek-364,1,0)</f>
        <v/>
      </c>
      <c r="E167" s="14">
        <f>C167^2*D167</f>
        <v/>
      </c>
    </row>
    <row r="168">
      <c r="A168" s="26" t="n">
        <v>45726</v>
      </c>
      <c r="B168" s="14" t="inlineStr">
        <is>
          <t>NB-0002</t>
        </is>
      </c>
      <c r="C168" s="14" t="n">
        <v>25</v>
      </c>
      <c r="D168" s="14">
        <f>IF(A168&gt;LastWeek-364,1,0)</f>
        <v/>
      </c>
      <c r="E168" s="14">
        <f>C168^2*D168</f>
        <v/>
      </c>
    </row>
    <row r="169">
      <c r="A169" s="26" t="n">
        <v>45733</v>
      </c>
      <c r="B169" s="14" t="inlineStr">
        <is>
          <t>NB-0002</t>
        </is>
      </c>
      <c r="C169" s="14" t="n">
        <v>29</v>
      </c>
      <c r="D169" s="14">
        <f>IF(A169&gt;LastWeek-364,1,0)</f>
        <v/>
      </c>
      <c r="E169" s="14">
        <f>C169^2*D169</f>
        <v/>
      </c>
    </row>
    <row r="170">
      <c r="A170" s="26" t="n">
        <v>45740</v>
      </c>
      <c r="B170" s="14" t="inlineStr">
        <is>
          <t>NB-0002</t>
        </is>
      </c>
      <c r="C170" s="14" t="n">
        <v>26</v>
      </c>
      <c r="D170" s="14">
        <f>IF(A170&gt;LastWeek-364,1,0)</f>
        <v/>
      </c>
      <c r="E170" s="14">
        <f>C170^2*D170</f>
        <v/>
      </c>
    </row>
    <row r="171">
      <c r="A171" s="26" t="n">
        <v>45747</v>
      </c>
      <c r="B171" s="14" t="inlineStr">
        <is>
          <t>NB-0002</t>
        </is>
      </c>
      <c r="C171" s="14" t="n">
        <v>20</v>
      </c>
      <c r="D171" s="14">
        <f>IF(A171&gt;LastWeek-364,1,0)</f>
        <v/>
      </c>
      <c r="E171" s="14">
        <f>C171^2*D171</f>
        <v/>
      </c>
    </row>
    <row r="172">
      <c r="A172" s="26" t="n">
        <v>45754</v>
      </c>
      <c r="B172" s="14" t="inlineStr">
        <is>
          <t>NB-0002</t>
        </is>
      </c>
      <c r="C172" s="14" t="n">
        <v>28</v>
      </c>
      <c r="D172" s="14">
        <f>IF(A172&gt;LastWeek-364,1,0)</f>
        <v/>
      </c>
      <c r="E172" s="14">
        <f>C172^2*D172</f>
        <v/>
      </c>
    </row>
    <row r="173">
      <c r="A173" s="26" t="n">
        <v>45761</v>
      </c>
      <c r="B173" s="14" t="inlineStr">
        <is>
          <t>NB-0002</t>
        </is>
      </c>
      <c r="C173" s="14" t="n">
        <v>22</v>
      </c>
      <c r="D173" s="14">
        <f>IF(A173&gt;LastWeek-364,1,0)</f>
        <v/>
      </c>
      <c r="E173" s="14">
        <f>C173^2*D173</f>
        <v/>
      </c>
    </row>
    <row r="174">
      <c r="A174" s="26" t="n">
        <v>45768</v>
      </c>
      <c r="B174" s="14" t="inlineStr">
        <is>
          <t>NB-0002</t>
        </is>
      </c>
      <c r="C174" s="14" t="n">
        <v>21</v>
      </c>
      <c r="D174" s="14">
        <f>IF(A174&gt;LastWeek-364,1,0)</f>
        <v/>
      </c>
      <c r="E174" s="14">
        <f>C174^2*D174</f>
        <v/>
      </c>
    </row>
    <row r="175">
      <c r="A175" s="26" t="n">
        <v>45775</v>
      </c>
      <c r="B175" s="14" t="inlineStr">
        <is>
          <t>NB-0002</t>
        </is>
      </c>
      <c r="C175" s="14" t="n">
        <v>18</v>
      </c>
      <c r="D175" s="14">
        <f>IF(A175&gt;LastWeek-364,1,0)</f>
        <v/>
      </c>
      <c r="E175" s="14">
        <f>C175^2*D175</f>
        <v/>
      </c>
    </row>
    <row r="176">
      <c r="A176" s="26" t="n">
        <v>45782</v>
      </c>
      <c r="B176" s="14" t="inlineStr">
        <is>
          <t>NB-0002</t>
        </is>
      </c>
      <c r="C176" s="14" t="n">
        <v>19</v>
      </c>
      <c r="D176" s="14">
        <f>IF(A176&gt;LastWeek-364,1,0)</f>
        <v/>
      </c>
      <c r="E176" s="14">
        <f>C176^2*D176</f>
        <v/>
      </c>
    </row>
    <row r="177">
      <c r="A177" s="26" t="n">
        <v>45789</v>
      </c>
      <c r="B177" s="14" t="inlineStr">
        <is>
          <t>NB-0002</t>
        </is>
      </c>
      <c r="C177" s="14" t="n">
        <v>21</v>
      </c>
      <c r="D177" s="14">
        <f>IF(A177&gt;LastWeek-364,1,0)</f>
        <v/>
      </c>
      <c r="E177" s="14">
        <f>C177^2*D177</f>
        <v/>
      </c>
    </row>
    <row r="178">
      <c r="A178" s="26" t="n">
        <v>45796</v>
      </c>
      <c r="B178" s="14" t="inlineStr">
        <is>
          <t>NB-0002</t>
        </is>
      </c>
      <c r="C178" s="14" t="n">
        <v>18</v>
      </c>
      <c r="D178" s="14">
        <f>IF(A178&gt;LastWeek-364,1,0)</f>
        <v/>
      </c>
      <c r="E178" s="14">
        <f>C178^2*D178</f>
        <v/>
      </c>
    </row>
    <row r="179">
      <c r="A179" s="26" t="n">
        <v>45803</v>
      </c>
      <c r="B179" s="14" t="inlineStr">
        <is>
          <t>NB-0002</t>
        </is>
      </c>
      <c r="C179" s="14" t="n">
        <v>19</v>
      </c>
      <c r="D179" s="14">
        <f>IF(A179&gt;LastWeek-364,1,0)</f>
        <v/>
      </c>
      <c r="E179" s="14">
        <f>C179^2*D179</f>
        <v/>
      </c>
    </row>
    <row r="180">
      <c r="A180" s="26" t="n">
        <v>45810</v>
      </c>
      <c r="B180" s="14" t="inlineStr">
        <is>
          <t>NB-0002</t>
        </is>
      </c>
      <c r="C180" s="14" t="n">
        <v>18</v>
      </c>
      <c r="D180" s="14">
        <f>IF(A180&gt;LastWeek-364,1,0)</f>
        <v/>
      </c>
      <c r="E180" s="14">
        <f>C180^2*D180</f>
        <v/>
      </c>
    </row>
    <row r="181">
      <c r="A181" s="26" t="n">
        <v>45817</v>
      </c>
      <c r="B181" s="14" t="inlineStr">
        <is>
          <t>NB-0002</t>
        </is>
      </c>
      <c r="C181" s="14" t="n">
        <v>19</v>
      </c>
      <c r="D181" s="14">
        <f>IF(A181&gt;LastWeek-364,1,0)</f>
        <v/>
      </c>
      <c r="E181" s="14">
        <f>C181^2*D181</f>
        <v/>
      </c>
    </row>
    <row r="182">
      <c r="A182" s="26" t="n">
        <v>45824</v>
      </c>
      <c r="B182" s="14" t="inlineStr">
        <is>
          <t>NB-0002</t>
        </is>
      </c>
      <c r="C182" s="14" t="n">
        <v>15</v>
      </c>
      <c r="D182" s="14">
        <f>IF(A182&gt;LastWeek-364,1,0)</f>
        <v/>
      </c>
      <c r="E182" s="14">
        <f>C182^2*D182</f>
        <v/>
      </c>
    </row>
    <row r="183">
      <c r="A183" s="26" t="n">
        <v>45831</v>
      </c>
      <c r="B183" s="14" t="inlineStr">
        <is>
          <t>NB-0002</t>
        </is>
      </c>
      <c r="C183" s="14" t="n">
        <v>13</v>
      </c>
      <c r="D183" s="14">
        <f>IF(A183&gt;LastWeek-364,1,0)</f>
        <v/>
      </c>
      <c r="E183" s="14">
        <f>C183^2*D183</f>
        <v/>
      </c>
    </row>
    <row r="184">
      <c r="A184" s="26" t="n">
        <v>45838</v>
      </c>
      <c r="B184" s="14" t="inlineStr">
        <is>
          <t>NB-0002</t>
        </is>
      </c>
      <c r="C184" s="14" t="n">
        <v>18</v>
      </c>
      <c r="D184" s="14">
        <f>IF(A184&gt;LastWeek-364,1,0)</f>
        <v/>
      </c>
      <c r="E184" s="14">
        <f>C184^2*D184</f>
        <v/>
      </c>
    </row>
    <row r="185">
      <c r="A185" s="26" t="n">
        <v>45845</v>
      </c>
      <c r="B185" s="14" t="inlineStr">
        <is>
          <t>NB-0002</t>
        </is>
      </c>
      <c r="C185" s="14" t="n">
        <v>15</v>
      </c>
      <c r="D185" s="14">
        <f>IF(A185&gt;LastWeek-364,1,0)</f>
        <v/>
      </c>
      <c r="E185" s="14">
        <f>C185^2*D185</f>
        <v/>
      </c>
    </row>
    <row r="186">
      <c r="A186" s="26" t="n">
        <v>45852</v>
      </c>
      <c r="B186" s="14" t="inlineStr">
        <is>
          <t>NB-0002</t>
        </is>
      </c>
      <c r="C186" s="14" t="n">
        <v>18</v>
      </c>
      <c r="D186" s="14">
        <f>IF(A186&gt;LastWeek-364,1,0)</f>
        <v/>
      </c>
      <c r="E186" s="14">
        <f>C186^2*D186</f>
        <v/>
      </c>
    </row>
    <row r="187">
      <c r="A187" s="26" t="n">
        <v>45859</v>
      </c>
      <c r="B187" s="14" t="inlineStr">
        <is>
          <t>NB-0002</t>
        </is>
      </c>
      <c r="C187" s="14" t="n">
        <v>17</v>
      </c>
      <c r="D187" s="14">
        <f>IF(A187&gt;LastWeek-364,1,0)</f>
        <v/>
      </c>
      <c r="E187" s="14">
        <f>C187^2*D187</f>
        <v/>
      </c>
    </row>
    <row r="188">
      <c r="A188" s="26" t="n">
        <v>45866</v>
      </c>
      <c r="B188" s="14" t="inlineStr">
        <is>
          <t>NB-0002</t>
        </is>
      </c>
      <c r="C188" s="14" t="n">
        <v>16</v>
      </c>
      <c r="D188" s="14">
        <f>IF(A188&gt;LastWeek-364,1,0)</f>
        <v/>
      </c>
      <c r="E188" s="14">
        <f>C188^2*D188</f>
        <v/>
      </c>
    </row>
    <row r="189">
      <c r="A189" s="26" t="n">
        <v>45873</v>
      </c>
      <c r="B189" s="14" t="inlineStr">
        <is>
          <t>NB-0002</t>
        </is>
      </c>
      <c r="C189" s="14" t="n">
        <v>18</v>
      </c>
      <c r="D189" s="14">
        <f>IF(A189&gt;LastWeek-364,1,0)</f>
        <v/>
      </c>
      <c r="E189" s="14">
        <f>C189^2*D189</f>
        <v/>
      </c>
    </row>
    <row r="190">
      <c r="A190" s="26" t="n">
        <v>45880</v>
      </c>
      <c r="B190" s="14" t="inlineStr">
        <is>
          <t>NB-0002</t>
        </is>
      </c>
      <c r="C190" s="14" t="n">
        <v>22</v>
      </c>
      <c r="D190" s="14">
        <f>IF(A190&gt;LastWeek-364,1,0)</f>
        <v/>
      </c>
      <c r="E190" s="14">
        <f>C190^2*D190</f>
        <v/>
      </c>
    </row>
    <row r="191">
      <c r="A191" s="26" t="n">
        <v>45887</v>
      </c>
      <c r="B191" s="14" t="inlineStr">
        <is>
          <t>NB-0002</t>
        </is>
      </c>
      <c r="C191" s="14" t="n">
        <v>23</v>
      </c>
      <c r="D191" s="14">
        <f>IF(A191&gt;LastWeek-364,1,0)</f>
        <v/>
      </c>
      <c r="E191" s="14">
        <f>C191^2*D191</f>
        <v/>
      </c>
    </row>
    <row r="192">
      <c r="A192" s="26" t="n">
        <v>45894</v>
      </c>
      <c r="B192" s="14" t="inlineStr">
        <is>
          <t>NB-0002</t>
        </is>
      </c>
      <c r="C192" s="14" t="n">
        <v>20</v>
      </c>
      <c r="D192" s="14">
        <f>IF(A192&gt;LastWeek-364,1,0)</f>
        <v/>
      </c>
      <c r="E192" s="14">
        <f>C192^2*D192</f>
        <v/>
      </c>
    </row>
    <row r="193">
      <c r="A193" s="26" t="n">
        <v>45901</v>
      </c>
      <c r="B193" s="14" t="inlineStr">
        <is>
          <t>NB-0002</t>
        </is>
      </c>
      <c r="C193" s="14" t="n">
        <v>21</v>
      </c>
      <c r="D193" s="14">
        <f>IF(A193&gt;LastWeek-364,1,0)</f>
        <v/>
      </c>
      <c r="E193" s="14">
        <f>C193^2*D193</f>
        <v/>
      </c>
    </row>
    <row r="194">
      <c r="A194" s="26" t="n">
        <v>45908</v>
      </c>
      <c r="B194" s="14" t="inlineStr">
        <is>
          <t>NB-0002</t>
        </is>
      </c>
      <c r="C194" s="14" t="n">
        <v>25</v>
      </c>
      <c r="D194" s="14">
        <f>IF(A194&gt;LastWeek-364,1,0)</f>
        <v/>
      </c>
      <c r="E194" s="14">
        <f>C194^2*D194</f>
        <v/>
      </c>
    </row>
    <row r="195">
      <c r="A195" s="26" t="n">
        <v>45915</v>
      </c>
      <c r="B195" s="14" t="inlineStr">
        <is>
          <t>NB-0002</t>
        </is>
      </c>
      <c r="C195" s="14" t="n">
        <v>20</v>
      </c>
      <c r="D195" s="14">
        <f>IF(A195&gt;LastWeek-364,1,0)</f>
        <v/>
      </c>
      <c r="E195" s="14">
        <f>C195^2*D195</f>
        <v/>
      </c>
    </row>
    <row r="196">
      <c r="A196" s="26" t="n">
        <v>45922</v>
      </c>
      <c r="B196" s="14" t="inlineStr">
        <is>
          <t>NB-0002</t>
        </is>
      </c>
      <c r="C196" s="14" t="n">
        <v>25</v>
      </c>
      <c r="D196" s="14">
        <f>IF(A196&gt;LastWeek-364,1,0)</f>
        <v/>
      </c>
      <c r="E196" s="14">
        <f>C196^2*D196</f>
        <v/>
      </c>
    </row>
    <row r="197">
      <c r="A197" s="26" t="n">
        <v>45929</v>
      </c>
      <c r="B197" s="14" t="inlineStr">
        <is>
          <t>NB-0002</t>
        </is>
      </c>
      <c r="C197" s="14" t="n">
        <v>25</v>
      </c>
      <c r="D197" s="14">
        <f>IF(A197&gt;LastWeek-364,1,0)</f>
        <v/>
      </c>
      <c r="E197" s="14">
        <f>C197^2*D197</f>
        <v/>
      </c>
    </row>
    <row r="198">
      <c r="A198" s="26" t="n">
        <v>45936</v>
      </c>
      <c r="B198" s="14" t="inlineStr">
        <is>
          <t>NB-0002</t>
        </is>
      </c>
      <c r="C198" s="14" t="n">
        <v>28</v>
      </c>
      <c r="D198" s="14">
        <f>IF(A198&gt;LastWeek-364,1,0)</f>
        <v/>
      </c>
      <c r="E198" s="14">
        <f>C198^2*D198</f>
        <v/>
      </c>
    </row>
    <row r="199">
      <c r="A199" s="26" t="n">
        <v>45943</v>
      </c>
      <c r="B199" s="14" t="inlineStr">
        <is>
          <t>NB-0002</t>
        </is>
      </c>
      <c r="C199" s="14" t="n">
        <v>25</v>
      </c>
      <c r="D199" s="14">
        <f>IF(A199&gt;LastWeek-364,1,0)</f>
        <v/>
      </c>
      <c r="E199" s="14">
        <f>C199^2*D199</f>
        <v/>
      </c>
    </row>
    <row r="200">
      <c r="A200" s="26" t="n">
        <v>45950</v>
      </c>
      <c r="B200" s="14" t="inlineStr">
        <is>
          <t>NB-0002</t>
        </is>
      </c>
      <c r="C200" s="14" t="n">
        <v>24</v>
      </c>
      <c r="D200" s="14">
        <f>IF(A200&gt;LastWeek-364,1,0)</f>
        <v/>
      </c>
      <c r="E200" s="14">
        <f>C200^2*D200</f>
        <v/>
      </c>
    </row>
    <row r="201">
      <c r="A201" s="26" t="n">
        <v>45957</v>
      </c>
      <c r="B201" s="14" t="inlineStr">
        <is>
          <t>NB-0002</t>
        </is>
      </c>
      <c r="C201" s="14" t="n">
        <v>23</v>
      </c>
      <c r="D201" s="14">
        <f>IF(A201&gt;LastWeek-364,1,0)</f>
        <v/>
      </c>
      <c r="E201" s="14">
        <f>C201^2*D201</f>
        <v/>
      </c>
    </row>
    <row r="202">
      <c r="A202" s="26" t="n">
        <v>45964</v>
      </c>
      <c r="B202" s="14" t="inlineStr">
        <is>
          <t>NB-0002</t>
        </is>
      </c>
      <c r="C202" s="14" t="n">
        <v>28</v>
      </c>
      <c r="D202" s="14">
        <f>IF(A202&gt;LastWeek-364,1,0)</f>
        <v/>
      </c>
      <c r="E202" s="14">
        <f>C202^2*D202</f>
        <v/>
      </c>
    </row>
    <row r="203">
      <c r="A203" s="26" t="n">
        <v>45971</v>
      </c>
      <c r="B203" s="14" t="inlineStr">
        <is>
          <t>NB-0002</t>
        </is>
      </c>
      <c r="C203" s="14" t="n">
        <v>31</v>
      </c>
      <c r="D203" s="14">
        <f>IF(A203&gt;LastWeek-364,1,0)</f>
        <v/>
      </c>
      <c r="E203" s="14">
        <f>C203^2*D203</f>
        <v/>
      </c>
    </row>
    <row r="204">
      <c r="A204" s="26" t="n">
        <v>45978</v>
      </c>
      <c r="B204" s="14" t="inlineStr">
        <is>
          <t>NB-0002</t>
        </is>
      </c>
      <c r="C204" s="14" t="n">
        <v>33</v>
      </c>
      <c r="D204" s="14">
        <f>IF(A204&gt;LastWeek-364,1,0)</f>
        <v/>
      </c>
      <c r="E204" s="14">
        <f>C204^2*D204</f>
        <v/>
      </c>
    </row>
    <row r="205">
      <c r="A205" s="26" t="n">
        <v>45985</v>
      </c>
      <c r="B205" s="14" t="inlineStr">
        <is>
          <t>NB-0002</t>
        </is>
      </c>
      <c r="C205" s="14" t="n">
        <v>44</v>
      </c>
      <c r="D205" s="14">
        <f>IF(A205&gt;LastWeek-364,1,0)</f>
        <v/>
      </c>
      <c r="E205" s="14">
        <f>C205^2*D205</f>
        <v/>
      </c>
    </row>
    <row r="206">
      <c r="A206" s="26" t="n">
        <v>45992</v>
      </c>
      <c r="B206" s="14" t="inlineStr">
        <is>
          <t>NB-0002</t>
        </is>
      </c>
      <c r="C206" s="14" t="n">
        <v>41</v>
      </c>
      <c r="D206" s="14">
        <f>IF(A206&gt;LastWeek-364,1,0)</f>
        <v/>
      </c>
      <c r="E206" s="14">
        <f>C206^2*D206</f>
        <v/>
      </c>
    </row>
    <row r="207">
      <c r="A207" s="26" t="n">
        <v>45999</v>
      </c>
      <c r="B207" s="14" t="inlineStr">
        <is>
          <t>NB-0002</t>
        </is>
      </c>
      <c r="C207" s="14" t="n">
        <v>33</v>
      </c>
      <c r="D207" s="14">
        <f>IF(A207&gt;LastWeek-364,1,0)</f>
        <v/>
      </c>
      <c r="E207" s="14">
        <f>C207^2*D207</f>
        <v/>
      </c>
    </row>
    <row r="208">
      <c r="A208" s="26" t="n">
        <v>46006</v>
      </c>
      <c r="B208" s="14" t="inlineStr">
        <is>
          <t>NB-0002</t>
        </is>
      </c>
      <c r="C208" s="14" t="n">
        <v>39</v>
      </c>
      <c r="D208" s="14">
        <f>IF(A208&gt;LastWeek-364,1,0)</f>
        <v/>
      </c>
      <c r="E208" s="14">
        <f>C208^2*D208</f>
        <v/>
      </c>
    </row>
    <row r="209">
      <c r="A209" s="26" t="n">
        <v>46013</v>
      </c>
      <c r="B209" s="14" t="inlineStr">
        <is>
          <t>NB-0002</t>
        </is>
      </c>
      <c r="C209" s="14" t="n">
        <v>36</v>
      </c>
      <c r="D209" s="14">
        <f>IF(A209&gt;LastWeek-364,1,0)</f>
        <v/>
      </c>
      <c r="E209" s="14">
        <f>C209^2*D209</f>
        <v/>
      </c>
    </row>
    <row r="210">
      <c r="A210" s="26" t="n">
        <v>45292</v>
      </c>
      <c r="B210" s="14" t="inlineStr">
        <is>
          <t>NB-0003</t>
        </is>
      </c>
      <c r="C210" s="14" t="n">
        <v>160</v>
      </c>
      <c r="D210" s="14">
        <f>IF(A210&gt;LastWeek-364,1,0)</f>
        <v/>
      </c>
      <c r="E210" s="14">
        <f>C210^2*D210</f>
        <v/>
      </c>
    </row>
    <row r="211">
      <c r="A211" s="26" t="n">
        <v>45299</v>
      </c>
      <c r="B211" s="14" t="inlineStr">
        <is>
          <t>NB-0003</t>
        </is>
      </c>
      <c r="C211" s="14" t="n">
        <v>181</v>
      </c>
      <c r="D211" s="14">
        <f>IF(A211&gt;LastWeek-364,1,0)</f>
        <v/>
      </c>
      <c r="E211" s="14">
        <f>C211^2*D211</f>
        <v/>
      </c>
    </row>
    <row r="212">
      <c r="A212" s="26" t="n">
        <v>45306</v>
      </c>
      <c r="B212" s="14" t="inlineStr">
        <is>
          <t>NB-0003</t>
        </is>
      </c>
      <c r="C212" s="14" t="n">
        <v>199</v>
      </c>
      <c r="D212" s="14">
        <f>IF(A212&gt;LastWeek-364,1,0)</f>
        <v/>
      </c>
      <c r="E212" s="14">
        <f>C212^2*D212</f>
        <v/>
      </c>
    </row>
    <row r="213">
      <c r="A213" s="26" t="n">
        <v>45313</v>
      </c>
      <c r="B213" s="14" t="inlineStr">
        <is>
          <t>NB-0003</t>
        </is>
      </c>
      <c r="C213" s="14" t="n">
        <v>158</v>
      </c>
      <c r="D213" s="14">
        <f>IF(A213&gt;LastWeek-364,1,0)</f>
        <v/>
      </c>
      <c r="E213" s="14">
        <f>C213^2*D213</f>
        <v/>
      </c>
    </row>
    <row r="214">
      <c r="A214" s="26" t="n">
        <v>45320</v>
      </c>
      <c r="B214" s="14" t="inlineStr">
        <is>
          <t>NB-0003</t>
        </is>
      </c>
      <c r="C214" s="14" t="n">
        <v>216</v>
      </c>
      <c r="D214" s="14">
        <f>IF(A214&gt;LastWeek-364,1,0)</f>
        <v/>
      </c>
      <c r="E214" s="14">
        <f>C214^2*D214</f>
        <v/>
      </c>
    </row>
    <row r="215">
      <c r="A215" s="26" t="n">
        <v>45327</v>
      </c>
      <c r="B215" s="14" t="inlineStr">
        <is>
          <t>NB-0003</t>
        </is>
      </c>
      <c r="C215" s="14" t="n">
        <v>122</v>
      </c>
      <c r="D215" s="14">
        <f>IF(A215&gt;LastWeek-364,1,0)</f>
        <v/>
      </c>
      <c r="E215" s="14">
        <f>C215^2*D215</f>
        <v/>
      </c>
    </row>
    <row r="216">
      <c r="A216" s="26" t="n">
        <v>45334</v>
      </c>
      <c r="B216" s="14" t="inlineStr">
        <is>
          <t>NB-0003</t>
        </is>
      </c>
      <c r="C216" s="14" t="n">
        <v>168</v>
      </c>
      <c r="D216" s="14">
        <f>IF(A216&gt;LastWeek-364,1,0)</f>
        <v/>
      </c>
      <c r="E216" s="14">
        <f>C216^2*D216</f>
        <v/>
      </c>
    </row>
    <row r="217">
      <c r="A217" s="26" t="n">
        <v>45341</v>
      </c>
      <c r="B217" s="14" t="inlineStr">
        <is>
          <t>NB-0003</t>
        </is>
      </c>
      <c r="C217" s="14" t="n">
        <v>269</v>
      </c>
      <c r="D217" s="14">
        <f>IF(A217&gt;LastWeek-364,1,0)</f>
        <v/>
      </c>
      <c r="E217" s="14">
        <f>C217^2*D217</f>
        <v/>
      </c>
    </row>
    <row r="218">
      <c r="A218" s="26" t="n">
        <v>45348</v>
      </c>
      <c r="B218" s="14" t="inlineStr">
        <is>
          <t>NB-0003</t>
        </is>
      </c>
      <c r="C218" s="14" t="n">
        <v>170</v>
      </c>
      <c r="D218" s="14">
        <f>IF(A218&gt;LastWeek-364,1,0)</f>
        <v/>
      </c>
      <c r="E218" s="14">
        <f>C218^2*D218</f>
        <v/>
      </c>
    </row>
    <row r="219">
      <c r="A219" s="26" t="n">
        <v>45355</v>
      </c>
      <c r="B219" s="14" t="inlineStr">
        <is>
          <t>NB-0003</t>
        </is>
      </c>
      <c r="C219" s="14" t="n">
        <v>212</v>
      </c>
      <c r="D219" s="14">
        <f>IF(A219&gt;LastWeek-364,1,0)</f>
        <v/>
      </c>
      <c r="E219" s="14">
        <f>C219^2*D219</f>
        <v/>
      </c>
    </row>
    <row r="220">
      <c r="A220" s="26" t="n">
        <v>45362</v>
      </c>
      <c r="B220" s="14" t="inlineStr">
        <is>
          <t>NB-0003</t>
        </is>
      </c>
      <c r="C220" s="14" t="n">
        <v>157</v>
      </c>
      <c r="D220" s="14">
        <f>IF(A220&gt;LastWeek-364,1,0)</f>
        <v/>
      </c>
      <c r="E220" s="14">
        <f>C220^2*D220</f>
        <v/>
      </c>
    </row>
    <row r="221">
      <c r="A221" s="26" t="n">
        <v>45369</v>
      </c>
      <c r="B221" s="14" t="inlineStr">
        <is>
          <t>NB-0003</t>
        </is>
      </c>
      <c r="C221" s="14" t="n">
        <v>170</v>
      </c>
      <c r="D221" s="14">
        <f>IF(A221&gt;LastWeek-364,1,0)</f>
        <v/>
      </c>
      <c r="E221" s="14">
        <f>C221^2*D221</f>
        <v/>
      </c>
    </row>
    <row r="222">
      <c r="A222" s="26" t="n">
        <v>45376</v>
      </c>
      <c r="B222" s="14" t="inlineStr">
        <is>
          <t>NB-0003</t>
        </is>
      </c>
      <c r="C222" s="14" t="n">
        <v>142</v>
      </c>
      <c r="D222" s="14">
        <f>IF(A222&gt;LastWeek-364,1,0)</f>
        <v/>
      </c>
      <c r="E222" s="14">
        <f>C222^2*D222</f>
        <v/>
      </c>
    </row>
    <row r="223">
      <c r="A223" s="26" t="n">
        <v>45383</v>
      </c>
      <c r="B223" s="14" t="inlineStr">
        <is>
          <t>NB-0003</t>
        </is>
      </c>
      <c r="C223" s="14" t="n">
        <v>133</v>
      </c>
      <c r="D223" s="14">
        <f>IF(A223&gt;LastWeek-364,1,0)</f>
        <v/>
      </c>
      <c r="E223" s="14">
        <f>C223^2*D223</f>
        <v/>
      </c>
    </row>
    <row r="224">
      <c r="A224" s="26" t="n">
        <v>45390</v>
      </c>
      <c r="B224" s="14" t="inlineStr">
        <is>
          <t>NB-0003</t>
        </is>
      </c>
      <c r="C224" s="14" t="n">
        <v>108</v>
      </c>
      <c r="D224" s="14">
        <f>IF(A224&gt;LastWeek-364,1,0)</f>
        <v/>
      </c>
      <c r="E224" s="14">
        <f>C224^2*D224</f>
        <v/>
      </c>
    </row>
    <row r="225">
      <c r="A225" s="26" t="n">
        <v>45397</v>
      </c>
      <c r="B225" s="14" t="inlineStr">
        <is>
          <t>NB-0003</t>
        </is>
      </c>
      <c r="C225" s="14" t="n">
        <v>142</v>
      </c>
      <c r="D225" s="14">
        <f>IF(A225&gt;LastWeek-364,1,0)</f>
        <v/>
      </c>
      <c r="E225" s="14">
        <f>C225^2*D225</f>
        <v/>
      </c>
    </row>
    <row r="226">
      <c r="A226" s="26" t="n">
        <v>45404</v>
      </c>
      <c r="B226" s="14" t="inlineStr">
        <is>
          <t>NB-0003</t>
        </is>
      </c>
      <c r="C226" s="14" t="n">
        <v>98</v>
      </c>
      <c r="D226" s="14">
        <f>IF(A226&gt;LastWeek-364,1,0)</f>
        <v/>
      </c>
      <c r="E226" s="14">
        <f>C226^2*D226</f>
        <v/>
      </c>
    </row>
    <row r="227">
      <c r="A227" s="26" t="n">
        <v>45411</v>
      </c>
      <c r="B227" s="14" t="inlineStr">
        <is>
          <t>NB-0003</t>
        </is>
      </c>
      <c r="C227" s="14" t="n">
        <v>138</v>
      </c>
      <c r="D227" s="14">
        <f>IF(A227&gt;LastWeek-364,1,0)</f>
        <v/>
      </c>
      <c r="E227" s="14">
        <f>C227^2*D227</f>
        <v/>
      </c>
    </row>
    <row r="228">
      <c r="A228" s="26" t="n">
        <v>45418</v>
      </c>
      <c r="B228" s="14" t="inlineStr">
        <is>
          <t>NB-0003</t>
        </is>
      </c>
      <c r="C228" s="14" t="n">
        <v>145</v>
      </c>
      <c r="D228" s="14">
        <f>IF(A228&gt;LastWeek-364,1,0)</f>
        <v/>
      </c>
      <c r="E228" s="14">
        <f>C228^2*D228</f>
        <v/>
      </c>
    </row>
    <row r="229">
      <c r="A229" s="26" t="n">
        <v>45425</v>
      </c>
      <c r="B229" s="14" t="inlineStr">
        <is>
          <t>NB-0003</t>
        </is>
      </c>
      <c r="C229" s="14" t="n">
        <v>120</v>
      </c>
      <c r="D229" s="14">
        <f>IF(A229&gt;LastWeek-364,1,0)</f>
        <v/>
      </c>
      <c r="E229" s="14">
        <f>C229^2*D229</f>
        <v/>
      </c>
    </row>
    <row r="230">
      <c r="A230" s="26" t="n">
        <v>45432</v>
      </c>
      <c r="B230" s="14" t="inlineStr">
        <is>
          <t>NB-0003</t>
        </is>
      </c>
      <c r="C230" s="14" t="n">
        <v>98</v>
      </c>
      <c r="D230" s="14">
        <f>IF(A230&gt;LastWeek-364,1,0)</f>
        <v/>
      </c>
      <c r="E230" s="14">
        <f>C230^2*D230</f>
        <v/>
      </c>
    </row>
    <row r="231">
      <c r="A231" s="26" t="n">
        <v>45439</v>
      </c>
      <c r="B231" s="14" t="inlineStr">
        <is>
          <t>NB-0003</t>
        </is>
      </c>
      <c r="C231" s="14" t="n">
        <v>114</v>
      </c>
      <c r="D231" s="14">
        <f>IF(A231&gt;LastWeek-364,1,0)</f>
        <v/>
      </c>
      <c r="E231" s="14">
        <f>C231^2*D231</f>
        <v/>
      </c>
    </row>
    <row r="232">
      <c r="A232" s="26" t="n">
        <v>45446</v>
      </c>
      <c r="B232" s="14" t="inlineStr">
        <is>
          <t>NB-0003</t>
        </is>
      </c>
      <c r="C232" s="14" t="n">
        <v>92</v>
      </c>
      <c r="D232" s="14">
        <f>IF(A232&gt;LastWeek-364,1,0)</f>
        <v/>
      </c>
      <c r="E232" s="14">
        <f>C232^2*D232</f>
        <v/>
      </c>
    </row>
    <row r="233">
      <c r="A233" s="26" t="n">
        <v>45453</v>
      </c>
      <c r="B233" s="14" t="inlineStr">
        <is>
          <t>NB-0003</t>
        </is>
      </c>
      <c r="C233" s="14" t="n">
        <v>119</v>
      </c>
      <c r="D233" s="14">
        <f>IF(A233&gt;LastWeek-364,1,0)</f>
        <v/>
      </c>
      <c r="E233" s="14">
        <f>C233^2*D233</f>
        <v/>
      </c>
    </row>
    <row r="234">
      <c r="A234" s="26" t="n">
        <v>45460</v>
      </c>
      <c r="B234" s="14" t="inlineStr">
        <is>
          <t>NB-0003</t>
        </is>
      </c>
      <c r="C234" s="14" t="n">
        <v>52</v>
      </c>
      <c r="D234" s="14">
        <f>IF(A234&gt;LastWeek-364,1,0)</f>
        <v/>
      </c>
      <c r="E234" s="14">
        <f>C234^2*D234</f>
        <v/>
      </c>
    </row>
    <row r="235">
      <c r="A235" s="26" t="n">
        <v>45467</v>
      </c>
      <c r="B235" s="14" t="inlineStr">
        <is>
          <t>NB-0003</t>
        </is>
      </c>
      <c r="C235" s="14" t="n">
        <v>85</v>
      </c>
      <c r="D235" s="14">
        <f>IF(A235&gt;LastWeek-364,1,0)</f>
        <v/>
      </c>
      <c r="E235" s="14">
        <f>C235^2*D235</f>
        <v/>
      </c>
    </row>
    <row r="236">
      <c r="A236" s="26" t="n">
        <v>45474</v>
      </c>
      <c r="B236" s="14" t="inlineStr">
        <is>
          <t>NB-0003</t>
        </is>
      </c>
      <c r="C236" s="14" t="n">
        <v>47</v>
      </c>
      <c r="D236" s="14">
        <f>IF(A236&gt;LastWeek-364,1,0)</f>
        <v/>
      </c>
      <c r="E236" s="14">
        <f>C236^2*D236</f>
        <v/>
      </c>
    </row>
    <row r="237">
      <c r="A237" s="26" t="n">
        <v>45481</v>
      </c>
      <c r="B237" s="14" t="inlineStr">
        <is>
          <t>NB-0003</t>
        </is>
      </c>
      <c r="C237" s="14" t="n">
        <v>59</v>
      </c>
      <c r="D237" s="14">
        <f>IF(A237&gt;LastWeek-364,1,0)</f>
        <v/>
      </c>
      <c r="E237" s="14">
        <f>C237^2*D237</f>
        <v/>
      </c>
    </row>
    <row r="238">
      <c r="A238" s="26" t="n">
        <v>45488</v>
      </c>
      <c r="B238" s="14" t="inlineStr">
        <is>
          <t>NB-0003</t>
        </is>
      </c>
      <c r="C238" s="14" t="n">
        <v>124</v>
      </c>
      <c r="D238" s="14">
        <f>IF(A238&gt;LastWeek-364,1,0)</f>
        <v/>
      </c>
      <c r="E238" s="14">
        <f>C238^2*D238</f>
        <v/>
      </c>
    </row>
    <row r="239">
      <c r="A239" s="26" t="n">
        <v>45495</v>
      </c>
      <c r="B239" s="14" t="inlineStr">
        <is>
          <t>NB-0003</t>
        </is>
      </c>
      <c r="C239" s="14" t="n">
        <v>114</v>
      </c>
      <c r="D239" s="14">
        <f>IF(A239&gt;LastWeek-364,1,0)</f>
        <v/>
      </c>
      <c r="E239" s="14">
        <f>C239^2*D239</f>
        <v/>
      </c>
    </row>
    <row r="240">
      <c r="A240" s="26" t="n">
        <v>45502</v>
      </c>
      <c r="B240" s="14" t="inlineStr">
        <is>
          <t>NB-0003</t>
        </is>
      </c>
      <c r="C240" s="14" t="n">
        <v>79</v>
      </c>
      <c r="D240" s="14">
        <f>IF(A240&gt;LastWeek-364,1,0)</f>
        <v/>
      </c>
      <c r="E240" s="14">
        <f>C240^2*D240</f>
        <v/>
      </c>
    </row>
    <row r="241">
      <c r="A241" s="26" t="n">
        <v>45509</v>
      </c>
      <c r="B241" s="14" t="inlineStr">
        <is>
          <t>NB-0003</t>
        </is>
      </c>
      <c r="C241" s="14" t="n">
        <v>62</v>
      </c>
      <c r="D241" s="14">
        <f>IF(A241&gt;LastWeek-364,1,0)</f>
        <v/>
      </c>
      <c r="E241" s="14">
        <f>C241^2*D241</f>
        <v/>
      </c>
    </row>
    <row r="242">
      <c r="A242" s="26" t="n">
        <v>45516</v>
      </c>
      <c r="B242" s="14" t="inlineStr">
        <is>
          <t>NB-0003</t>
        </is>
      </c>
      <c r="C242" s="14" t="n">
        <v>28</v>
      </c>
      <c r="D242" s="14">
        <f>IF(A242&gt;LastWeek-364,1,0)</f>
        <v/>
      </c>
      <c r="E242" s="14">
        <f>C242^2*D242</f>
        <v/>
      </c>
    </row>
    <row r="243">
      <c r="A243" s="26" t="n">
        <v>45523</v>
      </c>
      <c r="B243" s="14" t="inlineStr">
        <is>
          <t>NB-0003</t>
        </is>
      </c>
      <c r="C243" s="14" t="n">
        <v>91</v>
      </c>
      <c r="D243" s="14">
        <f>IF(A243&gt;LastWeek-364,1,0)</f>
        <v/>
      </c>
      <c r="E243" s="14">
        <f>C243^2*D243</f>
        <v/>
      </c>
    </row>
    <row r="244">
      <c r="A244" s="26" t="n">
        <v>45530</v>
      </c>
      <c r="B244" s="14" t="inlineStr">
        <is>
          <t>NB-0003</t>
        </is>
      </c>
      <c r="C244" s="14" t="n">
        <v>174</v>
      </c>
      <c r="D244" s="14">
        <f>IF(A244&gt;LastWeek-364,1,0)</f>
        <v/>
      </c>
      <c r="E244" s="14">
        <f>C244^2*D244</f>
        <v/>
      </c>
    </row>
    <row r="245">
      <c r="A245" s="26" t="n">
        <v>45537</v>
      </c>
      <c r="B245" s="14" t="inlineStr">
        <is>
          <t>NB-0003</t>
        </is>
      </c>
      <c r="C245" s="14" t="n">
        <v>126</v>
      </c>
      <c r="D245" s="14">
        <f>IF(A245&gt;LastWeek-364,1,0)</f>
        <v/>
      </c>
      <c r="E245" s="14">
        <f>C245^2*D245</f>
        <v/>
      </c>
    </row>
    <row r="246">
      <c r="A246" s="26" t="n">
        <v>45544</v>
      </c>
      <c r="B246" s="14" t="inlineStr">
        <is>
          <t>NB-0003</t>
        </is>
      </c>
      <c r="C246" s="14" t="n">
        <v>103</v>
      </c>
      <c r="D246" s="14">
        <f>IF(A246&gt;LastWeek-364,1,0)</f>
        <v/>
      </c>
      <c r="E246" s="14">
        <f>C246^2*D246</f>
        <v/>
      </c>
    </row>
    <row r="247">
      <c r="A247" s="26" t="n">
        <v>45551</v>
      </c>
      <c r="B247" s="14" t="inlineStr">
        <is>
          <t>NB-0003</t>
        </is>
      </c>
      <c r="C247" s="14" t="n">
        <v>138</v>
      </c>
      <c r="D247" s="14">
        <f>IF(A247&gt;LastWeek-364,1,0)</f>
        <v/>
      </c>
      <c r="E247" s="14">
        <f>C247^2*D247</f>
        <v/>
      </c>
    </row>
    <row r="248">
      <c r="A248" s="26" t="n">
        <v>45558</v>
      </c>
      <c r="B248" s="14" t="inlineStr">
        <is>
          <t>NB-0003</t>
        </is>
      </c>
      <c r="C248" s="14" t="n">
        <v>80</v>
      </c>
      <c r="D248" s="14">
        <f>IF(A248&gt;LastWeek-364,1,0)</f>
        <v/>
      </c>
      <c r="E248" s="14">
        <f>C248^2*D248</f>
        <v/>
      </c>
    </row>
    <row r="249">
      <c r="A249" s="26" t="n">
        <v>45565</v>
      </c>
      <c r="B249" s="14" t="inlineStr">
        <is>
          <t>NB-0003</t>
        </is>
      </c>
      <c r="C249" s="14" t="n">
        <v>126</v>
      </c>
      <c r="D249" s="14">
        <f>IF(A249&gt;LastWeek-364,1,0)</f>
        <v/>
      </c>
      <c r="E249" s="14">
        <f>C249^2*D249</f>
        <v/>
      </c>
    </row>
    <row r="250">
      <c r="A250" s="26" t="n">
        <v>45572</v>
      </c>
      <c r="B250" s="14" t="inlineStr">
        <is>
          <t>NB-0003</t>
        </is>
      </c>
      <c r="C250" s="14" t="n">
        <v>145</v>
      </c>
      <c r="D250" s="14">
        <f>IF(A250&gt;LastWeek-364,1,0)</f>
        <v/>
      </c>
      <c r="E250" s="14">
        <f>C250^2*D250</f>
        <v/>
      </c>
    </row>
    <row r="251">
      <c r="A251" s="26" t="n">
        <v>45579</v>
      </c>
      <c r="B251" s="14" t="inlineStr">
        <is>
          <t>NB-0003</t>
        </is>
      </c>
      <c r="C251" s="14" t="n">
        <v>145</v>
      </c>
      <c r="D251" s="14">
        <f>IF(A251&gt;LastWeek-364,1,0)</f>
        <v/>
      </c>
      <c r="E251" s="14">
        <f>C251^2*D251</f>
        <v/>
      </c>
    </row>
    <row r="252">
      <c r="A252" s="26" t="n">
        <v>45586</v>
      </c>
      <c r="B252" s="14" t="inlineStr">
        <is>
          <t>NB-0003</t>
        </is>
      </c>
      <c r="C252" s="14" t="n">
        <v>183</v>
      </c>
      <c r="D252" s="14">
        <f>IF(A252&gt;LastWeek-364,1,0)</f>
        <v/>
      </c>
      <c r="E252" s="14">
        <f>C252^2*D252</f>
        <v/>
      </c>
    </row>
    <row r="253">
      <c r="A253" s="26" t="n">
        <v>45593</v>
      </c>
      <c r="B253" s="14" t="inlineStr">
        <is>
          <t>NB-0003</t>
        </is>
      </c>
      <c r="C253" s="14" t="n">
        <v>173</v>
      </c>
      <c r="D253" s="14">
        <f>IF(A253&gt;LastWeek-364,1,0)</f>
        <v/>
      </c>
      <c r="E253" s="14">
        <f>C253^2*D253</f>
        <v/>
      </c>
    </row>
    <row r="254">
      <c r="A254" s="26" t="n">
        <v>45600</v>
      </c>
      <c r="B254" s="14" t="inlineStr">
        <is>
          <t>NB-0003</t>
        </is>
      </c>
      <c r="C254" s="14" t="n">
        <v>192</v>
      </c>
      <c r="D254" s="14">
        <f>IF(A254&gt;LastWeek-364,1,0)</f>
        <v/>
      </c>
      <c r="E254" s="14">
        <f>C254^2*D254</f>
        <v/>
      </c>
    </row>
    <row r="255">
      <c r="A255" s="26" t="n">
        <v>45607</v>
      </c>
      <c r="B255" s="14" t="inlineStr">
        <is>
          <t>NB-0003</t>
        </is>
      </c>
      <c r="C255" s="14" t="n">
        <v>142</v>
      </c>
      <c r="D255" s="14">
        <f>IF(A255&gt;LastWeek-364,1,0)</f>
        <v/>
      </c>
      <c r="E255" s="14">
        <f>C255^2*D255</f>
        <v/>
      </c>
    </row>
    <row r="256">
      <c r="A256" s="26" t="n">
        <v>45614</v>
      </c>
      <c r="B256" s="14" t="inlineStr">
        <is>
          <t>NB-0003</t>
        </is>
      </c>
      <c r="C256" s="14" t="n">
        <v>214</v>
      </c>
      <c r="D256" s="14">
        <f>IF(A256&gt;LastWeek-364,1,0)</f>
        <v/>
      </c>
      <c r="E256" s="14">
        <f>C256^2*D256</f>
        <v/>
      </c>
    </row>
    <row r="257">
      <c r="A257" s="26" t="n">
        <v>45621</v>
      </c>
      <c r="B257" s="14" t="inlineStr">
        <is>
          <t>NB-0003</t>
        </is>
      </c>
      <c r="C257" s="14" t="n">
        <v>251</v>
      </c>
      <c r="D257" s="14">
        <f>IF(A257&gt;LastWeek-364,1,0)</f>
        <v/>
      </c>
      <c r="E257" s="14">
        <f>C257^2*D257</f>
        <v/>
      </c>
    </row>
    <row r="258">
      <c r="A258" s="26" t="n">
        <v>45628</v>
      </c>
      <c r="B258" s="14" t="inlineStr">
        <is>
          <t>NB-0003</t>
        </is>
      </c>
      <c r="C258" s="14" t="n">
        <v>140</v>
      </c>
      <c r="D258" s="14">
        <f>IF(A258&gt;LastWeek-364,1,0)</f>
        <v/>
      </c>
      <c r="E258" s="14">
        <f>C258^2*D258</f>
        <v/>
      </c>
    </row>
    <row r="259">
      <c r="A259" s="26" t="n">
        <v>45635</v>
      </c>
      <c r="B259" s="14" t="inlineStr">
        <is>
          <t>NB-0003</t>
        </is>
      </c>
      <c r="C259" s="14" t="n">
        <v>147</v>
      </c>
      <c r="D259" s="14">
        <f>IF(A259&gt;LastWeek-364,1,0)</f>
        <v/>
      </c>
      <c r="E259" s="14">
        <f>C259^2*D259</f>
        <v/>
      </c>
    </row>
    <row r="260">
      <c r="A260" s="26" t="n">
        <v>45642</v>
      </c>
      <c r="B260" s="14" t="inlineStr">
        <is>
          <t>NB-0003</t>
        </is>
      </c>
      <c r="C260" s="14" t="n">
        <v>252</v>
      </c>
      <c r="D260" s="14">
        <f>IF(A260&gt;LastWeek-364,1,0)</f>
        <v/>
      </c>
      <c r="E260" s="14">
        <f>C260^2*D260</f>
        <v/>
      </c>
    </row>
    <row r="261">
      <c r="A261" s="26" t="n">
        <v>45649</v>
      </c>
      <c r="B261" s="14" t="inlineStr">
        <is>
          <t>NB-0003</t>
        </is>
      </c>
      <c r="C261" s="14" t="n">
        <v>183</v>
      </c>
      <c r="D261" s="14">
        <f>IF(A261&gt;LastWeek-364,1,0)</f>
        <v/>
      </c>
      <c r="E261" s="14">
        <f>C261^2*D261</f>
        <v/>
      </c>
    </row>
    <row r="262">
      <c r="A262" s="26" t="n">
        <v>45656</v>
      </c>
      <c r="B262" s="14" t="inlineStr">
        <is>
          <t>NB-0003</t>
        </is>
      </c>
      <c r="C262" s="14" t="n">
        <v>260</v>
      </c>
      <c r="D262" s="14">
        <f>IF(A262&gt;LastWeek-364,1,0)</f>
        <v/>
      </c>
      <c r="E262" s="14">
        <f>C262^2*D262</f>
        <v/>
      </c>
    </row>
    <row r="263">
      <c r="A263" s="26" t="n">
        <v>45663</v>
      </c>
      <c r="B263" s="14" t="inlineStr">
        <is>
          <t>NB-0003</t>
        </is>
      </c>
      <c r="C263" s="14" t="n">
        <v>173</v>
      </c>
      <c r="D263" s="14">
        <f>IF(A263&gt;LastWeek-364,1,0)</f>
        <v/>
      </c>
      <c r="E263" s="14">
        <f>C263^2*D263</f>
        <v/>
      </c>
    </row>
    <row r="264">
      <c r="A264" s="26" t="n">
        <v>45670</v>
      </c>
      <c r="B264" s="14" t="inlineStr">
        <is>
          <t>NB-0003</t>
        </is>
      </c>
      <c r="C264" s="14" t="n">
        <v>264</v>
      </c>
      <c r="D264" s="14">
        <f>IF(A264&gt;LastWeek-364,1,0)</f>
        <v/>
      </c>
      <c r="E264" s="14">
        <f>C264^2*D264</f>
        <v/>
      </c>
    </row>
    <row r="265">
      <c r="A265" s="26" t="n">
        <v>45677</v>
      </c>
      <c r="B265" s="14" t="inlineStr">
        <is>
          <t>NB-0003</t>
        </is>
      </c>
      <c r="C265" s="14" t="n">
        <v>200</v>
      </c>
      <c r="D265" s="14">
        <f>IF(A265&gt;LastWeek-364,1,0)</f>
        <v/>
      </c>
      <c r="E265" s="14">
        <f>C265^2*D265</f>
        <v/>
      </c>
    </row>
    <row r="266">
      <c r="A266" s="26" t="n">
        <v>45684</v>
      </c>
      <c r="B266" s="14" t="inlineStr">
        <is>
          <t>NB-0003</t>
        </is>
      </c>
      <c r="C266" s="14" t="n">
        <v>205</v>
      </c>
      <c r="D266" s="14">
        <f>IF(A266&gt;LastWeek-364,1,0)</f>
        <v/>
      </c>
      <c r="E266" s="14">
        <f>C266^2*D266</f>
        <v/>
      </c>
    </row>
    <row r="267">
      <c r="A267" s="26" t="n">
        <v>45691</v>
      </c>
      <c r="B267" s="14" t="inlineStr">
        <is>
          <t>NB-0003</t>
        </is>
      </c>
      <c r="C267" s="14" t="n">
        <v>263</v>
      </c>
      <c r="D267" s="14">
        <f>IF(A267&gt;LastWeek-364,1,0)</f>
        <v/>
      </c>
      <c r="E267" s="14">
        <f>C267^2*D267</f>
        <v/>
      </c>
    </row>
    <row r="268">
      <c r="A268" s="26" t="n">
        <v>45698</v>
      </c>
      <c r="B268" s="14" t="inlineStr">
        <is>
          <t>NB-0003</t>
        </is>
      </c>
      <c r="C268" s="14" t="n">
        <v>171</v>
      </c>
      <c r="D268" s="14">
        <f>IF(A268&gt;LastWeek-364,1,0)</f>
        <v/>
      </c>
      <c r="E268" s="14">
        <f>C268^2*D268</f>
        <v/>
      </c>
    </row>
    <row r="269">
      <c r="A269" s="26" t="n">
        <v>45705</v>
      </c>
      <c r="B269" s="14" t="inlineStr">
        <is>
          <t>NB-0003</t>
        </is>
      </c>
      <c r="C269" s="14" t="n">
        <v>142</v>
      </c>
      <c r="D269" s="14">
        <f>IF(A269&gt;LastWeek-364,1,0)</f>
        <v/>
      </c>
      <c r="E269" s="14">
        <f>C269^2*D269</f>
        <v/>
      </c>
    </row>
    <row r="270">
      <c r="A270" s="26" t="n">
        <v>45712</v>
      </c>
      <c r="B270" s="14" t="inlineStr">
        <is>
          <t>NB-0003</t>
        </is>
      </c>
      <c r="C270" s="14" t="n">
        <v>161</v>
      </c>
      <c r="D270" s="14">
        <f>IF(A270&gt;LastWeek-364,1,0)</f>
        <v/>
      </c>
      <c r="E270" s="14">
        <f>C270^2*D270</f>
        <v/>
      </c>
    </row>
    <row r="271">
      <c r="A271" s="26" t="n">
        <v>45719</v>
      </c>
      <c r="B271" s="14" t="inlineStr">
        <is>
          <t>NB-0003</t>
        </is>
      </c>
      <c r="C271" s="14" t="n">
        <v>196</v>
      </c>
      <c r="D271" s="14">
        <f>IF(A271&gt;LastWeek-364,1,0)</f>
        <v/>
      </c>
      <c r="E271" s="14">
        <f>C271^2*D271</f>
        <v/>
      </c>
    </row>
    <row r="272">
      <c r="A272" s="26" t="n">
        <v>45726</v>
      </c>
      <c r="B272" s="14" t="inlineStr">
        <is>
          <t>NB-0003</t>
        </is>
      </c>
      <c r="C272" s="14" t="n">
        <v>106</v>
      </c>
      <c r="D272" s="14">
        <f>IF(A272&gt;LastWeek-364,1,0)</f>
        <v/>
      </c>
      <c r="E272" s="14">
        <f>C272^2*D272</f>
        <v/>
      </c>
    </row>
    <row r="273">
      <c r="A273" s="26" t="n">
        <v>45733</v>
      </c>
      <c r="B273" s="14" t="inlineStr">
        <is>
          <t>NB-0003</t>
        </is>
      </c>
      <c r="C273" s="14" t="n">
        <v>193</v>
      </c>
      <c r="D273" s="14">
        <f>IF(A273&gt;LastWeek-364,1,0)</f>
        <v/>
      </c>
      <c r="E273" s="14">
        <f>C273^2*D273</f>
        <v/>
      </c>
    </row>
    <row r="274">
      <c r="A274" s="26" t="n">
        <v>45740</v>
      </c>
      <c r="B274" s="14" t="inlineStr">
        <is>
          <t>NB-0003</t>
        </is>
      </c>
      <c r="C274" s="14" t="n">
        <v>140</v>
      </c>
      <c r="D274" s="14">
        <f>IF(A274&gt;LastWeek-364,1,0)</f>
        <v/>
      </c>
      <c r="E274" s="14">
        <f>C274^2*D274</f>
        <v/>
      </c>
    </row>
    <row r="275">
      <c r="A275" s="26" t="n">
        <v>45747</v>
      </c>
      <c r="B275" s="14" t="inlineStr">
        <is>
          <t>NB-0003</t>
        </is>
      </c>
      <c r="C275" s="14" t="n">
        <v>200</v>
      </c>
      <c r="D275" s="14">
        <f>IF(A275&gt;LastWeek-364,1,0)</f>
        <v/>
      </c>
      <c r="E275" s="14">
        <f>C275^2*D275</f>
        <v/>
      </c>
    </row>
    <row r="276">
      <c r="A276" s="26" t="n">
        <v>45754</v>
      </c>
      <c r="B276" s="14" t="inlineStr">
        <is>
          <t>NB-0003</t>
        </is>
      </c>
      <c r="C276" s="14" t="n">
        <v>62</v>
      </c>
      <c r="D276" s="14">
        <f>IF(A276&gt;LastWeek-364,1,0)</f>
        <v/>
      </c>
      <c r="E276" s="14">
        <f>C276^2*D276</f>
        <v/>
      </c>
    </row>
    <row r="277">
      <c r="A277" s="26" t="n">
        <v>45761</v>
      </c>
      <c r="B277" s="14" t="inlineStr">
        <is>
          <t>NB-0003</t>
        </is>
      </c>
      <c r="C277" s="14" t="n">
        <v>117</v>
      </c>
      <c r="D277" s="14">
        <f>IF(A277&gt;LastWeek-364,1,0)</f>
        <v/>
      </c>
      <c r="E277" s="14">
        <f>C277^2*D277</f>
        <v/>
      </c>
    </row>
    <row r="278">
      <c r="A278" s="26" t="n">
        <v>45768</v>
      </c>
      <c r="B278" s="14" t="inlineStr">
        <is>
          <t>NB-0003</t>
        </is>
      </c>
      <c r="C278" s="14" t="n">
        <v>82</v>
      </c>
      <c r="D278" s="14">
        <f>IF(A278&gt;LastWeek-364,1,0)</f>
        <v/>
      </c>
      <c r="E278" s="14">
        <f>C278^2*D278</f>
        <v/>
      </c>
    </row>
    <row r="279">
      <c r="A279" s="26" t="n">
        <v>45775</v>
      </c>
      <c r="B279" s="14" t="inlineStr">
        <is>
          <t>NB-0003</t>
        </is>
      </c>
      <c r="C279" s="14" t="n">
        <v>107</v>
      </c>
      <c r="D279" s="14">
        <f>IF(A279&gt;LastWeek-364,1,0)</f>
        <v/>
      </c>
      <c r="E279" s="14">
        <f>C279^2*D279</f>
        <v/>
      </c>
    </row>
    <row r="280">
      <c r="A280" s="26" t="n">
        <v>45782</v>
      </c>
      <c r="B280" s="14" t="inlineStr">
        <is>
          <t>NB-0003</t>
        </is>
      </c>
      <c r="C280" s="14" t="n">
        <v>136</v>
      </c>
      <c r="D280" s="14">
        <f>IF(A280&gt;LastWeek-364,1,0)</f>
        <v/>
      </c>
      <c r="E280" s="14">
        <f>C280^2*D280</f>
        <v/>
      </c>
    </row>
    <row r="281">
      <c r="A281" s="26" t="n">
        <v>45789</v>
      </c>
      <c r="B281" s="14" t="inlineStr">
        <is>
          <t>NB-0003</t>
        </is>
      </c>
      <c r="C281" s="14" t="n">
        <v>118</v>
      </c>
      <c r="D281" s="14">
        <f>IF(A281&gt;LastWeek-364,1,0)</f>
        <v/>
      </c>
      <c r="E281" s="14">
        <f>C281^2*D281</f>
        <v/>
      </c>
    </row>
    <row r="282">
      <c r="A282" s="26" t="n">
        <v>45796</v>
      </c>
      <c r="B282" s="14" t="inlineStr">
        <is>
          <t>NB-0003</t>
        </is>
      </c>
      <c r="C282" s="14" t="n">
        <v>112</v>
      </c>
      <c r="D282" s="14">
        <f>IF(A282&gt;LastWeek-364,1,0)</f>
        <v/>
      </c>
      <c r="E282" s="14">
        <f>C282^2*D282</f>
        <v/>
      </c>
    </row>
    <row r="283">
      <c r="A283" s="26" t="n">
        <v>45803</v>
      </c>
      <c r="B283" s="14" t="inlineStr">
        <is>
          <t>NB-0003</t>
        </is>
      </c>
      <c r="C283" s="14" t="n">
        <v>110</v>
      </c>
      <c r="D283" s="14">
        <f>IF(A283&gt;LastWeek-364,1,0)</f>
        <v/>
      </c>
      <c r="E283" s="14">
        <f>C283^2*D283</f>
        <v/>
      </c>
    </row>
    <row r="284">
      <c r="A284" s="26" t="n">
        <v>45810</v>
      </c>
      <c r="B284" s="14" t="inlineStr">
        <is>
          <t>NB-0003</t>
        </is>
      </c>
      <c r="C284" s="14" t="n">
        <v>117</v>
      </c>
      <c r="D284" s="14">
        <f>IF(A284&gt;LastWeek-364,1,0)</f>
        <v/>
      </c>
      <c r="E284" s="14">
        <f>C284^2*D284</f>
        <v/>
      </c>
    </row>
    <row r="285">
      <c r="A285" s="26" t="n">
        <v>45817</v>
      </c>
      <c r="B285" s="14" t="inlineStr">
        <is>
          <t>NB-0003</t>
        </is>
      </c>
      <c r="C285" s="14" t="n">
        <v>82</v>
      </c>
      <c r="D285" s="14">
        <f>IF(A285&gt;LastWeek-364,1,0)</f>
        <v/>
      </c>
      <c r="E285" s="14">
        <f>C285^2*D285</f>
        <v/>
      </c>
    </row>
    <row r="286">
      <c r="A286" s="26" t="n">
        <v>45824</v>
      </c>
      <c r="B286" s="14" t="inlineStr">
        <is>
          <t>NB-0003</t>
        </is>
      </c>
      <c r="C286" s="14" t="n">
        <v>124</v>
      </c>
      <c r="D286" s="14">
        <f>IF(A286&gt;LastWeek-364,1,0)</f>
        <v/>
      </c>
      <c r="E286" s="14">
        <f>C286^2*D286</f>
        <v/>
      </c>
    </row>
    <row r="287">
      <c r="A287" s="26" t="n">
        <v>45831</v>
      </c>
      <c r="B287" s="14" t="inlineStr">
        <is>
          <t>NB-0003</t>
        </is>
      </c>
      <c r="C287" s="14" t="n">
        <v>121</v>
      </c>
      <c r="D287" s="14">
        <f>IF(A287&gt;LastWeek-364,1,0)</f>
        <v/>
      </c>
      <c r="E287" s="14">
        <f>C287^2*D287</f>
        <v/>
      </c>
    </row>
    <row r="288">
      <c r="A288" s="26" t="n">
        <v>45838</v>
      </c>
      <c r="B288" s="14" t="inlineStr">
        <is>
          <t>NB-0003</t>
        </is>
      </c>
      <c r="C288" s="14" t="n">
        <v>113</v>
      </c>
      <c r="D288" s="14">
        <f>IF(A288&gt;LastWeek-364,1,0)</f>
        <v/>
      </c>
      <c r="E288" s="14">
        <f>C288^2*D288</f>
        <v/>
      </c>
    </row>
    <row r="289">
      <c r="A289" s="26" t="n">
        <v>45845</v>
      </c>
      <c r="B289" s="14" t="inlineStr">
        <is>
          <t>NB-0003</t>
        </is>
      </c>
      <c r="C289" s="14" t="n">
        <v>118</v>
      </c>
      <c r="D289" s="14">
        <f>IF(A289&gt;LastWeek-364,1,0)</f>
        <v/>
      </c>
      <c r="E289" s="14">
        <f>C289^2*D289</f>
        <v/>
      </c>
    </row>
    <row r="290">
      <c r="A290" s="26" t="n">
        <v>45852</v>
      </c>
      <c r="B290" s="14" t="inlineStr">
        <is>
          <t>NB-0003</t>
        </is>
      </c>
      <c r="C290" s="14" t="n">
        <v>112</v>
      </c>
      <c r="D290" s="14">
        <f>IF(A290&gt;LastWeek-364,1,0)</f>
        <v/>
      </c>
      <c r="E290" s="14">
        <f>C290^2*D290</f>
        <v/>
      </c>
    </row>
    <row r="291">
      <c r="A291" s="26" t="n">
        <v>45859</v>
      </c>
      <c r="B291" s="14" t="inlineStr">
        <is>
          <t>NB-0003</t>
        </is>
      </c>
      <c r="C291" s="14" t="n">
        <v>158</v>
      </c>
      <c r="D291" s="14">
        <f>IF(A291&gt;LastWeek-364,1,0)</f>
        <v/>
      </c>
      <c r="E291" s="14">
        <f>C291^2*D291</f>
        <v/>
      </c>
    </row>
    <row r="292">
      <c r="A292" s="26" t="n">
        <v>45866</v>
      </c>
      <c r="B292" s="14" t="inlineStr">
        <is>
          <t>NB-0003</t>
        </is>
      </c>
      <c r="C292" s="14" t="n">
        <v>105</v>
      </c>
      <c r="D292" s="14">
        <f>IF(A292&gt;LastWeek-364,1,0)</f>
        <v/>
      </c>
      <c r="E292" s="14">
        <f>C292^2*D292</f>
        <v/>
      </c>
    </row>
    <row r="293">
      <c r="A293" s="26" t="n">
        <v>45873</v>
      </c>
      <c r="B293" s="14" t="inlineStr">
        <is>
          <t>NB-0003</t>
        </is>
      </c>
      <c r="C293" s="14" t="n">
        <v>102</v>
      </c>
      <c r="D293" s="14">
        <f>IF(A293&gt;LastWeek-364,1,0)</f>
        <v/>
      </c>
      <c r="E293" s="14">
        <f>C293^2*D293</f>
        <v/>
      </c>
    </row>
    <row r="294">
      <c r="A294" s="26" t="n">
        <v>45880</v>
      </c>
      <c r="B294" s="14" t="inlineStr">
        <is>
          <t>NB-0003</t>
        </is>
      </c>
      <c r="C294" s="14" t="n">
        <v>93</v>
      </c>
      <c r="D294" s="14">
        <f>IF(A294&gt;LastWeek-364,1,0)</f>
        <v/>
      </c>
      <c r="E294" s="14">
        <f>C294^2*D294</f>
        <v/>
      </c>
    </row>
    <row r="295">
      <c r="A295" s="26" t="n">
        <v>45887</v>
      </c>
      <c r="B295" s="14" t="inlineStr">
        <is>
          <t>NB-0003</t>
        </is>
      </c>
      <c r="C295" s="14" t="n">
        <v>88</v>
      </c>
      <c r="D295" s="14">
        <f>IF(A295&gt;LastWeek-364,1,0)</f>
        <v/>
      </c>
      <c r="E295" s="14">
        <f>C295^2*D295</f>
        <v/>
      </c>
    </row>
    <row r="296">
      <c r="A296" s="26" t="n">
        <v>45894</v>
      </c>
      <c r="B296" s="14" t="inlineStr">
        <is>
          <t>NB-0003</t>
        </is>
      </c>
      <c r="C296" s="14" t="n">
        <v>85</v>
      </c>
      <c r="D296" s="14">
        <f>IF(A296&gt;LastWeek-364,1,0)</f>
        <v/>
      </c>
      <c r="E296" s="14">
        <f>C296^2*D296</f>
        <v/>
      </c>
    </row>
    <row r="297">
      <c r="A297" s="26" t="n">
        <v>45901</v>
      </c>
      <c r="B297" s="14" t="inlineStr">
        <is>
          <t>NB-0003</t>
        </is>
      </c>
      <c r="C297" s="14" t="n">
        <v>100</v>
      </c>
      <c r="D297" s="14">
        <f>IF(A297&gt;LastWeek-364,1,0)</f>
        <v/>
      </c>
      <c r="E297" s="14">
        <f>C297^2*D297</f>
        <v/>
      </c>
    </row>
    <row r="298">
      <c r="A298" s="26" t="n">
        <v>45908</v>
      </c>
      <c r="B298" s="14" t="inlineStr">
        <is>
          <t>NB-0003</t>
        </is>
      </c>
      <c r="C298" s="14" t="n">
        <v>131</v>
      </c>
      <c r="D298" s="14">
        <f>IF(A298&gt;LastWeek-364,1,0)</f>
        <v/>
      </c>
      <c r="E298" s="14">
        <f>C298^2*D298</f>
        <v/>
      </c>
    </row>
    <row r="299">
      <c r="A299" s="26" t="n">
        <v>45915</v>
      </c>
      <c r="B299" s="14" t="inlineStr">
        <is>
          <t>NB-0003</t>
        </is>
      </c>
      <c r="C299" s="14" t="n">
        <v>151</v>
      </c>
      <c r="D299" s="14">
        <f>IF(A299&gt;LastWeek-364,1,0)</f>
        <v/>
      </c>
      <c r="E299" s="14">
        <f>C299^2*D299</f>
        <v/>
      </c>
    </row>
    <row r="300">
      <c r="A300" s="26" t="n">
        <v>45922</v>
      </c>
      <c r="B300" s="14" t="inlineStr">
        <is>
          <t>NB-0003</t>
        </is>
      </c>
      <c r="C300" s="14" t="n">
        <v>148</v>
      </c>
      <c r="D300" s="14">
        <f>IF(A300&gt;LastWeek-364,1,0)</f>
        <v/>
      </c>
      <c r="E300" s="14">
        <f>C300^2*D300</f>
        <v/>
      </c>
    </row>
    <row r="301">
      <c r="A301" s="26" t="n">
        <v>45929</v>
      </c>
      <c r="B301" s="14" t="inlineStr">
        <is>
          <t>NB-0003</t>
        </is>
      </c>
      <c r="C301" s="14" t="n">
        <v>124</v>
      </c>
      <c r="D301" s="14">
        <f>IF(A301&gt;LastWeek-364,1,0)</f>
        <v/>
      </c>
      <c r="E301" s="14">
        <f>C301^2*D301</f>
        <v/>
      </c>
    </row>
    <row r="302">
      <c r="A302" s="26" t="n">
        <v>45936</v>
      </c>
      <c r="B302" s="14" t="inlineStr">
        <is>
          <t>NB-0003</t>
        </is>
      </c>
      <c r="C302" s="14" t="n">
        <v>194</v>
      </c>
      <c r="D302" s="14">
        <f>IF(A302&gt;LastWeek-364,1,0)</f>
        <v/>
      </c>
      <c r="E302" s="14">
        <f>C302^2*D302</f>
        <v/>
      </c>
    </row>
    <row r="303">
      <c r="A303" s="26" t="n">
        <v>45943</v>
      </c>
      <c r="B303" s="14" t="inlineStr">
        <is>
          <t>NB-0003</t>
        </is>
      </c>
      <c r="C303" s="14" t="n">
        <v>196</v>
      </c>
      <c r="D303" s="14">
        <f>IF(A303&gt;LastWeek-364,1,0)</f>
        <v/>
      </c>
      <c r="E303" s="14">
        <f>C303^2*D303</f>
        <v/>
      </c>
    </row>
    <row r="304">
      <c r="A304" s="26" t="n">
        <v>45950</v>
      </c>
      <c r="B304" s="14" t="inlineStr">
        <is>
          <t>NB-0003</t>
        </is>
      </c>
      <c r="C304" s="14" t="n">
        <v>166</v>
      </c>
      <c r="D304" s="14">
        <f>IF(A304&gt;LastWeek-364,1,0)</f>
        <v/>
      </c>
      <c r="E304" s="14">
        <f>C304^2*D304</f>
        <v/>
      </c>
    </row>
    <row r="305">
      <c r="A305" s="26" t="n">
        <v>45957</v>
      </c>
      <c r="B305" s="14" t="inlineStr">
        <is>
          <t>NB-0003</t>
        </is>
      </c>
      <c r="C305" s="14" t="n">
        <v>151</v>
      </c>
      <c r="D305" s="14">
        <f>IF(A305&gt;LastWeek-364,1,0)</f>
        <v/>
      </c>
      <c r="E305" s="14">
        <f>C305^2*D305</f>
        <v/>
      </c>
    </row>
    <row r="306">
      <c r="A306" s="26" t="n">
        <v>45964</v>
      </c>
      <c r="B306" s="14" t="inlineStr">
        <is>
          <t>NB-0003</t>
        </is>
      </c>
      <c r="C306" s="14" t="n">
        <v>210</v>
      </c>
      <c r="D306" s="14">
        <f>IF(A306&gt;LastWeek-364,1,0)</f>
        <v/>
      </c>
      <c r="E306" s="14">
        <f>C306^2*D306</f>
        <v/>
      </c>
    </row>
    <row r="307">
      <c r="A307" s="26" t="n">
        <v>45971</v>
      </c>
      <c r="B307" s="14" t="inlineStr">
        <is>
          <t>NB-0003</t>
        </is>
      </c>
      <c r="C307" s="14" t="n">
        <v>200</v>
      </c>
      <c r="D307" s="14">
        <f>IF(A307&gt;LastWeek-364,1,0)</f>
        <v/>
      </c>
      <c r="E307" s="14">
        <f>C307^2*D307</f>
        <v/>
      </c>
    </row>
    <row r="308">
      <c r="A308" s="26" t="n">
        <v>45978</v>
      </c>
      <c r="B308" s="14" t="inlineStr">
        <is>
          <t>NB-0003</t>
        </is>
      </c>
      <c r="C308" s="14" t="n">
        <v>127</v>
      </c>
      <c r="D308" s="14">
        <f>IF(A308&gt;LastWeek-364,1,0)</f>
        <v/>
      </c>
      <c r="E308" s="14">
        <f>C308^2*D308</f>
        <v/>
      </c>
    </row>
    <row r="309">
      <c r="A309" s="26" t="n">
        <v>45985</v>
      </c>
      <c r="B309" s="14" t="inlineStr">
        <is>
          <t>NB-0003</t>
        </is>
      </c>
      <c r="C309" s="14" t="n">
        <v>199</v>
      </c>
      <c r="D309" s="14">
        <f>IF(A309&gt;LastWeek-364,1,0)</f>
        <v/>
      </c>
      <c r="E309" s="14">
        <f>C309^2*D309</f>
        <v/>
      </c>
    </row>
    <row r="310">
      <c r="A310" s="26" t="n">
        <v>45992</v>
      </c>
      <c r="B310" s="14" t="inlineStr">
        <is>
          <t>NB-0003</t>
        </is>
      </c>
      <c r="C310" s="14" t="n">
        <v>220</v>
      </c>
      <c r="D310" s="14">
        <f>IF(A310&gt;LastWeek-364,1,0)</f>
        <v/>
      </c>
      <c r="E310" s="14">
        <f>C310^2*D310</f>
        <v/>
      </c>
    </row>
    <row r="311">
      <c r="A311" s="26" t="n">
        <v>45999</v>
      </c>
      <c r="B311" s="14" t="inlineStr">
        <is>
          <t>NB-0003</t>
        </is>
      </c>
      <c r="C311" s="14" t="n">
        <v>164</v>
      </c>
      <c r="D311" s="14">
        <f>IF(A311&gt;LastWeek-364,1,0)</f>
        <v/>
      </c>
      <c r="E311" s="14">
        <f>C311^2*D311</f>
        <v/>
      </c>
    </row>
    <row r="312">
      <c r="A312" s="26" t="n">
        <v>46006</v>
      </c>
      <c r="B312" s="14" t="inlineStr">
        <is>
          <t>NB-0003</t>
        </is>
      </c>
      <c r="C312" s="14" t="n">
        <v>223</v>
      </c>
      <c r="D312" s="14">
        <f>IF(A312&gt;LastWeek-364,1,0)</f>
        <v/>
      </c>
      <c r="E312" s="14">
        <f>C312^2*D312</f>
        <v/>
      </c>
    </row>
    <row r="313">
      <c r="A313" s="26" t="n">
        <v>46013</v>
      </c>
      <c r="B313" s="14" t="inlineStr">
        <is>
          <t>NB-0003</t>
        </is>
      </c>
      <c r="C313" s="14" t="n">
        <v>139</v>
      </c>
      <c r="D313" s="14">
        <f>IF(A313&gt;LastWeek-364,1,0)</f>
        <v/>
      </c>
      <c r="E313" s="14">
        <f>C313^2*D313</f>
        <v/>
      </c>
    </row>
    <row r="314">
      <c r="A314" s="26" t="n">
        <v>45292</v>
      </c>
      <c r="B314" s="14" t="inlineStr">
        <is>
          <t>NB-0004</t>
        </is>
      </c>
      <c r="C314" s="14" t="n">
        <v>196</v>
      </c>
      <c r="D314" s="14">
        <f>IF(A314&gt;LastWeek-364,1,0)</f>
        <v/>
      </c>
      <c r="E314" s="14">
        <f>C314^2*D314</f>
        <v/>
      </c>
    </row>
    <row r="315">
      <c r="A315" s="26" t="n">
        <v>45299</v>
      </c>
      <c r="B315" s="14" t="inlineStr">
        <is>
          <t>NB-0004</t>
        </is>
      </c>
      <c r="C315" s="14" t="n">
        <v>193</v>
      </c>
      <c r="D315" s="14">
        <f>IF(A315&gt;LastWeek-364,1,0)</f>
        <v/>
      </c>
      <c r="E315" s="14">
        <f>C315^2*D315</f>
        <v/>
      </c>
    </row>
    <row r="316">
      <c r="A316" s="26" t="n">
        <v>45306</v>
      </c>
      <c r="B316" s="14" t="inlineStr">
        <is>
          <t>NB-0004</t>
        </is>
      </c>
      <c r="C316" s="14" t="n">
        <v>127</v>
      </c>
      <c r="D316" s="14">
        <f>IF(A316&gt;LastWeek-364,1,0)</f>
        <v/>
      </c>
      <c r="E316" s="14">
        <f>C316^2*D316</f>
        <v/>
      </c>
    </row>
    <row r="317">
      <c r="A317" s="26" t="n">
        <v>45313</v>
      </c>
      <c r="B317" s="14" t="inlineStr">
        <is>
          <t>NB-0004</t>
        </is>
      </c>
      <c r="C317" s="14" t="n">
        <v>153</v>
      </c>
      <c r="D317" s="14">
        <f>IF(A317&gt;LastWeek-364,1,0)</f>
        <v/>
      </c>
      <c r="E317" s="14">
        <f>C317^2*D317</f>
        <v/>
      </c>
    </row>
    <row r="318">
      <c r="A318" s="26" t="n">
        <v>45320</v>
      </c>
      <c r="B318" s="14" t="inlineStr">
        <is>
          <t>NB-0004</t>
        </is>
      </c>
      <c r="C318" s="14" t="n">
        <v>33</v>
      </c>
      <c r="D318" s="14">
        <f>IF(A318&gt;LastWeek-364,1,0)</f>
        <v/>
      </c>
      <c r="E318" s="14">
        <f>C318^2*D318</f>
        <v/>
      </c>
    </row>
    <row r="319">
      <c r="A319" s="26" t="n">
        <v>45327</v>
      </c>
      <c r="B319" s="14" t="inlineStr">
        <is>
          <t>NB-0004</t>
        </is>
      </c>
      <c r="C319" s="14" t="n">
        <v>85</v>
      </c>
      <c r="D319" s="14">
        <f>IF(A319&gt;LastWeek-364,1,0)</f>
        <v/>
      </c>
      <c r="E319" s="14">
        <f>C319^2*D319</f>
        <v/>
      </c>
    </row>
    <row r="320">
      <c r="A320" s="26" t="n">
        <v>45334</v>
      </c>
      <c r="B320" s="14" t="inlineStr">
        <is>
          <t>NB-0004</t>
        </is>
      </c>
      <c r="C320" s="14" t="n">
        <v>119</v>
      </c>
      <c r="D320" s="14">
        <f>IF(A320&gt;LastWeek-364,1,0)</f>
        <v/>
      </c>
      <c r="E320" s="14">
        <f>C320^2*D320</f>
        <v/>
      </c>
    </row>
    <row r="321">
      <c r="A321" s="26" t="n">
        <v>45341</v>
      </c>
      <c r="B321" s="14" t="inlineStr">
        <is>
          <t>NB-0004</t>
        </is>
      </c>
      <c r="C321" s="14" t="n">
        <v>85</v>
      </c>
      <c r="D321" s="14">
        <f>IF(A321&gt;LastWeek-364,1,0)</f>
        <v/>
      </c>
      <c r="E321" s="14">
        <f>C321^2*D321</f>
        <v/>
      </c>
    </row>
    <row r="322">
      <c r="A322" s="26" t="n">
        <v>45348</v>
      </c>
      <c r="B322" s="14" t="inlineStr">
        <is>
          <t>NB-0004</t>
        </is>
      </c>
      <c r="C322" s="14" t="n">
        <v>151</v>
      </c>
      <c r="D322" s="14">
        <f>IF(A322&gt;LastWeek-364,1,0)</f>
        <v/>
      </c>
      <c r="E322" s="14">
        <f>C322^2*D322</f>
        <v/>
      </c>
    </row>
    <row r="323">
      <c r="A323" s="26" t="n">
        <v>45355</v>
      </c>
      <c r="B323" s="14" t="inlineStr">
        <is>
          <t>NB-0004</t>
        </is>
      </c>
      <c r="C323" s="14" t="n">
        <v>194</v>
      </c>
      <c r="D323" s="14">
        <f>IF(A323&gt;LastWeek-364,1,0)</f>
        <v/>
      </c>
      <c r="E323" s="14">
        <f>C323^2*D323</f>
        <v/>
      </c>
    </row>
    <row r="324">
      <c r="A324" s="26" t="n">
        <v>45362</v>
      </c>
      <c r="B324" s="14" t="inlineStr">
        <is>
          <t>NB-0004</t>
        </is>
      </c>
      <c r="C324" s="14" t="n">
        <v>72</v>
      </c>
      <c r="D324" s="14">
        <f>IF(A324&gt;LastWeek-364,1,0)</f>
        <v/>
      </c>
      <c r="E324" s="14">
        <f>C324^2*D324</f>
        <v/>
      </c>
    </row>
    <row r="325">
      <c r="A325" s="26" t="n">
        <v>45369</v>
      </c>
      <c r="B325" s="14" t="inlineStr">
        <is>
          <t>NB-0004</t>
        </is>
      </c>
      <c r="C325" s="14" t="n">
        <v>81</v>
      </c>
      <c r="D325" s="14">
        <f>IF(A325&gt;LastWeek-364,1,0)</f>
        <v/>
      </c>
      <c r="E325" s="14">
        <f>C325^2*D325</f>
        <v/>
      </c>
    </row>
    <row r="326">
      <c r="A326" s="26" t="n">
        <v>45376</v>
      </c>
      <c r="B326" s="14" t="inlineStr">
        <is>
          <t>NB-0004</t>
        </is>
      </c>
      <c r="C326" s="14" t="n">
        <v>112</v>
      </c>
      <c r="D326" s="14">
        <f>IF(A326&gt;LastWeek-364,1,0)</f>
        <v/>
      </c>
      <c r="E326" s="14">
        <f>C326^2*D326</f>
        <v/>
      </c>
    </row>
    <row r="327">
      <c r="A327" s="26" t="n">
        <v>45383</v>
      </c>
      <c r="B327" s="14" t="inlineStr">
        <is>
          <t>NB-0004</t>
        </is>
      </c>
      <c r="C327" s="14" t="n">
        <v>150</v>
      </c>
      <c r="D327" s="14">
        <f>IF(A327&gt;LastWeek-364,1,0)</f>
        <v/>
      </c>
      <c r="E327" s="14">
        <f>C327^2*D327</f>
        <v/>
      </c>
    </row>
    <row r="328">
      <c r="A328" s="26" t="n">
        <v>45390</v>
      </c>
      <c r="B328" s="14" t="inlineStr">
        <is>
          <t>NB-0004</t>
        </is>
      </c>
      <c r="C328" s="14" t="n">
        <v>58</v>
      </c>
      <c r="D328" s="14">
        <f>IF(A328&gt;LastWeek-364,1,0)</f>
        <v/>
      </c>
      <c r="E328" s="14">
        <f>C328^2*D328</f>
        <v/>
      </c>
    </row>
    <row r="329">
      <c r="A329" s="26" t="n">
        <v>45397</v>
      </c>
      <c r="B329" s="14" t="inlineStr">
        <is>
          <t>NB-0004</t>
        </is>
      </c>
      <c r="C329" s="14" t="n">
        <v>96</v>
      </c>
      <c r="D329" s="14">
        <f>IF(A329&gt;LastWeek-364,1,0)</f>
        <v/>
      </c>
      <c r="E329" s="14">
        <f>C329^2*D329</f>
        <v/>
      </c>
    </row>
    <row r="330">
      <c r="A330" s="26" t="n">
        <v>45404</v>
      </c>
      <c r="B330" s="14" t="inlineStr">
        <is>
          <t>NB-0004</t>
        </is>
      </c>
      <c r="C330" s="14" t="n">
        <v>131</v>
      </c>
      <c r="D330" s="14">
        <f>IF(A330&gt;LastWeek-364,1,0)</f>
        <v/>
      </c>
      <c r="E330" s="14">
        <f>C330^2*D330</f>
        <v/>
      </c>
    </row>
    <row r="331">
      <c r="A331" s="26" t="n">
        <v>45411</v>
      </c>
      <c r="B331" s="14" t="inlineStr">
        <is>
          <t>NB-0004</t>
        </is>
      </c>
      <c r="C331" s="14" t="n">
        <v>38</v>
      </c>
      <c r="D331" s="14">
        <f>IF(A331&gt;LastWeek-364,1,0)</f>
        <v/>
      </c>
      <c r="E331" s="14">
        <f>C331^2*D331</f>
        <v/>
      </c>
    </row>
    <row r="332">
      <c r="A332" s="26" t="n">
        <v>45418</v>
      </c>
      <c r="B332" s="14" t="inlineStr">
        <is>
          <t>NB-0004</t>
        </is>
      </c>
      <c r="C332" s="14" t="n">
        <v>44</v>
      </c>
      <c r="D332" s="14">
        <f>IF(A332&gt;LastWeek-364,1,0)</f>
        <v/>
      </c>
      <c r="E332" s="14">
        <f>C332^2*D332</f>
        <v/>
      </c>
    </row>
    <row r="333">
      <c r="A333" s="26" t="n">
        <v>45425</v>
      </c>
      <c r="B333" s="14" t="inlineStr">
        <is>
          <t>NB-0004</t>
        </is>
      </c>
      <c r="C333" s="14" t="n">
        <v>60</v>
      </c>
      <c r="D333" s="14">
        <f>IF(A333&gt;LastWeek-364,1,0)</f>
        <v/>
      </c>
      <c r="E333" s="14">
        <f>C333^2*D333</f>
        <v/>
      </c>
    </row>
    <row r="334">
      <c r="A334" s="26" t="n">
        <v>45432</v>
      </c>
      <c r="B334" s="14" t="inlineStr">
        <is>
          <t>NB-0004</t>
        </is>
      </c>
      <c r="C334" s="14" t="n">
        <v>54</v>
      </c>
      <c r="D334" s="14">
        <f>IF(A334&gt;LastWeek-364,1,0)</f>
        <v/>
      </c>
      <c r="E334" s="14">
        <f>C334^2*D334</f>
        <v/>
      </c>
    </row>
    <row r="335">
      <c r="A335" s="26" t="n">
        <v>45439</v>
      </c>
      <c r="B335" s="14" t="inlineStr">
        <is>
          <t>NB-0004</t>
        </is>
      </c>
      <c r="C335" s="14" t="n">
        <v>76</v>
      </c>
      <c r="D335" s="14">
        <f>IF(A335&gt;LastWeek-364,1,0)</f>
        <v/>
      </c>
      <c r="E335" s="14">
        <f>C335^2*D335</f>
        <v/>
      </c>
    </row>
    <row r="336">
      <c r="A336" s="26" t="n">
        <v>45446</v>
      </c>
      <c r="B336" s="14" t="inlineStr">
        <is>
          <t>NB-0004</t>
        </is>
      </c>
      <c r="C336" s="14" t="n">
        <v>62</v>
      </c>
      <c r="D336" s="14">
        <f>IF(A336&gt;LastWeek-364,1,0)</f>
        <v/>
      </c>
      <c r="E336" s="14">
        <f>C336^2*D336</f>
        <v/>
      </c>
    </row>
    <row r="337">
      <c r="A337" s="26" t="n">
        <v>45453</v>
      </c>
      <c r="B337" s="14" t="inlineStr">
        <is>
          <t>NB-0004</t>
        </is>
      </c>
      <c r="C337" s="14" t="n">
        <v>24</v>
      </c>
      <c r="D337" s="14">
        <f>IF(A337&gt;LastWeek-364,1,0)</f>
        <v/>
      </c>
      <c r="E337" s="14">
        <f>C337^2*D337</f>
        <v/>
      </c>
    </row>
    <row r="338">
      <c r="A338" s="26" t="n">
        <v>45460</v>
      </c>
      <c r="B338" s="14" t="inlineStr">
        <is>
          <t>NB-0004</t>
        </is>
      </c>
      <c r="C338" s="14" t="n">
        <v>61</v>
      </c>
      <c r="D338" s="14">
        <f>IF(A338&gt;LastWeek-364,1,0)</f>
        <v/>
      </c>
      <c r="E338" s="14">
        <f>C338^2*D338</f>
        <v/>
      </c>
    </row>
    <row r="339">
      <c r="A339" s="26" t="n">
        <v>45467</v>
      </c>
      <c r="B339" s="14" t="inlineStr">
        <is>
          <t>NB-0004</t>
        </is>
      </c>
      <c r="C339" s="14" t="n">
        <v>42</v>
      </c>
      <c r="D339" s="14">
        <f>IF(A339&gt;LastWeek-364,1,0)</f>
        <v/>
      </c>
      <c r="E339" s="14">
        <f>C339^2*D339</f>
        <v/>
      </c>
    </row>
    <row r="340">
      <c r="A340" s="26" t="n">
        <v>45474</v>
      </c>
      <c r="B340" s="14" t="inlineStr">
        <is>
          <t>NB-0004</t>
        </is>
      </c>
      <c r="C340" s="14" t="n">
        <v>70</v>
      </c>
      <c r="D340" s="14">
        <f>IF(A340&gt;LastWeek-364,1,0)</f>
        <v/>
      </c>
      <c r="E340" s="14">
        <f>C340^2*D340</f>
        <v/>
      </c>
    </row>
    <row r="341">
      <c r="A341" s="26" t="n">
        <v>45481</v>
      </c>
      <c r="B341" s="14" t="inlineStr">
        <is>
          <t>NB-0004</t>
        </is>
      </c>
      <c r="C341" s="14" t="n">
        <v>40</v>
      </c>
      <c r="D341" s="14">
        <f>IF(A341&gt;LastWeek-364,1,0)</f>
        <v/>
      </c>
      <c r="E341" s="14">
        <f>C341^2*D341</f>
        <v/>
      </c>
    </row>
    <row r="342">
      <c r="A342" s="26" t="n">
        <v>45488</v>
      </c>
      <c r="B342" s="14" t="inlineStr">
        <is>
          <t>NB-0004</t>
        </is>
      </c>
      <c r="C342" s="14" t="n">
        <v>40</v>
      </c>
      <c r="D342" s="14">
        <f>IF(A342&gt;LastWeek-364,1,0)</f>
        <v/>
      </c>
      <c r="E342" s="14">
        <f>C342^2*D342</f>
        <v/>
      </c>
    </row>
    <row r="343">
      <c r="A343" s="26" t="n">
        <v>45495</v>
      </c>
      <c r="B343" s="14" t="inlineStr">
        <is>
          <t>NB-0004</t>
        </is>
      </c>
      <c r="C343" s="14" t="n">
        <v>59</v>
      </c>
      <c r="D343" s="14">
        <f>IF(A343&gt;LastWeek-364,1,0)</f>
        <v/>
      </c>
      <c r="E343" s="14">
        <f>C343^2*D343</f>
        <v/>
      </c>
    </row>
    <row r="344">
      <c r="A344" s="26" t="n">
        <v>45502</v>
      </c>
      <c r="B344" s="14" t="inlineStr">
        <is>
          <t>NB-0004</t>
        </is>
      </c>
      <c r="C344" s="14" t="n">
        <v>65</v>
      </c>
      <c r="D344" s="14">
        <f>IF(A344&gt;LastWeek-364,1,0)</f>
        <v/>
      </c>
      <c r="E344" s="14">
        <f>C344^2*D344</f>
        <v/>
      </c>
    </row>
    <row r="345">
      <c r="A345" s="26" t="n">
        <v>45509</v>
      </c>
      <c r="B345" s="14" t="inlineStr">
        <is>
          <t>NB-0004</t>
        </is>
      </c>
      <c r="C345" s="14" t="n">
        <v>62</v>
      </c>
      <c r="D345" s="14">
        <f>IF(A345&gt;LastWeek-364,1,0)</f>
        <v/>
      </c>
      <c r="E345" s="14">
        <f>C345^2*D345</f>
        <v/>
      </c>
    </row>
    <row r="346">
      <c r="A346" s="26" t="n">
        <v>45516</v>
      </c>
      <c r="B346" s="14" t="inlineStr">
        <is>
          <t>NB-0004</t>
        </is>
      </c>
      <c r="C346" s="14" t="n">
        <v>27</v>
      </c>
      <c r="D346" s="14">
        <f>IF(A346&gt;LastWeek-364,1,0)</f>
        <v/>
      </c>
      <c r="E346" s="14">
        <f>C346^2*D346</f>
        <v/>
      </c>
    </row>
    <row r="347">
      <c r="A347" s="26" t="n">
        <v>45523</v>
      </c>
      <c r="B347" s="14" t="inlineStr">
        <is>
          <t>NB-0004</t>
        </is>
      </c>
      <c r="C347" s="14" t="n">
        <v>71</v>
      </c>
      <c r="D347" s="14">
        <f>IF(A347&gt;LastWeek-364,1,0)</f>
        <v/>
      </c>
      <c r="E347" s="14">
        <f>C347^2*D347</f>
        <v/>
      </c>
    </row>
    <row r="348">
      <c r="A348" s="26" t="n">
        <v>45530</v>
      </c>
      <c r="B348" s="14" t="inlineStr">
        <is>
          <t>NB-0004</t>
        </is>
      </c>
      <c r="C348" s="14" t="n">
        <v>44</v>
      </c>
      <c r="D348" s="14">
        <f>IF(A348&gt;LastWeek-364,1,0)</f>
        <v/>
      </c>
      <c r="E348" s="14">
        <f>C348^2*D348</f>
        <v/>
      </c>
    </row>
    <row r="349">
      <c r="A349" s="26" t="n">
        <v>45537</v>
      </c>
      <c r="B349" s="14" t="inlineStr">
        <is>
          <t>NB-0004</t>
        </is>
      </c>
      <c r="C349" s="14" t="n">
        <v>74</v>
      </c>
      <c r="D349" s="14">
        <f>IF(A349&gt;LastWeek-364,1,0)</f>
        <v/>
      </c>
      <c r="E349" s="14">
        <f>C349^2*D349</f>
        <v/>
      </c>
    </row>
    <row r="350">
      <c r="A350" s="26" t="n">
        <v>45544</v>
      </c>
      <c r="B350" s="14" t="inlineStr">
        <is>
          <t>NB-0004</t>
        </is>
      </c>
      <c r="C350" s="14" t="n">
        <v>41</v>
      </c>
      <c r="D350" s="14">
        <f>IF(A350&gt;LastWeek-364,1,0)</f>
        <v/>
      </c>
      <c r="E350" s="14">
        <f>C350^2*D350</f>
        <v/>
      </c>
    </row>
    <row r="351">
      <c r="A351" s="26" t="n">
        <v>45551</v>
      </c>
      <c r="B351" s="14" t="inlineStr">
        <is>
          <t>NB-0004</t>
        </is>
      </c>
      <c r="C351" s="14" t="n">
        <v>89</v>
      </c>
      <c r="D351" s="14">
        <f>IF(A351&gt;LastWeek-364,1,0)</f>
        <v/>
      </c>
      <c r="E351" s="14">
        <f>C351^2*D351</f>
        <v/>
      </c>
    </row>
    <row r="352">
      <c r="A352" s="26" t="n">
        <v>45558</v>
      </c>
      <c r="B352" s="14" t="inlineStr">
        <is>
          <t>NB-0004</t>
        </is>
      </c>
      <c r="C352" s="14" t="n">
        <v>62</v>
      </c>
      <c r="D352" s="14">
        <f>IF(A352&gt;LastWeek-364,1,0)</f>
        <v/>
      </c>
      <c r="E352" s="14">
        <f>C352^2*D352</f>
        <v/>
      </c>
    </row>
    <row r="353">
      <c r="A353" s="26" t="n">
        <v>45565</v>
      </c>
      <c r="B353" s="14" t="inlineStr">
        <is>
          <t>NB-0004</t>
        </is>
      </c>
      <c r="C353" s="14" t="n">
        <v>53</v>
      </c>
      <c r="D353" s="14">
        <f>IF(A353&gt;LastWeek-364,1,0)</f>
        <v/>
      </c>
      <c r="E353" s="14">
        <f>C353^2*D353</f>
        <v/>
      </c>
    </row>
    <row r="354">
      <c r="A354" s="26" t="n">
        <v>45572</v>
      </c>
      <c r="B354" s="14" t="inlineStr">
        <is>
          <t>NB-0004</t>
        </is>
      </c>
      <c r="C354" s="14" t="n">
        <v>116</v>
      </c>
      <c r="D354" s="14">
        <f>IF(A354&gt;LastWeek-364,1,0)</f>
        <v/>
      </c>
      <c r="E354" s="14">
        <f>C354^2*D354</f>
        <v/>
      </c>
    </row>
    <row r="355">
      <c r="A355" s="26" t="n">
        <v>45579</v>
      </c>
      <c r="B355" s="14" t="inlineStr">
        <is>
          <t>NB-0004</t>
        </is>
      </c>
      <c r="C355" s="14" t="n">
        <v>107</v>
      </c>
      <c r="D355" s="14">
        <f>IF(A355&gt;LastWeek-364,1,0)</f>
        <v/>
      </c>
      <c r="E355" s="14">
        <f>C355^2*D355</f>
        <v/>
      </c>
    </row>
    <row r="356">
      <c r="A356" s="26" t="n">
        <v>45586</v>
      </c>
      <c r="B356" s="14" t="inlineStr">
        <is>
          <t>NB-0004</t>
        </is>
      </c>
      <c r="C356" s="14" t="n">
        <v>85</v>
      </c>
      <c r="D356" s="14">
        <f>IF(A356&gt;LastWeek-364,1,0)</f>
        <v/>
      </c>
      <c r="E356" s="14">
        <f>C356^2*D356</f>
        <v/>
      </c>
    </row>
    <row r="357">
      <c r="A357" s="26" t="n">
        <v>45593</v>
      </c>
      <c r="B357" s="14" t="inlineStr">
        <is>
          <t>NB-0004</t>
        </is>
      </c>
      <c r="C357" s="14" t="n">
        <v>161</v>
      </c>
      <c r="D357" s="14">
        <f>IF(A357&gt;LastWeek-364,1,0)</f>
        <v/>
      </c>
      <c r="E357" s="14">
        <f>C357^2*D357</f>
        <v/>
      </c>
    </row>
    <row r="358">
      <c r="A358" s="26" t="n">
        <v>45600</v>
      </c>
      <c r="B358" s="14" t="inlineStr">
        <is>
          <t>NB-0004</t>
        </is>
      </c>
      <c r="C358" s="14" t="n">
        <v>99</v>
      </c>
      <c r="D358" s="14">
        <f>IF(A358&gt;LastWeek-364,1,0)</f>
        <v/>
      </c>
      <c r="E358" s="14">
        <f>C358^2*D358</f>
        <v/>
      </c>
    </row>
    <row r="359">
      <c r="A359" s="26" t="n">
        <v>45607</v>
      </c>
      <c r="B359" s="14" t="inlineStr">
        <is>
          <t>NB-0004</t>
        </is>
      </c>
      <c r="C359" s="14" t="n">
        <v>121</v>
      </c>
      <c r="D359" s="14">
        <f>IF(A359&gt;LastWeek-364,1,0)</f>
        <v/>
      </c>
      <c r="E359" s="14">
        <f>C359^2*D359</f>
        <v/>
      </c>
    </row>
    <row r="360">
      <c r="A360" s="26" t="n">
        <v>45614</v>
      </c>
      <c r="B360" s="14" t="inlineStr">
        <is>
          <t>NB-0004</t>
        </is>
      </c>
      <c r="C360" s="14" t="n">
        <v>135</v>
      </c>
      <c r="D360" s="14">
        <f>IF(A360&gt;LastWeek-364,1,0)</f>
        <v/>
      </c>
      <c r="E360" s="14">
        <f>C360^2*D360</f>
        <v/>
      </c>
    </row>
    <row r="361">
      <c r="A361" s="26" t="n">
        <v>45621</v>
      </c>
      <c r="B361" s="14" t="inlineStr">
        <is>
          <t>NB-0004</t>
        </is>
      </c>
      <c r="C361" s="14" t="n">
        <v>103</v>
      </c>
      <c r="D361" s="14">
        <f>IF(A361&gt;LastWeek-364,1,0)</f>
        <v/>
      </c>
      <c r="E361" s="14">
        <f>C361^2*D361</f>
        <v/>
      </c>
    </row>
    <row r="362">
      <c r="A362" s="26" t="n">
        <v>45628</v>
      </c>
      <c r="B362" s="14" t="inlineStr">
        <is>
          <t>NB-0004</t>
        </is>
      </c>
      <c r="C362" s="14" t="n">
        <v>151</v>
      </c>
      <c r="D362" s="14">
        <f>IF(A362&gt;LastWeek-364,1,0)</f>
        <v/>
      </c>
      <c r="E362" s="14">
        <f>C362^2*D362</f>
        <v/>
      </c>
    </row>
    <row r="363">
      <c r="A363" s="26" t="n">
        <v>45635</v>
      </c>
      <c r="B363" s="14" t="inlineStr">
        <is>
          <t>NB-0004</t>
        </is>
      </c>
      <c r="C363" s="14" t="n">
        <v>112</v>
      </c>
      <c r="D363" s="14">
        <f>IF(A363&gt;LastWeek-364,1,0)</f>
        <v/>
      </c>
      <c r="E363" s="14">
        <f>C363^2*D363</f>
        <v/>
      </c>
    </row>
    <row r="364">
      <c r="A364" s="26" t="n">
        <v>45642</v>
      </c>
      <c r="B364" s="14" t="inlineStr">
        <is>
          <t>NB-0004</t>
        </is>
      </c>
      <c r="C364" s="14" t="n">
        <v>119</v>
      </c>
      <c r="D364" s="14">
        <f>IF(A364&gt;LastWeek-364,1,0)</f>
        <v/>
      </c>
      <c r="E364" s="14">
        <f>C364^2*D364</f>
        <v/>
      </c>
    </row>
    <row r="365">
      <c r="A365" s="26" t="n">
        <v>45649</v>
      </c>
      <c r="B365" s="14" t="inlineStr">
        <is>
          <t>NB-0004</t>
        </is>
      </c>
      <c r="C365" s="14" t="n">
        <v>197</v>
      </c>
      <c r="D365" s="14">
        <f>IF(A365&gt;LastWeek-364,1,0)</f>
        <v/>
      </c>
      <c r="E365" s="14">
        <f>C365^2*D365</f>
        <v/>
      </c>
    </row>
    <row r="366">
      <c r="A366" s="26" t="n">
        <v>45656</v>
      </c>
      <c r="B366" s="14" t="inlineStr">
        <is>
          <t>NB-0004</t>
        </is>
      </c>
      <c r="C366" s="14" t="n">
        <v>94</v>
      </c>
      <c r="D366" s="14">
        <f>IF(A366&gt;LastWeek-364,1,0)</f>
        <v/>
      </c>
      <c r="E366" s="14">
        <f>C366^2*D366</f>
        <v/>
      </c>
    </row>
    <row r="367">
      <c r="A367" s="26" t="n">
        <v>45663</v>
      </c>
      <c r="B367" s="14" t="inlineStr">
        <is>
          <t>NB-0004</t>
        </is>
      </c>
      <c r="C367" s="14" t="n">
        <v>34</v>
      </c>
      <c r="D367" s="14">
        <f>IF(A367&gt;LastWeek-364,1,0)</f>
        <v/>
      </c>
      <c r="E367" s="14">
        <f>C367^2*D367</f>
        <v/>
      </c>
    </row>
    <row r="368">
      <c r="A368" s="26" t="n">
        <v>45670</v>
      </c>
      <c r="B368" s="14" t="inlineStr">
        <is>
          <t>NB-0004</t>
        </is>
      </c>
      <c r="C368" s="14" t="n">
        <v>209</v>
      </c>
      <c r="D368" s="14">
        <f>IF(A368&gt;LastWeek-364,1,0)</f>
        <v/>
      </c>
      <c r="E368" s="14">
        <f>C368^2*D368</f>
        <v/>
      </c>
    </row>
    <row r="369">
      <c r="A369" s="26" t="n">
        <v>45677</v>
      </c>
      <c r="B369" s="14" t="inlineStr">
        <is>
          <t>NB-0004</t>
        </is>
      </c>
      <c r="C369" s="14" t="n">
        <v>249</v>
      </c>
      <c r="D369" s="14">
        <f>IF(A369&gt;LastWeek-364,1,0)</f>
        <v/>
      </c>
      <c r="E369" s="14">
        <f>C369^2*D369</f>
        <v/>
      </c>
    </row>
    <row r="370">
      <c r="A370" s="26" t="n">
        <v>45684</v>
      </c>
      <c r="B370" s="14" t="inlineStr">
        <is>
          <t>NB-0004</t>
        </is>
      </c>
      <c r="C370" s="14" t="n">
        <v>119</v>
      </c>
      <c r="D370" s="14">
        <f>IF(A370&gt;LastWeek-364,1,0)</f>
        <v/>
      </c>
      <c r="E370" s="14">
        <f>C370^2*D370</f>
        <v/>
      </c>
    </row>
    <row r="371">
      <c r="A371" s="26" t="n">
        <v>45691</v>
      </c>
      <c r="B371" s="14" t="inlineStr">
        <is>
          <t>NB-0004</t>
        </is>
      </c>
      <c r="C371" s="14" t="n">
        <v>53</v>
      </c>
      <c r="D371" s="14">
        <f>IF(A371&gt;LastWeek-364,1,0)</f>
        <v/>
      </c>
      <c r="E371" s="14">
        <f>C371^2*D371</f>
        <v/>
      </c>
    </row>
    <row r="372">
      <c r="A372" s="26" t="n">
        <v>45698</v>
      </c>
      <c r="B372" s="14" t="inlineStr">
        <is>
          <t>NB-0004</t>
        </is>
      </c>
      <c r="C372" s="14" t="n">
        <v>119</v>
      </c>
      <c r="D372" s="14">
        <f>IF(A372&gt;LastWeek-364,1,0)</f>
        <v/>
      </c>
      <c r="E372" s="14">
        <f>C372^2*D372</f>
        <v/>
      </c>
    </row>
    <row r="373">
      <c r="A373" s="26" t="n">
        <v>45705</v>
      </c>
      <c r="B373" s="14" t="inlineStr">
        <is>
          <t>NB-0004</t>
        </is>
      </c>
      <c r="C373" s="14" t="n">
        <v>117</v>
      </c>
      <c r="D373" s="14">
        <f>IF(A373&gt;LastWeek-364,1,0)</f>
        <v/>
      </c>
      <c r="E373" s="14">
        <f>C373^2*D373</f>
        <v/>
      </c>
    </row>
    <row r="374">
      <c r="A374" s="26" t="n">
        <v>45712</v>
      </c>
      <c r="B374" s="14" t="inlineStr">
        <is>
          <t>NB-0004</t>
        </is>
      </c>
      <c r="C374" s="14" t="n">
        <v>117</v>
      </c>
      <c r="D374" s="14">
        <f>IF(A374&gt;LastWeek-364,1,0)</f>
        <v/>
      </c>
      <c r="E374" s="14">
        <f>C374^2*D374</f>
        <v/>
      </c>
    </row>
    <row r="375">
      <c r="A375" s="26" t="n">
        <v>45719</v>
      </c>
      <c r="B375" s="14" t="inlineStr">
        <is>
          <t>NB-0004</t>
        </is>
      </c>
      <c r="C375" s="14" t="n">
        <v>78</v>
      </c>
      <c r="D375" s="14">
        <f>IF(A375&gt;LastWeek-364,1,0)</f>
        <v/>
      </c>
      <c r="E375" s="14">
        <f>C375^2*D375</f>
        <v/>
      </c>
    </row>
    <row r="376">
      <c r="A376" s="26" t="n">
        <v>45726</v>
      </c>
      <c r="B376" s="14" t="inlineStr">
        <is>
          <t>NB-0004</t>
        </is>
      </c>
      <c r="C376" s="14" t="n">
        <v>137</v>
      </c>
      <c r="D376" s="14">
        <f>IF(A376&gt;LastWeek-364,1,0)</f>
        <v/>
      </c>
      <c r="E376" s="14">
        <f>C376^2*D376</f>
        <v/>
      </c>
    </row>
    <row r="377">
      <c r="A377" s="26" t="n">
        <v>45733</v>
      </c>
      <c r="B377" s="14" t="inlineStr">
        <is>
          <t>NB-0004</t>
        </is>
      </c>
      <c r="C377" s="14" t="n">
        <v>129</v>
      </c>
      <c r="D377" s="14">
        <f>IF(A377&gt;LastWeek-364,1,0)</f>
        <v/>
      </c>
      <c r="E377" s="14">
        <f>C377^2*D377</f>
        <v/>
      </c>
    </row>
    <row r="378">
      <c r="A378" s="26" t="n">
        <v>45740</v>
      </c>
      <c r="B378" s="14" t="inlineStr">
        <is>
          <t>NB-0004</t>
        </is>
      </c>
      <c r="C378" s="14" t="n">
        <v>56</v>
      </c>
      <c r="D378" s="14">
        <f>IF(A378&gt;LastWeek-364,1,0)</f>
        <v/>
      </c>
      <c r="E378" s="14">
        <f>C378^2*D378</f>
        <v/>
      </c>
    </row>
    <row r="379">
      <c r="A379" s="26" t="n">
        <v>45747</v>
      </c>
      <c r="B379" s="14" t="inlineStr">
        <is>
          <t>NB-0004</t>
        </is>
      </c>
      <c r="C379" s="14" t="n">
        <v>122</v>
      </c>
      <c r="D379" s="14">
        <f>IF(A379&gt;LastWeek-364,1,0)</f>
        <v/>
      </c>
      <c r="E379" s="14">
        <f>C379^2*D379</f>
        <v/>
      </c>
    </row>
    <row r="380">
      <c r="A380" s="26" t="n">
        <v>45754</v>
      </c>
      <c r="B380" s="14" t="inlineStr">
        <is>
          <t>NB-0004</t>
        </is>
      </c>
      <c r="C380" s="14" t="n">
        <v>156</v>
      </c>
      <c r="D380" s="14">
        <f>IF(A380&gt;LastWeek-364,1,0)</f>
        <v/>
      </c>
      <c r="E380" s="14">
        <f>C380^2*D380</f>
        <v/>
      </c>
    </row>
    <row r="381">
      <c r="A381" s="26" t="n">
        <v>45761</v>
      </c>
      <c r="B381" s="14" t="inlineStr">
        <is>
          <t>NB-0004</t>
        </is>
      </c>
      <c r="C381" s="14" t="n">
        <v>94</v>
      </c>
      <c r="D381" s="14">
        <f>IF(A381&gt;LastWeek-364,1,0)</f>
        <v/>
      </c>
      <c r="E381" s="14">
        <f>C381^2*D381</f>
        <v/>
      </c>
    </row>
    <row r="382">
      <c r="A382" s="26" t="n">
        <v>45768</v>
      </c>
      <c r="B382" s="14" t="inlineStr">
        <is>
          <t>NB-0004</t>
        </is>
      </c>
      <c r="C382" s="14" t="n">
        <v>75</v>
      </c>
      <c r="D382" s="14">
        <f>IF(A382&gt;LastWeek-364,1,0)</f>
        <v/>
      </c>
      <c r="E382" s="14">
        <f>C382^2*D382</f>
        <v/>
      </c>
    </row>
    <row r="383">
      <c r="A383" s="26" t="n">
        <v>45775</v>
      </c>
      <c r="B383" s="14" t="inlineStr">
        <is>
          <t>NB-0004</t>
        </is>
      </c>
      <c r="C383" s="14" t="n">
        <v>75</v>
      </c>
      <c r="D383" s="14">
        <f>IF(A383&gt;LastWeek-364,1,0)</f>
        <v/>
      </c>
      <c r="E383" s="14">
        <f>C383^2*D383</f>
        <v/>
      </c>
    </row>
    <row r="384">
      <c r="A384" s="26" t="n">
        <v>45782</v>
      </c>
      <c r="B384" s="14" t="inlineStr">
        <is>
          <t>NB-0004</t>
        </is>
      </c>
      <c r="C384" s="14" t="n">
        <v>88</v>
      </c>
      <c r="D384" s="14">
        <f>IF(A384&gt;LastWeek-364,1,0)</f>
        <v/>
      </c>
      <c r="E384" s="14">
        <f>C384^2*D384</f>
        <v/>
      </c>
    </row>
    <row r="385">
      <c r="A385" s="26" t="n">
        <v>45789</v>
      </c>
      <c r="B385" s="14" t="inlineStr">
        <is>
          <t>NB-0004</t>
        </is>
      </c>
      <c r="C385" s="14" t="n">
        <v>32</v>
      </c>
      <c r="D385" s="14">
        <f>IF(A385&gt;LastWeek-364,1,0)</f>
        <v/>
      </c>
      <c r="E385" s="14">
        <f>C385^2*D385</f>
        <v/>
      </c>
    </row>
    <row r="386">
      <c r="A386" s="26" t="n">
        <v>45796</v>
      </c>
      <c r="B386" s="14" t="inlineStr">
        <is>
          <t>NB-0004</t>
        </is>
      </c>
      <c r="C386" s="14" t="n">
        <v>68</v>
      </c>
      <c r="D386" s="14">
        <f>IF(A386&gt;LastWeek-364,1,0)</f>
        <v/>
      </c>
      <c r="E386" s="14">
        <f>C386^2*D386</f>
        <v/>
      </c>
    </row>
    <row r="387">
      <c r="A387" s="26" t="n">
        <v>45803</v>
      </c>
      <c r="B387" s="14" t="inlineStr">
        <is>
          <t>NB-0004</t>
        </is>
      </c>
      <c r="C387" s="14" t="n">
        <v>54</v>
      </c>
      <c r="D387" s="14">
        <f>IF(A387&gt;LastWeek-364,1,0)</f>
        <v/>
      </c>
      <c r="E387" s="14">
        <f>C387^2*D387</f>
        <v/>
      </c>
    </row>
    <row r="388">
      <c r="A388" s="26" t="n">
        <v>45810</v>
      </c>
      <c r="B388" s="14" t="inlineStr">
        <is>
          <t>NB-0004</t>
        </is>
      </c>
      <c r="C388" s="14" t="n">
        <v>91</v>
      </c>
      <c r="D388" s="14">
        <f>IF(A388&gt;LastWeek-364,1,0)</f>
        <v/>
      </c>
      <c r="E388" s="14">
        <f>C388^2*D388</f>
        <v/>
      </c>
    </row>
    <row r="389">
      <c r="A389" s="26" t="n">
        <v>45817</v>
      </c>
      <c r="B389" s="14" t="inlineStr">
        <is>
          <t>NB-0004</t>
        </is>
      </c>
      <c r="C389" s="14" t="n">
        <v>52</v>
      </c>
      <c r="D389" s="14">
        <f>IF(A389&gt;LastWeek-364,1,0)</f>
        <v/>
      </c>
      <c r="E389" s="14">
        <f>C389^2*D389</f>
        <v/>
      </c>
    </row>
    <row r="390">
      <c r="A390" s="26" t="n">
        <v>45824</v>
      </c>
      <c r="B390" s="14" t="inlineStr">
        <is>
          <t>NB-0004</t>
        </is>
      </c>
      <c r="C390" s="14" t="n">
        <v>80</v>
      </c>
      <c r="D390" s="14">
        <f>IF(A390&gt;LastWeek-364,1,0)</f>
        <v/>
      </c>
      <c r="E390" s="14">
        <f>C390^2*D390</f>
        <v/>
      </c>
    </row>
    <row r="391">
      <c r="A391" s="26" t="n">
        <v>45831</v>
      </c>
      <c r="B391" s="14" t="inlineStr">
        <is>
          <t>NB-0004</t>
        </is>
      </c>
      <c r="C391" s="14" t="n">
        <v>33</v>
      </c>
      <c r="D391" s="14">
        <f>IF(A391&gt;LastWeek-364,1,0)</f>
        <v/>
      </c>
      <c r="E391" s="14">
        <f>C391^2*D391</f>
        <v/>
      </c>
    </row>
    <row r="392">
      <c r="A392" s="26" t="n">
        <v>45838</v>
      </c>
      <c r="B392" s="14" t="inlineStr">
        <is>
          <t>NB-0004</t>
        </is>
      </c>
      <c r="C392" s="14" t="n">
        <v>59</v>
      </c>
      <c r="D392" s="14">
        <f>IF(A392&gt;LastWeek-364,1,0)</f>
        <v/>
      </c>
      <c r="E392" s="14">
        <f>C392^2*D392</f>
        <v/>
      </c>
    </row>
    <row r="393">
      <c r="A393" s="26" t="n">
        <v>45845</v>
      </c>
      <c r="B393" s="14" t="inlineStr">
        <is>
          <t>NB-0004</t>
        </is>
      </c>
      <c r="C393" s="14" t="n">
        <v>55</v>
      </c>
      <c r="D393" s="14">
        <f>IF(A393&gt;LastWeek-364,1,0)</f>
        <v/>
      </c>
      <c r="E393" s="14">
        <f>C393^2*D393</f>
        <v/>
      </c>
    </row>
    <row r="394">
      <c r="A394" s="26" t="n">
        <v>45852</v>
      </c>
      <c r="B394" s="14" t="inlineStr">
        <is>
          <t>NB-0004</t>
        </is>
      </c>
      <c r="C394" s="14" t="n">
        <v>37</v>
      </c>
      <c r="D394" s="14">
        <f>IF(A394&gt;LastWeek-364,1,0)</f>
        <v/>
      </c>
      <c r="E394" s="14">
        <f>C394^2*D394</f>
        <v/>
      </c>
    </row>
    <row r="395">
      <c r="A395" s="26" t="n">
        <v>45859</v>
      </c>
      <c r="B395" s="14" t="inlineStr">
        <is>
          <t>NB-0004</t>
        </is>
      </c>
      <c r="C395" s="14" t="n">
        <v>54</v>
      </c>
      <c r="D395" s="14">
        <f>IF(A395&gt;LastWeek-364,1,0)</f>
        <v/>
      </c>
      <c r="E395" s="14">
        <f>C395^2*D395</f>
        <v/>
      </c>
    </row>
    <row r="396">
      <c r="A396" s="26" t="n">
        <v>45866</v>
      </c>
      <c r="B396" s="14" t="inlineStr">
        <is>
          <t>NB-0004</t>
        </is>
      </c>
      <c r="C396" s="14" t="n">
        <v>73</v>
      </c>
      <c r="D396" s="14">
        <f>IF(A396&gt;LastWeek-364,1,0)</f>
        <v/>
      </c>
      <c r="E396" s="14">
        <f>C396^2*D396</f>
        <v/>
      </c>
    </row>
    <row r="397">
      <c r="A397" s="26" t="n">
        <v>45873</v>
      </c>
      <c r="B397" s="14" t="inlineStr">
        <is>
          <t>NB-0004</t>
        </is>
      </c>
      <c r="C397" s="14" t="n">
        <v>49</v>
      </c>
      <c r="D397" s="14">
        <f>IF(A397&gt;LastWeek-364,1,0)</f>
        <v/>
      </c>
      <c r="E397" s="14">
        <f>C397^2*D397</f>
        <v/>
      </c>
    </row>
    <row r="398">
      <c r="A398" s="26" t="n">
        <v>45880</v>
      </c>
      <c r="B398" s="14" t="inlineStr">
        <is>
          <t>NB-0004</t>
        </is>
      </c>
      <c r="C398" s="14" t="n">
        <v>27</v>
      </c>
      <c r="D398" s="14">
        <f>IF(A398&gt;LastWeek-364,1,0)</f>
        <v/>
      </c>
      <c r="E398" s="14">
        <f>C398^2*D398</f>
        <v/>
      </c>
    </row>
    <row r="399">
      <c r="A399" s="26" t="n">
        <v>45887</v>
      </c>
      <c r="B399" s="14" t="inlineStr">
        <is>
          <t>NB-0004</t>
        </is>
      </c>
      <c r="C399" s="14" t="n">
        <v>61</v>
      </c>
      <c r="D399" s="14">
        <f>IF(A399&gt;LastWeek-364,1,0)</f>
        <v/>
      </c>
      <c r="E399" s="14">
        <f>C399^2*D399</f>
        <v/>
      </c>
    </row>
    <row r="400">
      <c r="A400" s="26" t="n">
        <v>45894</v>
      </c>
      <c r="B400" s="14" t="inlineStr">
        <is>
          <t>NB-0004</t>
        </is>
      </c>
      <c r="C400" s="14" t="n">
        <v>47</v>
      </c>
      <c r="D400" s="14">
        <f>IF(A400&gt;LastWeek-364,1,0)</f>
        <v/>
      </c>
      <c r="E400" s="14">
        <f>C400^2*D400</f>
        <v/>
      </c>
    </row>
    <row r="401">
      <c r="A401" s="26" t="n">
        <v>45901</v>
      </c>
      <c r="B401" s="14" t="inlineStr">
        <is>
          <t>NB-0004</t>
        </is>
      </c>
      <c r="C401" s="14" t="n">
        <v>62</v>
      </c>
      <c r="D401" s="14">
        <f>IF(A401&gt;LastWeek-364,1,0)</f>
        <v/>
      </c>
      <c r="E401" s="14">
        <f>C401^2*D401</f>
        <v/>
      </c>
    </row>
    <row r="402">
      <c r="A402" s="26" t="n">
        <v>45908</v>
      </c>
      <c r="B402" s="14" t="inlineStr">
        <is>
          <t>NB-0004</t>
        </is>
      </c>
      <c r="C402" s="14" t="n">
        <v>72</v>
      </c>
      <c r="D402" s="14">
        <f>IF(A402&gt;LastWeek-364,1,0)</f>
        <v/>
      </c>
      <c r="E402" s="14">
        <f>C402^2*D402</f>
        <v/>
      </c>
    </row>
    <row r="403">
      <c r="A403" s="26" t="n">
        <v>45915</v>
      </c>
      <c r="B403" s="14" t="inlineStr">
        <is>
          <t>NB-0004</t>
        </is>
      </c>
      <c r="C403" s="14" t="n">
        <v>37</v>
      </c>
      <c r="D403" s="14">
        <f>IF(A403&gt;LastWeek-364,1,0)</f>
        <v/>
      </c>
      <c r="E403" s="14">
        <f>C403^2*D403</f>
        <v/>
      </c>
    </row>
    <row r="404">
      <c r="A404" s="26" t="n">
        <v>45922</v>
      </c>
      <c r="B404" s="14" t="inlineStr">
        <is>
          <t>NB-0004</t>
        </is>
      </c>
      <c r="C404" s="14" t="n">
        <v>42</v>
      </c>
      <c r="D404" s="14">
        <f>IF(A404&gt;LastWeek-364,1,0)</f>
        <v/>
      </c>
      <c r="E404" s="14">
        <f>C404^2*D404</f>
        <v/>
      </c>
    </row>
    <row r="405">
      <c r="A405" s="26" t="n">
        <v>45929</v>
      </c>
      <c r="B405" s="14" t="inlineStr">
        <is>
          <t>NB-0004</t>
        </is>
      </c>
      <c r="C405" s="14" t="n">
        <v>103</v>
      </c>
      <c r="D405" s="14">
        <f>IF(A405&gt;LastWeek-364,1,0)</f>
        <v/>
      </c>
      <c r="E405" s="14">
        <f>C405^2*D405</f>
        <v/>
      </c>
    </row>
    <row r="406">
      <c r="A406" s="26" t="n">
        <v>45936</v>
      </c>
      <c r="B406" s="14" t="inlineStr">
        <is>
          <t>NB-0004</t>
        </is>
      </c>
      <c r="C406" s="14" t="n">
        <v>79</v>
      </c>
      <c r="D406" s="14">
        <f>IF(A406&gt;LastWeek-364,1,0)</f>
        <v/>
      </c>
      <c r="E406" s="14">
        <f>C406^2*D406</f>
        <v/>
      </c>
    </row>
    <row r="407">
      <c r="A407" s="26" t="n">
        <v>45943</v>
      </c>
      <c r="B407" s="14" t="inlineStr">
        <is>
          <t>NB-0004</t>
        </is>
      </c>
      <c r="C407" s="14" t="n">
        <v>20</v>
      </c>
      <c r="D407" s="14">
        <f>IF(A407&gt;LastWeek-364,1,0)</f>
        <v/>
      </c>
      <c r="E407" s="14">
        <f>C407^2*D407</f>
        <v/>
      </c>
    </row>
    <row r="408">
      <c r="A408" s="26" t="n">
        <v>45950</v>
      </c>
      <c r="B408" s="14" t="inlineStr">
        <is>
          <t>NB-0004</t>
        </is>
      </c>
      <c r="C408" s="14" t="n">
        <v>132</v>
      </c>
      <c r="D408" s="14">
        <f>IF(A408&gt;LastWeek-364,1,0)</f>
        <v/>
      </c>
      <c r="E408" s="14">
        <f>C408^2*D408</f>
        <v/>
      </c>
    </row>
    <row r="409">
      <c r="A409" s="26" t="n">
        <v>45957</v>
      </c>
      <c r="B409" s="14" t="inlineStr">
        <is>
          <t>NB-0004</t>
        </is>
      </c>
      <c r="C409" s="14" t="n">
        <v>121</v>
      </c>
      <c r="D409" s="14">
        <f>IF(A409&gt;LastWeek-364,1,0)</f>
        <v/>
      </c>
      <c r="E409" s="14">
        <f>C409^2*D409</f>
        <v/>
      </c>
    </row>
    <row r="410">
      <c r="A410" s="26" t="n">
        <v>45964</v>
      </c>
      <c r="B410" s="14" t="inlineStr">
        <is>
          <t>NB-0004</t>
        </is>
      </c>
      <c r="C410" s="14" t="n">
        <v>90</v>
      </c>
      <c r="D410" s="14">
        <f>IF(A410&gt;LastWeek-364,1,0)</f>
        <v/>
      </c>
      <c r="E410" s="14">
        <f>C410^2*D410</f>
        <v/>
      </c>
    </row>
    <row r="411">
      <c r="A411" s="26" t="n">
        <v>45971</v>
      </c>
      <c r="B411" s="14" t="inlineStr">
        <is>
          <t>NB-0004</t>
        </is>
      </c>
      <c r="C411" s="14" t="n">
        <v>71</v>
      </c>
      <c r="D411" s="14">
        <f>IF(A411&gt;LastWeek-364,1,0)</f>
        <v/>
      </c>
      <c r="E411" s="14">
        <f>C411^2*D411</f>
        <v/>
      </c>
    </row>
    <row r="412">
      <c r="A412" s="26" t="n">
        <v>45978</v>
      </c>
      <c r="B412" s="14" t="inlineStr">
        <is>
          <t>NB-0004</t>
        </is>
      </c>
      <c r="C412" s="14" t="n">
        <v>158</v>
      </c>
      <c r="D412" s="14">
        <f>IF(A412&gt;LastWeek-364,1,0)</f>
        <v/>
      </c>
      <c r="E412" s="14">
        <f>C412^2*D412</f>
        <v/>
      </c>
    </row>
    <row r="413">
      <c r="A413" s="26" t="n">
        <v>45985</v>
      </c>
      <c r="B413" s="14" t="inlineStr">
        <is>
          <t>NB-0004</t>
        </is>
      </c>
      <c r="C413" s="14" t="n">
        <v>143</v>
      </c>
      <c r="D413" s="14">
        <f>IF(A413&gt;LastWeek-364,1,0)</f>
        <v/>
      </c>
      <c r="E413" s="14">
        <f>C413^2*D413</f>
        <v/>
      </c>
    </row>
    <row r="414">
      <c r="A414" s="26" t="n">
        <v>45992</v>
      </c>
      <c r="B414" s="14" t="inlineStr">
        <is>
          <t>NB-0004</t>
        </is>
      </c>
      <c r="C414" s="14" t="n">
        <v>231</v>
      </c>
      <c r="D414" s="14">
        <f>IF(A414&gt;LastWeek-364,1,0)</f>
        <v/>
      </c>
      <c r="E414" s="14">
        <f>C414^2*D414</f>
        <v/>
      </c>
    </row>
    <row r="415">
      <c r="A415" s="26" t="n">
        <v>45999</v>
      </c>
      <c r="B415" s="14" t="inlineStr">
        <is>
          <t>NB-0004</t>
        </is>
      </c>
      <c r="C415" s="14" t="n">
        <v>153</v>
      </c>
      <c r="D415" s="14">
        <f>IF(A415&gt;LastWeek-364,1,0)</f>
        <v/>
      </c>
      <c r="E415" s="14">
        <f>C415^2*D415</f>
        <v/>
      </c>
    </row>
    <row r="416">
      <c r="A416" s="26" t="n">
        <v>46006</v>
      </c>
      <c r="B416" s="14" t="inlineStr">
        <is>
          <t>NB-0004</t>
        </is>
      </c>
      <c r="C416" s="14" t="n">
        <v>154</v>
      </c>
      <c r="D416" s="14">
        <f>IF(A416&gt;LastWeek-364,1,0)</f>
        <v/>
      </c>
      <c r="E416" s="14">
        <f>C416^2*D416</f>
        <v/>
      </c>
    </row>
    <row r="417">
      <c r="A417" s="26" t="n">
        <v>46013</v>
      </c>
      <c r="B417" s="14" t="inlineStr">
        <is>
          <t>NB-0004</t>
        </is>
      </c>
      <c r="C417" s="14" t="n">
        <v>132</v>
      </c>
      <c r="D417" s="14">
        <f>IF(A417&gt;LastWeek-364,1,0)</f>
        <v/>
      </c>
      <c r="E417" s="14">
        <f>C417^2*D417</f>
        <v/>
      </c>
    </row>
    <row r="418">
      <c r="A418" s="26" t="n">
        <v>45292</v>
      </c>
      <c r="B418" s="14" t="inlineStr">
        <is>
          <t>NB-0005</t>
        </is>
      </c>
      <c r="C418" s="14" t="n">
        <v>27</v>
      </c>
      <c r="D418" s="14">
        <f>IF(A418&gt;LastWeek-364,1,0)</f>
        <v/>
      </c>
      <c r="E418" s="14">
        <f>C418^2*D418</f>
        <v/>
      </c>
    </row>
    <row r="419">
      <c r="A419" s="26" t="n">
        <v>45299</v>
      </c>
      <c r="B419" s="14" t="inlineStr">
        <is>
          <t>NB-0005</t>
        </is>
      </c>
      <c r="C419" s="14" t="n">
        <v>26</v>
      </c>
      <c r="D419" s="14">
        <f>IF(A419&gt;LastWeek-364,1,0)</f>
        <v/>
      </c>
      <c r="E419" s="14">
        <f>C419^2*D419</f>
        <v/>
      </c>
    </row>
    <row r="420">
      <c r="A420" s="26" t="n">
        <v>45306</v>
      </c>
      <c r="B420" s="14" t="inlineStr">
        <is>
          <t>NB-0005</t>
        </is>
      </c>
      <c r="C420" s="14" t="n">
        <v>29</v>
      </c>
      <c r="D420" s="14">
        <f>IF(A420&gt;LastWeek-364,1,0)</f>
        <v/>
      </c>
      <c r="E420" s="14">
        <f>C420^2*D420</f>
        <v/>
      </c>
    </row>
    <row r="421">
      <c r="A421" s="26" t="n">
        <v>45313</v>
      </c>
      <c r="B421" s="14" t="inlineStr">
        <is>
          <t>NB-0005</t>
        </is>
      </c>
      <c r="C421" s="14" t="n">
        <v>22</v>
      </c>
      <c r="D421" s="14">
        <f>IF(A421&gt;LastWeek-364,1,0)</f>
        <v/>
      </c>
      <c r="E421" s="14">
        <f>C421^2*D421</f>
        <v/>
      </c>
    </row>
    <row r="422">
      <c r="A422" s="26" t="n">
        <v>45320</v>
      </c>
      <c r="B422" s="14" t="inlineStr">
        <is>
          <t>NB-0005</t>
        </is>
      </c>
      <c r="C422" s="14" t="n">
        <v>22</v>
      </c>
      <c r="D422" s="14">
        <f>IF(A422&gt;LastWeek-364,1,0)</f>
        <v/>
      </c>
      <c r="E422" s="14">
        <f>C422^2*D422</f>
        <v/>
      </c>
    </row>
    <row r="423">
      <c r="A423" s="26" t="n">
        <v>45327</v>
      </c>
      <c r="B423" s="14" t="inlineStr">
        <is>
          <t>NB-0005</t>
        </is>
      </c>
      <c r="C423" s="14" t="n">
        <v>22</v>
      </c>
      <c r="D423" s="14">
        <f>IF(A423&gt;LastWeek-364,1,0)</f>
        <v/>
      </c>
      <c r="E423" s="14">
        <f>C423^2*D423</f>
        <v/>
      </c>
    </row>
    <row r="424">
      <c r="A424" s="26" t="n">
        <v>45334</v>
      </c>
      <c r="B424" s="14" t="inlineStr">
        <is>
          <t>NB-0005</t>
        </is>
      </c>
      <c r="C424" s="14" t="n">
        <v>26</v>
      </c>
      <c r="D424" s="14">
        <f>IF(A424&gt;LastWeek-364,1,0)</f>
        <v/>
      </c>
      <c r="E424" s="14">
        <f>C424^2*D424</f>
        <v/>
      </c>
    </row>
    <row r="425">
      <c r="A425" s="26" t="n">
        <v>45341</v>
      </c>
      <c r="B425" s="14" t="inlineStr">
        <is>
          <t>NB-0005</t>
        </is>
      </c>
      <c r="C425" s="14" t="n">
        <v>28</v>
      </c>
      <c r="D425" s="14">
        <f>IF(A425&gt;LastWeek-364,1,0)</f>
        <v/>
      </c>
      <c r="E425" s="14">
        <f>C425^2*D425</f>
        <v/>
      </c>
    </row>
    <row r="426">
      <c r="A426" s="26" t="n">
        <v>45348</v>
      </c>
      <c r="B426" s="14" t="inlineStr">
        <is>
          <t>NB-0005</t>
        </is>
      </c>
      <c r="C426" s="14" t="n">
        <v>21</v>
      </c>
      <c r="D426" s="14">
        <f>IF(A426&gt;LastWeek-364,1,0)</f>
        <v/>
      </c>
      <c r="E426" s="14">
        <f>C426^2*D426</f>
        <v/>
      </c>
    </row>
    <row r="427">
      <c r="A427" s="26" t="n">
        <v>45355</v>
      </c>
      <c r="B427" s="14" t="inlineStr">
        <is>
          <t>NB-0005</t>
        </is>
      </c>
      <c r="C427" s="14" t="n">
        <v>20</v>
      </c>
      <c r="D427" s="14">
        <f>IF(A427&gt;LastWeek-364,1,0)</f>
        <v/>
      </c>
      <c r="E427" s="14">
        <f>C427^2*D427</f>
        <v/>
      </c>
    </row>
    <row r="428">
      <c r="A428" s="26" t="n">
        <v>45362</v>
      </c>
      <c r="B428" s="14" t="inlineStr">
        <is>
          <t>NB-0005</t>
        </is>
      </c>
      <c r="C428" s="14" t="n">
        <v>22</v>
      </c>
      <c r="D428" s="14">
        <f>IF(A428&gt;LastWeek-364,1,0)</f>
        <v/>
      </c>
      <c r="E428" s="14">
        <f>C428^2*D428</f>
        <v/>
      </c>
    </row>
    <row r="429">
      <c r="A429" s="26" t="n">
        <v>45369</v>
      </c>
      <c r="B429" s="14" t="inlineStr">
        <is>
          <t>NB-0005</t>
        </is>
      </c>
      <c r="C429" s="14" t="n">
        <v>19</v>
      </c>
      <c r="D429" s="14">
        <f>IF(A429&gt;LastWeek-364,1,0)</f>
        <v/>
      </c>
      <c r="E429" s="14">
        <f>C429^2*D429</f>
        <v/>
      </c>
    </row>
    <row r="430">
      <c r="A430" s="26" t="n">
        <v>45376</v>
      </c>
      <c r="B430" s="14" t="inlineStr">
        <is>
          <t>NB-0005</t>
        </is>
      </c>
      <c r="C430" s="14" t="n">
        <v>22</v>
      </c>
      <c r="D430" s="14">
        <f>IF(A430&gt;LastWeek-364,1,0)</f>
        <v/>
      </c>
      <c r="E430" s="14">
        <f>C430^2*D430</f>
        <v/>
      </c>
    </row>
    <row r="431">
      <c r="A431" s="26" t="n">
        <v>45383</v>
      </c>
      <c r="B431" s="14" t="inlineStr">
        <is>
          <t>NB-0005</t>
        </is>
      </c>
      <c r="C431" s="14" t="n">
        <v>12</v>
      </c>
      <c r="D431" s="14">
        <f>IF(A431&gt;LastWeek-364,1,0)</f>
        <v/>
      </c>
      <c r="E431" s="14">
        <f>C431^2*D431</f>
        <v/>
      </c>
    </row>
    <row r="432">
      <c r="A432" s="26" t="n">
        <v>45390</v>
      </c>
      <c r="B432" s="14" t="inlineStr">
        <is>
          <t>NB-0005</t>
        </is>
      </c>
      <c r="C432" s="14" t="n">
        <v>15</v>
      </c>
      <c r="D432" s="14">
        <f>IF(A432&gt;LastWeek-364,1,0)</f>
        <v/>
      </c>
      <c r="E432" s="14">
        <f>C432^2*D432</f>
        <v/>
      </c>
    </row>
    <row r="433">
      <c r="A433" s="26" t="n">
        <v>45397</v>
      </c>
      <c r="B433" s="14" t="inlineStr">
        <is>
          <t>NB-0005</t>
        </is>
      </c>
      <c r="C433" s="14" t="n">
        <v>15</v>
      </c>
      <c r="D433" s="14">
        <f>IF(A433&gt;LastWeek-364,1,0)</f>
        <v/>
      </c>
      <c r="E433" s="14">
        <f>C433^2*D433</f>
        <v/>
      </c>
    </row>
    <row r="434">
      <c r="A434" s="26" t="n">
        <v>45404</v>
      </c>
      <c r="B434" s="14" t="inlineStr">
        <is>
          <t>NB-0005</t>
        </is>
      </c>
      <c r="C434" s="14" t="n">
        <v>10</v>
      </c>
      <c r="D434" s="14">
        <f>IF(A434&gt;LastWeek-364,1,0)</f>
        <v/>
      </c>
      <c r="E434" s="14">
        <f>C434^2*D434</f>
        <v/>
      </c>
    </row>
    <row r="435">
      <c r="A435" s="26" t="n">
        <v>45411</v>
      </c>
      <c r="B435" s="14" t="inlineStr">
        <is>
          <t>NB-0005</t>
        </is>
      </c>
      <c r="C435" s="14" t="n">
        <v>13</v>
      </c>
      <c r="D435" s="14">
        <f>IF(A435&gt;LastWeek-364,1,0)</f>
        <v/>
      </c>
      <c r="E435" s="14">
        <f>C435^2*D435</f>
        <v/>
      </c>
    </row>
    <row r="436">
      <c r="A436" s="26" t="n">
        <v>45418</v>
      </c>
      <c r="B436" s="14" t="inlineStr">
        <is>
          <t>NB-0005</t>
        </is>
      </c>
      <c r="C436" s="14" t="n">
        <v>13</v>
      </c>
      <c r="D436" s="14">
        <f>IF(A436&gt;LastWeek-364,1,0)</f>
        <v/>
      </c>
      <c r="E436" s="14">
        <f>C436^2*D436</f>
        <v/>
      </c>
    </row>
    <row r="437">
      <c r="A437" s="26" t="n">
        <v>45425</v>
      </c>
      <c r="B437" s="14" t="inlineStr">
        <is>
          <t>NB-0005</t>
        </is>
      </c>
      <c r="C437" s="14" t="n">
        <v>13</v>
      </c>
      <c r="D437" s="14">
        <f>IF(A437&gt;LastWeek-364,1,0)</f>
        <v/>
      </c>
      <c r="E437" s="14">
        <f>C437^2*D437</f>
        <v/>
      </c>
    </row>
    <row r="438">
      <c r="A438" s="26" t="n">
        <v>45432</v>
      </c>
      <c r="B438" s="14" t="inlineStr">
        <is>
          <t>NB-0005</t>
        </is>
      </c>
      <c r="C438" s="14" t="n">
        <v>15</v>
      </c>
      <c r="D438" s="14">
        <f>IF(A438&gt;LastWeek-364,1,0)</f>
        <v/>
      </c>
      <c r="E438" s="14">
        <f>C438^2*D438</f>
        <v/>
      </c>
    </row>
    <row r="439">
      <c r="A439" s="26" t="n">
        <v>45439</v>
      </c>
      <c r="B439" s="14" t="inlineStr">
        <is>
          <t>NB-0005</t>
        </is>
      </c>
      <c r="C439" s="14" t="n">
        <v>12</v>
      </c>
      <c r="D439" s="14">
        <f>IF(A439&gt;LastWeek-364,1,0)</f>
        <v/>
      </c>
      <c r="E439" s="14">
        <f>C439^2*D439</f>
        <v/>
      </c>
    </row>
    <row r="440">
      <c r="A440" s="26" t="n">
        <v>45446</v>
      </c>
      <c r="B440" s="14" t="inlineStr">
        <is>
          <t>NB-0005</t>
        </is>
      </c>
      <c r="C440" s="14" t="n">
        <v>10</v>
      </c>
      <c r="D440" s="14">
        <f>IF(A440&gt;LastWeek-364,1,0)</f>
        <v/>
      </c>
      <c r="E440" s="14">
        <f>C440^2*D440</f>
        <v/>
      </c>
    </row>
    <row r="441">
      <c r="A441" s="26" t="n">
        <v>45453</v>
      </c>
      <c r="B441" s="14" t="inlineStr">
        <is>
          <t>NB-0005</t>
        </is>
      </c>
      <c r="C441" s="14" t="n">
        <v>12</v>
      </c>
      <c r="D441" s="14">
        <f>IF(A441&gt;LastWeek-364,1,0)</f>
        <v/>
      </c>
      <c r="E441" s="14">
        <f>C441^2*D441</f>
        <v/>
      </c>
    </row>
    <row r="442">
      <c r="A442" s="26" t="n">
        <v>45460</v>
      </c>
      <c r="B442" s="14" t="inlineStr">
        <is>
          <t>NB-0005</t>
        </is>
      </c>
      <c r="C442" s="14" t="n">
        <v>13</v>
      </c>
      <c r="D442" s="14">
        <f>IF(A442&gt;LastWeek-364,1,0)</f>
        <v/>
      </c>
      <c r="E442" s="14">
        <f>C442^2*D442</f>
        <v/>
      </c>
    </row>
    <row r="443">
      <c r="A443" s="26" t="n">
        <v>45467</v>
      </c>
      <c r="B443" s="14" t="inlineStr">
        <is>
          <t>NB-0005</t>
        </is>
      </c>
      <c r="C443" s="14" t="n">
        <v>10</v>
      </c>
      <c r="D443" s="14">
        <f>IF(A443&gt;LastWeek-364,1,0)</f>
        <v/>
      </c>
      <c r="E443" s="14">
        <f>C443^2*D443</f>
        <v/>
      </c>
    </row>
    <row r="444">
      <c r="A444" s="26" t="n">
        <v>45474</v>
      </c>
      <c r="B444" s="14" t="inlineStr">
        <is>
          <t>NB-0005</t>
        </is>
      </c>
      <c r="C444" s="14" t="n">
        <v>10</v>
      </c>
      <c r="D444" s="14">
        <f>IF(A444&gt;LastWeek-364,1,0)</f>
        <v/>
      </c>
      <c r="E444" s="14">
        <f>C444^2*D444</f>
        <v/>
      </c>
    </row>
    <row r="445">
      <c r="A445" s="26" t="n">
        <v>45481</v>
      </c>
      <c r="B445" s="14" t="inlineStr">
        <is>
          <t>NB-0005</t>
        </is>
      </c>
      <c r="C445" s="14" t="n">
        <v>12</v>
      </c>
      <c r="D445" s="14">
        <f>IF(A445&gt;LastWeek-364,1,0)</f>
        <v/>
      </c>
      <c r="E445" s="14">
        <f>C445^2*D445</f>
        <v/>
      </c>
    </row>
    <row r="446">
      <c r="A446" s="26" t="n">
        <v>45488</v>
      </c>
      <c r="B446" s="14" t="inlineStr">
        <is>
          <t>NB-0005</t>
        </is>
      </c>
      <c r="C446" s="14" t="n">
        <v>11</v>
      </c>
      <c r="D446" s="14">
        <f>IF(A446&gt;LastWeek-364,1,0)</f>
        <v/>
      </c>
      <c r="E446" s="14">
        <f>C446^2*D446</f>
        <v/>
      </c>
    </row>
    <row r="447">
      <c r="A447" s="26" t="n">
        <v>45495</v>
      </c>
      <c r="B447" s="14" t="inlineStr">
        <is>
          <t>NB-0005</t>
        </is>
      </c>
      <c r="C447" s="14" t="n">
        <v>12</v>
      </c>
      <c r="D447" s="14">
        <f>IF(A447&gt;LastWeek-364,1,0)</f>
        <v/>
      </c>
      <c r="E447" s="14">
        <f>C447^2*D447</f>
        <v/>
      </c>
    </row>
    <row r="448">
      <c r="A448" s="26" t="n">
        <v>45502</v>
      </c>
      <c r="B448" s="14" t="inlineStr">
        <is>
          <t>NB-0005</t>
        </is>
      </c>
      <c r="C448" s="14" t="n">
        <v>12</v>
      </c>
      <c r="D448" s="14">
        <f>IF(A448&gt;LastWeek-364,1,0)</f>
        <v/>
      </c>
      <c r="E448" s="14">
        <f>C448^2*D448</f>
        <v/>
      </c>
    </row>
    <row r="449">
      <c r="A449" s="26" t="n">
        <v>45509</v>
      </c>
      <c r="B449" s="14" t="inlineStr">
        <is>
          <t>NB-0005</t>
        </is>
      </c>
      <c r="C449" s="14" t="n">
        <v>13</v>
      </c>
      <c r="D449" s="14">
        <f>IF(A449&gt;LastWeek-364,1,0)</f>
        <v/>
      </c>
      <c r="E449" s="14">
        <f>C449^2*D449</f>
        <v/>
      </c>
    </row>
    <row r="450">
      <c r="A450" s="26" t="n">
        <v>45516</v>
      </c>
      <c r="B450" s="14" t="inlineStr">
        <is>
          <t>NB-0005</t>
        </is>
      </c>
      <c r="C450" s="14" t="n">
        <v>10</v>
      </c>
      <c r="D450" s="14">
        <f>IF(A450&gt;LastWeek-364,1,0)</f>
        <v/>
      </c>
      <c r="E450" s="14">
        <f>C450^2*D450</f>
        <v/>
      </c>
    </row>
    <row r="451">
      <c r="A451" s="26" t="n">
        <v>45523</v>
      </c>
      <c r="B451" s="14" t="inlineStr">
        <is>
          <t>NB-0005</t>
        </is>
      </c>
      <c r="C451" s="14" t="n">
        <v>13</v>
      </c>
      <c r="D451" s="14">
        <f>IF(A451&gt;LastWeek-364,1,0)</f>
        <v/>
      </c>
      <c r="E451" s="14">
        <f>C451^2*D451</f>
        <v/>
      </c>
    </row>
    <row r="452">
      <c r="A452" s="26" t="n">
        <v>45530</v>
      </c>
      <c r="B452" s="14" t="inlineStr">
        <is>
          <t>NB-0005</t>
        </is>
      </c>
      <c r="C452" s="14" t="n">
        <v>13</v>
      </c>
      <c r="D452" s="14">
        <f>IF(A452&gt;LastWeek-364,1,0)</f>
        <v/>
      </c>
      <c r="E452" s="14">
        <f>C452^2*D452</f>
        <v/>
      </c>
    </row>
    <row r="453">
      <c r="A453" s="26" t="n">
        <v>45537</v>
      </c>
      <c r="B453" s="14" t="inlineStr">
        <is>
          <t>NB-0005</t>
        </is>
      </c>
      <c r="C453" s="14" t="n">
        <v>12</v>
      </c>
      <c r="D453" s="14">
        <f>IF(A453&gt;LastWeek-364,1,0)</f>
        <v/>
      </c>
      <c r="E453" s="14">
        <f>C453^2*D453</f>
        <v/>
      </c>
    </row>
    <row r="454">
      <c r="A454" s="26" t="n">
        <v>45544</v>
      </c>
      <c r="B454" s="14" t="inlineStr">
        <is>
          <t>NB-0005</t>
        </is>
      </c>
      <c r="C454" s="14" t="n">
        <v>12</v>
      </c>
      <c r="D454" s="14">
        <f>IF(A454&gt;LastWeek-364,1,0)</f>
        <v/>
      </c>
      <c r="E454" s="14">
        <f>C454^2*D454</f>
        <v/>
      </c>
    </row>
    <row r="455">
      <c r="A455" s="26" t="n">
        <v>45551</v>
      </c>
      <c r="B455" s="14" t="inlineStr">
        <is>
          <t>NB-0005</t>
        </is>
      </c>
      <c r="C455" s="14" t="n">
        <v>18</v>
      </c>
      <c r="D455" s="14">
        <f>IF(A455&gt;LastWeek-364,1,0)</f>
        <v/>
      </c>
      <c r="E455" s="14">
        <f>C455^2*D455</f>
        <v/>
      </c>
    </row>
    <row r="456">
      <c r="A456" s="26" t="n">
        <v>45558</v>
      </c>
      <c r="B456" s="14" t="inlineStr">
        <is>
          <t>NB-0005</t>
        </is>
      </c>
      <c r="C456" s="14" t="n">
        <v>16</v>
      </c>
      <c r="D456" s="14">
        <f>IF(A456&gt;LastWeek-364,1,0)</f>
        <v/>
      </c>
      <c r="E456" s="14">
        <f>C456^2*D456</f>
        <v/>
      </c>
    </row>
    <row r="457">
      <c r="A457" s="26" t="n">
        <v>45565</v>
      </c>
      <c r="B457" s="14" t="inlineStr">
        <is>
          <t>NB-0005</t>
        </is>
      </c>
      <c r="C457" s="14" t="n">
        <v>15</v>
      </c>
      <c r="D457" s="14">
        <f>IF(A457&gt;LastWeek-364,1,0)</f>
        <v/>
      </c>
      <c r="E457" s="14">
        <f>C457^2*D457</f>
        <v/>
      </c>
    </row>
    <row r="458">
      <c r="A458" s="26" t="n">
        <v>45572</v>
      </c>
      <c r="B458" s="14" t="inlineStr">
        <is>
          <t>NB-0005</t>
        </is>
      </c>
      <c r="C458" s="14" t="n">
        <v>18</v>
      </c>
      <c r="D458" s="14">
        <f>IF(A458&gt;LastWeek-364,1,0)</f>
        <v/>
      </c>
      <c r="E458" s="14">
        <f>C458^2*D458</f>
        <v/>
      </c>
    </row>
    <row r="459">
      <c r="A459" s="26" t="n">
        <v>45579</v>
      </c>
      <c r="B459" s="14" t="inlineStr">
        <is>
          <t>NB-0005</t>
        </is>
      </c>
      <c r="C459" s="14" t="n">
        <v>23</v>
      </c>
      <c r="D459" s="14">
        <f>IF(A459&gt;LastWeek-364,1,0)</f>
        <v/>
      </c>
      <c r="E459" s="14">
        <f>C459^2*D459</f>
        <v/>
      </c>
    </row>
    <row r="460">
      <c r="A460" s="26" t="n">
        <v>45586</v>
      </c>
      <c r="B460" s="14" t="inlineStr">
        <is>
          <t>NB-0005</t>
        </is>
      </c>
      <c r="C460" s="14" t="n">
        <v>13</v>
      </c>
      <c r="D460" s="14">
        <f>IF(A460&gt;LastWeek-364,1,0)</f>
        <v/>
      </c>
      <c r="E460" s="14">
        <f>C460^2*D460</f>
        <v/>
      </c>
    </row>
    <row r="461">
      <c r="A461" s="26" t="n">
        <v>45593</v>
      </c>
      <c r="B461" s="14" t="inlineStr">
        <is>
          <t>NB-0005</t>
        </is>
      </c>
      <c r="C461" s="14" t="n">
        <v>17</v>
      </c>
      <c r="D461" s="14">
        <f>IF(A461&gt;LastWeek-364,1,0)</f>
        <v/>
      </c>
      <c r="E461" s="14">
        <f>C461^2*D461</f>
        <v/>
      </c>
    </row>
    <row r="462">
      <c r="A462" s="26" t="n">
        <v>45600</v>
      </c>
      <c r="B462" s="14" t="inlineStr">
        <is>
          <t>NB-0005</t>
        </is>
      </c>
      <c r="C462" s="14" t="n">
        <v>19</v>
      </c>
      <c r="D462" s="14">
        <f>IF(A462&gt;LastWeek-364,1,0)</f>
        <v/>
      </c>
      <c r="E462" s="14">
        <f>C462^2*D462</f>
        <v/>
      </c>
    </row>
    <row r="463">
      <c r="A463" s="26" t="n">
        <v>45607</v>
      </c>
      <c r="B463" s="14" t="inlineStr">
        <is>
          <t>NB-0005</t>
        </is>
      </c>
      <c r="C463" s="14" t="n">
        <v>28</v>
      </c>
      <c r="D463" s="14">
        <f>IF(A463&gt;LastWeek-364,1,0)</f>
        <v/>
      </c>
      <c r="E463" s="14">
        <f>C463^2*D463</f>
        <v/>
      </c>
    </row>
    <row r="464">
      <c r="A464" s="26" t="n">
        <v>45614</v>
      </c>
      <c r="B464" s="14" t="inlineStr">
        <is>
          <t>NB-0005</t>
        </is>
      </c>
      <c r="C464" s="14" t="n">
        <v>25</v>
      </c>
      <c r="D464" s="14">
        <f>IF(A464&gt;LastWeek-364,1,0)</f>
        <v/>
      </c>
      <c r="E464" s="14">
        <f>C464^2*D464</f>
        <v/>
      </c>
    </row>
    <row r="465">
      <c r="A465" s="26" t="n">
        <v>45621</v>
      </c>
      <c r="B465" s="14" t="inlineStr">
        <is>
          <t>NB-0005</t>
        </is>
      </c>
      <c r="C465" s="14" t="n">
        <v>28</v>
      </c>
      <c r="D465" s="14">
        <f>IF(A465&gt;LastWeek-364,1,0)</f>
        <v/>
      </c>
      <c r="E465" s="14">
        <f>C465^2*D465</f>
        <v/>
      </c>
    </row>
    <row r="466">
      <c r="A466" s="26" t="n">
        <v>45628</v>
      </c>
      <c r="B466" s="14" t="inlineStr">
        <is>
          <t>NB-0005</t>
        </is>
      </c>
      <c r="C466" s="14" t="n">
        <v>21</v>
      </c>
      <c r="D466" s="14">
        <f>IF(A466&gt;LastWeek-364,1,0)</f>
        <v/>
      </c>
      <c r="E466" s="14">
        <f>C466^2*D466</f>
        <v/>
      </c>
    </row>
    <row r="467">
      <c r="A467" s="26" t="n">
        <v>45635</v>
      </c>
      <c r="B467" s="14" t="inlineStr">
        <is>
          <t>NB-0005</t>
        </is>
      </c>
      <c r="C467" s="14" t="n">
        <v>21</v>
      </c>
      <c r="D467" s="14">
        <f>IF(A467&gt;LastWeek-364,1,0)</f>
        <v/>
      </c>
      <c r="E467" s="14">
        <f>C467^2*D467</f>
        <v/>
      </c>
    </row>
    <row r="468">
      <c r="A468" s="26" t="n">
        <v>45642</v>
      </c>
      <c r="B468" s="14" t="inlineStr">
        <is>
          <t>NB-0005</t>
        </is>
      </c>
      <c r="C468" s="14" t="n">
        <v>28</v>
      </c>
      <c r="D468" s="14">
        <f>IF(A468&gt;LastWeek-364,1,0)</f>
        <v/>
      </c>
      <c r="E468" s="14">
        <f>C468^2*D468</f>
        <v/>
      </c>
    </row>
    <row r="469">
      <c r="A469" s="26" t="n">
        <v>45649</v>
      </c>
      <c r="B469" s="14" t="inlineStr">
        <is>
          <t>NB-0005</t>
        </is>
      </c>
      <c r="C469" s="14" t="n">
        <v>27</v>
      </c>
      <c r="D469" s="14">
        <f>IF(A469&gt;LastWeek-364,1,0)</f>
        <v/>
      </c>
      <c r="E469" s="14">
        <f>C469^2*D469</f>
        <v/>
      </c>
    </row>
    <row r="470">
      <c r="A470" s="26" t="n">
        <v>45656</v>
      </c>
      <c r="B470" s="14" t="inlineStr">
        <is>
          <t>NB-0005</t>
        </is>
      </c>
      <c r="C470" s="14" t="n">
        <v>29</v>
      </c>
      <c r="D470" s="14">
        <f>IF(A470&gt;LastWeek-364,1,0)</f>
        <v/>
      </c>
      <c r="E470" s="14">
        <f>C470^2*D470</f>
        <v/>
      </c>
    </row>
    <row r="471">
      <c r="A471" s="26" t="n">
        <v>45663</v>
      </c>
      <c r="B471" s="14" t="inlineStr">
        <is>
          <t>NB-0005</t>
        </is>
      </c>
      <c r="C471" s="14" t="n">
        <v>26</v>
      </c>
      <c r="D471" s="14">
        <f>IF(A471&gt;LastWeek-364,1,0)</f>
        <v/>
      </c>
      <c r="E471" s="14">
        <f>C471^2*D471</f>
        <v/>
      </c>
    </row>
    <row r="472">
      <c r="A472" s="26" t="n">
        <v>45670</v>
      </c>
      <c r="B472" s="14" t="inlineStr">
        <is>
          <t>NB-0005</t>
        </is>
      </c>
      <c r="C472" s="14" t="n">
        <v>28</v>
      </c>
      <c r="D472" s="14">
        <f>IF(A472&gt;LastWeek-364,1,0)</f>
        <v/>
      </c>
      <c r="E472" s="14">
        <f>C472^2*D472</f>
        <v/>
      </c>
    </row>
    <row r="473">
      <c r="A473" s="26" t="n">
        <v>45677</v>
      </c>
      <c r="B473" s="14" t="inlineStr">
        <is>
          <t>NB-0005</t>
        </is>
      </c>
      <c r="C473" s="14" t="n">
        <v>28</v>
      </c>
      <c r="D473" s="14">
        <f>IF(A473&gt;LastWeek-364,1,0)</f>
        <v/>
      </c>
      <c r="E473" s="14">
        <f>C473^2*D473</f>
        <v/>
      </c>
    </row>
    <row r="474">
      <c r="A474" s="26" t="n">
        <v>45684</v>
      </c>
      <c r="B474" s="14" t="inlineStr">
        <is>
          <t>NB-0005</t>
        </is>
      </c>
      <c r="C474" s="14" t="n">
        <v>30</v>
      </c>
      <c r="D474" s="14">
        <f>IF(A474&gt;LastWeek-364,1,0)</f>
        <v/>
      </c>
      <c r="E474" s="14">
        <f>C474^2*D474</f>
        <v/>
      </c>
    </row>
    <row r="475">
      <c r="A475" s="26" t="n">
        <v>45691</v>
      </c>
      <c r="B475" s="14" t="inlineStr">
        <is>
          <t>NB-0005</t>
        </is>
      </c>
      <c r="C475" s="14" t="n">
        <v>30</v>
      </c>
      <c r="D475" s="14">
        <f>IF(A475&gt;LastWeek-364,1,0)</f>
        <v/>
      </c>
      <c r="E475" s="14">
        <f>C475^2*D475</f>
        <v/>
      </c>
    </row>
    <row r="476">
      <c r="A476" s="26" t="n">
        <v>45698</v>
      </c>
      <c r="B476" s="14" t="inlineStr">
        <is>
          <t>NB-0005</t>
        </is>
      </c>
      <c r="C476" s="14" t="n">
        <v>20</v>
      </c>
      <c r="D476" s="14">
        <f>IF(A476&gt;LastWeek-364,1,0)</f>
        <v/>
      </c>
      <c r="E476" s="14">
        <f>C476^2*D476</f>
        <v/>
      </c>
    </row>
    <row r="477">
      <c r="A477" s="26" t="n">
        <v>45705</v>
      </c>
      <c r="B477" s="14" t="inlineStr">
        <is>
          <t>NB-0005</t>
        </is>
      </c>
      <c r="C477" s="14" t="n">
        <v>17</v>
      </c>
      <c r="D477" s="14">
        <f>IF(A477&gt;LastWeek-364,1,0)</f>
        <v/>
      </c>
      <c r="E477" s="14">
        <f>C477^2*D477</f>
        <v/>
      </c>
    </row>
    <row r="478">
      <c r="A478" s="26" t="n">
        <v>45712</v>
      </c>
      <c r="B478" s="14" t="inlineStr">
        <is>
          <t>NB-0005</t>
        </is>
      </c>
      <c r="C478" s="14" t="n">
        <v>29</v>
      </c>
      <c r="D478" s="14">
        <f>IF(A478&gt;LastWeek-364,1,0)</f>
        <v/>
      </c>
      <c r="E478" s="14">
        <f>C478^2*D478</f>
        <v/>
      </c>
    </row>
    <row r="479">
      <c r="A479" s="26" t="n">
        <v>45719</v>
      </c>
      <c r="B479" s="14" t="inlineStr">
        <is>
          <t>NB-0005</t>
        </is>
      </c>
      <c r="C479" s="14" t="n">
        <v>28</v>
      </c>
      <c r="D479" s="14">
        <f>IF(A479&gt;LastWeek-364,1,0)</f>
        <v/>
      </c>
      <c r="E479" s="14">
        <f>C479^2*D479</f>
        <v/>
      </c>
    </row>
    <row r="480">
      <c r="A480" s="26" t="n">
        <v>45726</v>
      </c>
      <c r="B480" s="14" t="inlineStr">
        <is>
          <t>NB-0005</t>
        </is>
      </c>
      <c r="C480" s="14" t="n">
        <v>20</v>
      </c>
      <c r="D480" s="14">
        <f>IF(A480&gt;LastWeek-364,1,0)</f>
        <v/>
      </c>
      <c r="E480" s="14">
        <f>C480^2*D480</f>
        <v/>
      </c>
    </row>
    <row r="481">
      <c r="A481" s="26" t="n">
        <v>45733</v>
      </c>
      <c r="B481" s="14" t="inlineStr">
        <is>
          <t>NB-0005</t>
        </is>
      </c>
      <c r="C481" s="14" t="n">
        <v>16</v>
      </c>
      <c r="D481" s="14">
        <f>IF(A481&gt;LastWeek-364,1,0)</f>
        <v/>
      </c>
      <c r="E481" s="14">
        <f>C481^2*D481</f>
        <v/>
      </c>
    </row>
    <row r="482">
      <c r="A482" s="26" t="n">
        <v>45740</v>
      </c>
      <c r="B482" s="14" t="inlineStr">
        <is>
          <t>NB-0005</t>
        </is>
      </c>
      <c r="C482" s="14" t="n">
        <v>22</v>
      </c>
      <c r="D482" s="14">
        <f>IF(A482&gt;LastWeek-364,1,0)</f>
        <v/>
      </c>
      <c r="E482" s="14">
        <f>C482^2*D482</f>
        <v/>
      </c>
    </row>
    <row r="483">
      <c r="A483" s="26" t="n">
        <v>45747</v>
      </c>
      <c r="B483" s="14" t="inlineStr">
        <is>
          <t>NB-0005</t>
        </is>
      </c>
      <c r="C483" s="14" t="n">
        <v>24</v>
      </c>
      <c r="D483" s="14">
        <f>IF(A483&gt;LastWeek-364,1,0)</f>
        <v/>
      </c>
      <c r="E483" s="14">
        <f>C483^2*D483</f>
        <v/>
      </c>
    </row>
    <row r="484">
      <c r="A484" s="26" t="n">
        <v>45754</v>
      </c>
      <c r="B484" s="14" t="inlineStr">
        <is>
          <t>NB-0005</t>
        </is>
      </c>
      <c r="C484" s="14" t="n">
        <v>25</v>
      </c>
      <c r="D484" s="14">
        <f>IF(A484&gt;LastWeek-364,1,0)</f>
        <v/>
      </c>
      <c r="E484" s="14">
        <f>C484^2*D484</f>
        <v/>
      </c>
    </row>
    <row r="485">
      <c r="A485" s="26" t="n">
        <v>45761</v>
      </c>
      <c r="B485" s="14" t="inlineStr">
        <is>
          <t>NB-0005</t>
        </is>
      </c>
      <c r="C485" s="14" t="n">
        <v>20</v>
      </c>
      <c r="D485" s="14">
        <f>IF(A485&gt;LastWeek-364,1,0)</f>
        <v/>
      </c>
      <c r="E485" s="14">
        <f>C485^2*D485</f>
        <v/>
      </c>
    </row>
    <row r="486">
      <c r="A486" s="26" t="n">
        <v>45768</v>
      </c>
      <c r="B486" s="14" t="inlineStr">
        <is>
          <t>NB-0005</t>
        </is>
      </c>
      <c r="C486" s="14" t="n">
        <v>17</v>
      </c>
      <c r="D486" s="14">
        <f>IF(A486&gt;LastWeek-364,1,0)</f>
        <v/>
      </c>
      <c r="E486" s="14">
        <f>C486^2*D486</f>
        <v/>
      </c>
    </row>
    <row r="487">
      <c r="A487" s="26" t="n">
        <v>45775</v>
      </c>
      <c r="B487" s="14" t="inlineStr">
        <is>
          <t>NB-0005</t>
        </is>
      </c>
      <c r="C487" s="14" t="n">
        <v>15</v>
      </c>
      <c r="D487" s="14">
        <f>IF(A487&gt;LastWeek-364,1,0)</f>
        <v/>
      </c>
      <c r="E487" s="14">
        <f>C487^2*D487</f>
        <v/>
      </c>
    </row>
    <row r="488">
      <c r="A488" s="26" t="n">
        <v>45782</v>
      </c>
      <c r="B488" s="14" t="inlineStr">
        <is>
          <t>NB-0005</t>
        </is>
      </c>
      <c r="C488" s="14" t="n">
        <v>16</v>
      </c>
      <c r="D488" s="14">
        <f>IF(A488&gt;LastWeek-364,1,0)</f>
        <v/>
      </c>
      <c r="E488" s="14">
        <f>C488^2*D488</f>
        <v/>
      </c>
    </row>
    <row r="489">
      <c r="A489" s="26" t="n">
        <v>45789</v>
      </c>
      <c r="B489" s="14" t="inlineStr">
        <is>
          <t>NB-0005</t>
        </is>
      </c>
      <c r="C489" s="14" t="n">
        <v>15</v>
      </c>
      <c r="D489" s="14">
        <f>IF(A489&gt;LastWeek-364,1,0)</f>
        <v/>
      </c>
      <c r="E489" s="14">
        <f>C489^2*D489</f>
        <v/>
      </c>
    </row>
    <row r="490">
      <c r="A490" s="26" t="n">
        <v>45796</v>
      </c>
      <c r="B490" s="14" t="inlineStr">
        <is>
          <t>NB-0005</t>
        </is>
      </c>
      <c r="C490" s="14" t="n">
        <v>13</v>
      </c>
      <c r="D490" s="14">
        <f>IF(A490&gt;LastWeek-364,1,0)</f>
        <v/>
      </c>
      <c r="E490" s="14">
        <f>C490^2*D490</f>
        <v/>
      </c>
    </row>
    <row r="491">
      <c r="A491" s="26" t="n">
        <v>45803</v>
      </c>
      <c r="B491" s="14" t="inlineStr">
        <is>
          <t>NB-0005</t>
        </is>
      </c>
      <c r="C491" s="14" t="n">
        <v>19</v>
      </c>
      <c r="D491" s="14">
        <f>IF(A491&gt;LastWeek-364,1,0)</f>
        <v/>
      </c>
      <c r="E491" s="14">
        <f>C491^2*D491</f>
        <v/>
      </c>
    </row>
    <row r="492">
      <c r="A492" s="26" t="n">
        <v>45810</v>
      </c>
      <c r="B492" s="14" t="inlineStr">
        <is>
          <t>NB-0005</t>
        </is>
      </c>
      <c r="C492" s="14" t="n">
        <v>17</v>
      </c>
      <c r="D492" s="14">
        <f>IF(A492&gt;LastWeek-364,1,0)</f>
        <v/>
      </c>
      <c r="E492" s="14">
        <f>C492^2*D492</f>
        <v/>
      </c>
    </row>
    <row r="493">
      <c r="A493" s="26" t="n">
        <v>45817</v>
      </c>
      <c r="B493" s="14" t="inlineStr">
        <is>
          <t>NB-0005</t>
        </is>
      </c>
      <c r="C493" s="14" t="n">
        <v>15</v>
      </c>
      <c r="D493" s="14">
        <f>IF(A493&gt;LastWeek-364,1,0)</f>
        <v/>
      </c>
      <c r="E493" s="14">
        <f>C493^2*D493</f>
        <v/>
      </c>
    </row>
    <row r="494">
      <c r="A494" s="26" t="n">
        <v>45824</v>
      </c>
      <c r="B494" s="14" t="inlineStr">
        <is>
          <t>NB-0005</t>
        </is>
      </c>
      <c r="C494" s="14" t="n">
        <v>11</v>
      </c>
      <c r="D494" s="14">
        <f>IF(A494&gt;LastWeek-364,1,0)</f>
        <v/>
      </c>
      <c r="E494" s="14">
        <f>C494^2*D494</f>
        <v/>
      </c>
    </row>
    <row r="495">
      <c r="A495" s="26" t="n">
        <v>45831</v>
      </c>
      <c r="B495" s="14" t="inlineStr">
        <is>
          <t>NB-0005</t>
        </is>
      </c>
      <c r="C495" s="14" t="n">
        <v>14</v>
      </c>
      <c r="D495" s="14">
        <f>IF(A495&gt;LastWeek-364,1,0)</f>
        <v/>
      </c>
      <c r="E495" s="14">
        <f>C495^2*D495</f>
        <v/>
      </c>
    </row>
    <row r="496">
      <c r="A496" s="26" t="n">
        <v>45838</v>
      </c>
      <c r="B496" s="14" t="inlineStr">
        <is>
          <t>NB-0005</t>
        </is>
      </c>
      <c r="C496" s="14" t="n">
        <v>14</v>
      </c>
      <c r="D496" s="14">
        <f>IF(A496&gt;LastWeek-364,1,0)</f>
        <v/>
      </c>
      <c r="E496" s="14">
        <f>C496^2*D496</f>
        <v/>
      </c>
    </row>
    <row r="497">
      <c r="A497" s="26" t="n">
        <v>45845</v>
      </c>
      <c r="B497" s="14" t="inlineStr">
        <is>
          <t>NB-0005</t>
        </is>
      </c>
      <c r="C497" s="14" t="n">
        <v>13</v>
      </c>
      <c r="D497" s="14">
        <f>IF(A497&gt;LastWeek-364,1,0)</f>
        <v/>
      </c>
      <c r="E497" s="14">
        <f>C497^2*D497</f>
        <v/>
      </c>
    </row>
    <row r="498">
      <c r="A498" s="26" t="n">
        <v>45852</v>
      </c>
      <c r="B498" s="14" t="inlineStr">
        <is>
          <t>NB-0005</t>
        </is>
      </c>
      <c r="C498" s="14" t="n">
        <v>15</v>
      </c>
      <c r="D498" s="14">
        <f>IF(A498&gt;LastWeek-364,1,0)</f>
        <v/>
      </c>
      <c r="E498" s="14">
        <f>C498^2*D498</f>
        <v/>
      </c>
    </row>
    <row r="499">
      <c r="A499" s="26" t="n">
        <v>45859</v>
      </c>
      <c r="B499" s="14" t="inlineStr">
        <is>
          <t>NB-0005</t>
        </is>
      </c>
      <c r="C499" s="14" t="n">
        <v>14</v>
      </c>
      <c r="D499" s="14">
        <f>IF(A499&gt;LastWeek-364,1,0)</f>
        <v/>
      </c>
      <c r="E499" s="14">
        <f>C499^2*D499</f>
        <v/>
      </c>
    </row>
    <row r="500">
      <c r="A500" s="26" t="n">
        <v>45866</v>
      </c>
      <c r="B500" s="14" t="inlineStr">
        <is>
          <t>NB-0005</t>
        </is>
      </c>
      <c r="C500" s="14" t="n">
        <v>14</v>
      </c>
      <c r="D500" s="14">
        <f>IF(A500&gt;LastWeek-364,1,0)</f>
        <v/>
      </c>
      <c r="E500" s="14">
        <f>C500^2*D500</f>
        <v/>
      </c>
    </row>
    <row r="501">
      <c r="A501" s="26" t="n">
        <v>45873</v>
      </c>
      <c r="B501" s="14" t="inlineStr">
        <is>
          <t>NB-0005</t>
        </is>
      </c>
      <c r="C501" s="14" t="n">
        <v>15</v>
      </c>
      <c r="D501" s="14">
        <f>IF(A501&gt;LastWeek-364,1,0)</f>
        <v/>
      </c>
      <c r="E501" s="14">
        <f>C501^2*D501</f>
        <v/>
      </c>
    </row>
    <row r="502">
      <c r="A502" s="26" t="n">
        <v>45880</v>
      </c>
      <c r="B502" s="14" t="inlineStr">
        <is>
          <t>NB-0005</t>
        </is>
      </c>
      <c r="C502" s="14" t="n">
        <v>15</v>
      </c>
      <c r="D502" s="14">
        <f>IF(A502&gt;LastWeek-364,1,0)</f>
        <v/>
      </c>
      <c r="E502" s="14">
        <f>C502^2*D502</f>
        <v/>
      </c>
    </row>
    <row r="503">
      <c r="A503" s="26" t="n">
        <v>45887</v>
      </c>
      <c r="B503" s="14" t="inlineStr">
        <is>
          <t>NB-0005</t>
        </is>
      </c>
      <c r="C503" s="14" t="n">
        <v>11</v>
      </c>
      <c r="D503" s="14">
        <f>IF(A503&gt;LastWeek-364,1,0)</f>
        <v/>
      </c>
      <c r="E503" s="14">
        <f>C503^2*D503</f>
        <v/>
      </c>
    </row>
    <row r="504">
      <c r="A504" s="26" t="n">
        <v>45894</v>
      </c>
      <c r="B504" s="14" t="inlineStr">
        <is>
          <t>NB-0005</t>
        </is>
      </c>
      <c r="C504" s="14" t="n">
        <v>16</v>
      </c>
      <c r="D504" s="14">
        <f>IF(A504&gt;LastWeek-364,1,0)</f>
        <v/>
      </c>
      <c r="E504" s="14">
        <f>C504^2*D504</f>
        <v/>
      </c>
    </row>
    <row r="505">
      <c r="A505" s="26" t="n">
        <v>45901</v>
      </c>
      <c r="B505" s="14" t="inlineStr">
        <is>
          <t>NB-0005</t>
        </is>
      </c>
      <c r="C505" s="14" t="n">
        <v>15</v>
      </c>
      <c r="D505" s="14">
        <f>IF(A505&gt;LastWeek-364,1,0)</f>
        <v/>
      </c>
      <c r="E505" s="14">
        <f>C505^2*D505</f>
        <v/>
      </c>
    </row>
    <row r="506">
      <c r="A506" s="26" t="n">
        <v>45908</v>
      </c>
      <c r="B506" s="14" t="inlineStr">
        <is>
          <t>NB-0005</t>
        </is>
      </c>
      <c r="C506" s="14" t="n">
        <v>14</v>
      </c>
      <c r="D506" s="14">
        <f>IF(A506&gt;LastWeek-364,1,0)</f>
        <v/>
      </c>
      <c r="E506" s="14">
        <f>C506^2*D506</f>
        <v/>
      </c>
    </row>
    <row r="507">
      <c r="A507" s="26" t="n">
        <v>45915</v>
      </c>
      <c r="B507" s="14" t="inlineStr">
        <is>
          <t>NB-0005</t>
        </is>
      </c>
      <c r="C507" s="14" t="n">
        <v>23</v>
      </c>
      <c r="D507" s="14">
        <f>IF(A507&gt;LastWeek-364,1,0)</f>
        <v/>
      </c>
      <c r="E507" s="14">
        <f>C507^2*D507</f>
        <v/>
      </c>
    </row>
    <row r="508">
      <c r="A508" s="26" t="n">
        <v>45922</v>
      </c>
      <c r="B508" s="14" t="inlineStr">
        <is>
          <t>NB-0005</t>
        </is>
      </c>
      <c r="C508" s="14" t="n">
        <v>24</v>
      </c>
      <c r="D508" s="14">
        <f>IF(A508&gt;LastWeek-364,1,0)</f>
        <v/>
      </c>
      <c r="E508" s="14">
        <f>C508^2*D508</f>
        <v/>
      </c>
    </row>
    <row r="509">
      <c r="A509" s="26" t="n">
        <v>45929</v>
      </c>
      <c r="B509" s="14" t="inlineStr">
        <is>
          <t>NB-0005</t>
        </is>
      </c>
      <c r="C509" s="14" t="n">
        <v>24</v>
      </c>
      <c r="D509" s="14">
        <f>IF(A509&gt;LastWeek-364,1,0)</f>
        <v/>
      </c>
      <c r="E509" s="14">
        <f>C509^2*D509</f>
        <v/>
      </c>
    </row>
    <row r="510">
      <c r="A510" s="26" t="n">
        <v>45936</v>
      </c>
      <c r="B510" s="14" t="inlineStr">
        <is>
          <t>NB-0005</t>
        </is>
      </c>
      <c r="C510" s="14" t="n">
        <v>22</v>
      </c>
      <c r="D510" s="14">
        <f>IF(A510&gt;LastWeek-364,1,0)</f>
        <v/>
      </c>
      <c r="E510" s="14">
        <f>C510^2*D510</f>
        <v/>
      </c>
    </row>
    <row r="511">
      <c r="A511" s="26" t="n">
        <v>45943</v>
      </c>
      <c r="B511" s="14" t="inlineStr">
        <is>
          <t>NB-0005</t>
        </is>
      </c>
      <c r="C511" s="14" t="n">
        <v>27</v>
      </c>
      <c r="D511" s="14">
        <f>IF(A511&gt;LastWeek-364,1,0)</f>
        <v/>
      </c>
      <c r="E511" s="14">
        <f>C511^2*D511</f>
        <v/>
      </c>
    </row>
    <row r="512">
      <c r="A512" s="26" t="n">
        <v>45950</v>
      </c>
      <c r="B512" s="14" t="inlineStr">
        <is>
          <t>NB-0005</t>
        </is>
      </c>
      <c r="C512" s="14" t="n">
        <v>23</v>
      </c>
      <c r="D512" s="14">
        <f>IF(A512&gt;LastWeek-364,1,0)</f>
        <v/>
      </c>
      <c r="E512" s="14">
        <f>C512^2*D512</f>
        <v/>
      </c>
    </row>
    <row r="513">
      <c r="A513" s="26" t="n">
        <v>45957</v>
      </c>
      <c r="B513" s="14" t="inlineStr">
        <is>
          <t>NB-0005</t>
        </is>
      </c>
      <c r="C513" s="14" t="n">
        <v>25</v>
      </c>
      <c r="D513" s="14">
        <f>IF(A513&gt;LastWeek-364,1,0)</f>
        <v/>
      </c>
      <c r="E513" s="14">
        <f>C513^2*D513</f>
        <v/>
      </c>
    </row>
    <row r="514">
      <c r="A514" s="26" t="n">
        <v>45964</v>
      </c>
      <c r="B514" s="14" t="inlineStr">
        <is>
          <t>NB-0005</t>
        </is>
      </c>
      <c r="C514" s="14" t="n">
        <v>21</v>
      </c>
      <c r="D514" s="14">
        <f>IF(A514&gt;LastWeek-364,1,0)</f>
        <v/>
      </c>
      <c r="E514" s="14">
        <f>C514^2*D514</f>
        <v/>
      </c>
    </row>
    <row r="515">
      <c r="A515" s="26" t="n">
        <v>45971</v>
      </c>
      <c r="B515" s="14" t="inlineStr">
        <is>
          <t>NB-0005</t>
        </is>
      </c>
      <c r="C515" s="14" t="n">
        <v>28</v>
      </c>
      <c r="D515" s="14">
        <f>IF(A515&gt;LastWeek-364,1,0)</f>
        <v/>
      </c>
      <c r="E515" s="14">
        <f>C515^2*D515</f>
        <v/>
      </c>
    </row>
    <row r="516">
      <c r="A516" s="26" t="n">
        <v>45978</v>
      </c>
      <c r="B516" s="14" t="inlineStr">
        <is>
          <t>NB-0005</t>
        </is>
      </c>
      <c r="C516" s="14" t="n">
        <v>27</v>
      </c>
      <c r="D516" s="14">
        <f>IF(A516&gt;LastWeek-364,1,0)</f>
        <v/>
      </c>
      <c r="E516" s="14">
        <f>C516^2*D516</f>
        <v/>
      </c>
    </row>
    <row r="517">
      <c r="A517" s="26" t="n">
        <v>45985</v>
      </c>
      <c r="B517" s="14" t="inlineStr">
        <is>
          <t>NB-0005</t>
        </is>
      </c>
      <c r="C517" s="14" t="n">
        <v>22</v>
      </c>
      <c r="D517" s="14">
        <f>IF(A517&gt;LastWeek-364,1,0)</f>
        <v/>
      </c>
      <c r="E517" s="14">
        <f>C517^2*D517</f>
        <v/>
      </c>
    </row>
    <row r="518">
      <c r="A518" s="26" t="n">
        <v>45992</v>
      </c>
      <c r="B518" s="14" t="inlineStr">
        <is>
          <t>NB-0005</t>
        </is>
      </c>
      <c r="C518" s="14" t="n">
        <v>28</v>
      </c>
      <c r="D518" s="14">
        <f>IF(A518&gt;LastWeek-364,1,0)</f>
        <v/>
      </c>
      <c r="E518" s="14">
        <f>C518^2*D518</f>
        <v/>
      </c>
    </row>
    <row r="519">
      <c r="A519" s="26" t="n">
        <v>45999</v>
      </c>
      <c r="B519" s="14" t="inlineStr">
        <is>
          <t>NB-0005</t>
        </is>
      </c>
      <c r="C519" s="14" t="n">
        <v>29</v>
      </c>
      <c r="D519" s="14">
        <f>IF(A519&gt;LastWeek-364,1,0)</f>
        <v/>
      </c>
      <c r="E519" s="14">
        <f>C519^2*D519</f>
        <v/>
      </c>
    </row>
    <row r="520">
      <c r="A520" s="26" t="n">
        <v>46006</v>
      </c>
      <c r="B520" s="14" t="inlineStr">
        <is>
          <t>NB-0005</t>
        </is>
      </c>
      <c r="C520" s="14" t="n">
        <v>38</v>
      </c>
      <c r="D520" s="14">
        <f>IF(A520&gt;LastWeek-364,1,0)</f>
        <v/>
      </c>
      <c r="E520" s="14">
        <f>C520^2*D520</f>
        <v/>
      </c>
    </row>
    <row r="521">
      <c r="A521" s="26" t="n">
        <v>46013</v>
      </c>
      <c r="B521" s="14" t="inlineStr">
        <is>
          <t>NB-0005</t>
        </is>
      </c>
      <c r="C521" s="14" t="n">
        <v>34</v>
      </c>
      <c r="D521" s="14">
        <f>IF(A521&gt;LastWeek-364,1,0)</f>
        <v/>
      </c>
      <c r="E521" s="14">
        <f>C521^2*D521</f>
        <v/>
      </c>
    </row>
    <row r="522">
      <c r="A522" s="26" t="n">
        <v>45292</v>
      </c>
      <c r="B522" s="14" t="inlineStr">
        <is>
          <t>NB-0006</t>
        </is>
      </c>
      <c r="C522" s="14" t="n">
        <v>80</v>
      </c>
      <c r="D522" s="14">
        <f>IF(A522&gt;LastWeek-364,1,0)</f>
        <v/>
      </c>
      <c r="E522" s="14">
        <f>C522^2*D522</f>
        <v/>
      </c>
    </row>
    <row r="523">
      <c r="A523" s="26" t="n">
        <v>45299</v>
      </c>
      <c r="B523" s="14" t="inlineStr">
        <is>
          <t>NB-0006</t>
        </is>
      </c>
      <c r="C523" s="14" t="n">
        <v>87</v>
      </c>
      <c r="D523" s="14">
        <f>IF(A523&gt;LastWeek-364,1,0)</f>
        <v/>
      </c>
      <c r="E523" s="14">
        <f>C523^2*D523</f>
        <v/>
      </c>
    </row>
    <row r="524">
      <c r="A524" s="26" t="n">
        <v>45306</v>
      </c>
      <c r="B524" s="14" t="inlineStr">
        <is>
          <t>NB-0006</t>
        </is>
      </c>
      <c r="C524" s="14" t="n">
        <v>81</v>
      </c>
      <c r="D524" s="14">
        <f>IF(A524&gt;LastWeek-364,1,0)</f>
        <v/>
      </c>
      <c r="E524" s="14">
        <f>C524^2*D524</f>
        <v/>
      </c>
    </row>
    <row r="525">
      <c r="A525" s="26" t="n">
        <v>45313</v>
      </c>
      <c r="B525" s="14" t="inlineStr">
        <is>
          <t>NB-0006</t>
        </is>
      </c>
      <c r="C525" s="14" t="n">
        <v>74</v>
      </c>
      <c r="D525" s="14">
        <f>IF(A525&gt;LastWeek-364,1,0)</f>
        <v/>
      </c>
      <c r="E525" s="14">
        <f>C525^2*D525</f>
        <v/>
      </c>
    </row>
    <row r="526">
      <c r="A526" s="26" t="n">
        <v>45320</v>
      </c>
      <c r="B526" s="14" t="inlineStr">
        <is>
          <t>NB-0006</t>
        </is>
      </c>
      <c r="C526" s="14" t="n">
        <v>48</v>
      </c>
      <c r="D526" s="14">
        <f>IF(A526&gt;LastWeek-364,1,0)</f>
        <v/>
      </c>
      <c r="E526" s="14">
        <f>C526^2*D526</f>
        <v/>
      </c>
    </row>
    <row r="527">
      <c r="A527" s="26" t="n">
        <v>45327</v>
      </c>
      <c r="B527" s="14" t="inlineStr">
        <is>
          <t>NB-0006</t>
        </is>
      </c>
      <c r="C527" s="14" t="n">
        <v>73</v>
      </c>
      <c r="D527" s="14">
        <f>IF(A527&gt;LastWeek-364,1,0)</f>
        <v/>
      </c>
      <c r="E527" s="14">
        <f>C527^2*D527</f>
        <v/>
      </c>
    </row>
    <row r="528">
      <c r="A528" s="26" t="n">
        <v>45334</v>
      </c>
      <c r="B528" s="14" t="inlineStr">
        <is>
          <t>NB-0006</t>
        </is>
      </c>
      <c r="C528" s="14" t="n">
        <v>56</v>
      </c>
      <c r="D528" s="14">
        <f>IF(A528&gt;LastWeek-364,1,0)</f>
        <v/>
      </c>
      <c r="E528" s="14">
        <f>C528^2*D528</f>
        <v/>
      </c>
    </row>
    <row r="529">
      <c r="A529" s="26" t="n">
        <v>45341</v>
      </c>
      <c r="B529" s="14" t="inlineStr">
        <is>
          <t>NB-0006</t>
        </is>
      </c>
      <c r="C529" s="14" t="n">
        <v>41</v>
      </c>
      <c r="D529" s="14">
        <f>IF(A529&gt;LastWeek-364,1,0)</f>
        <v/>
      </c>
      <c r="E529" s="14">
        <f>C529^2*D529</f>
        <v/>
      </c>
    </row>
    <row r="530">
      <c r="A530" s="26" t="n">
        <v>45348</v>
      </c>
      <c r="B530" s="14" t="inlineStr">
        <is>
          <t>NB-0006</t>
        </is>
      </c>
      <c r="C530" s="14" t="n">
        <v>84</v>
      </c>
      <c r="D530" s="14">
        <f>IF(A530&gt;LastWeek-364,1,0)</f>
        <v/>
      </c>
      <c r="E530" s="14">
        <f>C530^2*D530</f>
        <v/>
      </c>
    </row>
    <row r="531">
      <c r="A531" s="26" t="n">
        <v>45355</v>
      </c>
      <c r="B531" s="14" t="inlineStr">
        <is>
          <t>NB-0006</t>
        </is>
      </c>
      <c r="C531" s="14" t="n">
        <v>78</v>
      </c>
      <c r="D531" s="14">
        <f>IF(A531&gt;LastWeek-364,1,0)</f>
        <v/>
      </c>
      <c r="E531" s="14">
        <f>C531^2*D531</f>
        <v/>
      </c>
    </row>
    <row r="532">
      <c r="A532" s="26" t="n">
        <v>45362</v>
      </c>
      <c r="B532" s="14" t="inlineStr">
        <is>
          <t>NB-0006</t>
        </is>
      </c>
      <c r="C532" s="14" t="n">
        <v>24</v>
      </c>
      <c r="D532" s="14">
        <f>IF(A532&gt;LastWeek-364,1,0)</f>
        <v/>
      </c>
      <c r="E532" s="14">
        <f>C532^2*D532</f>
        <v/>
      </c>
    </row>
    <row r="533">
      <c r="A533" s="26" t="n">
        <v>45369</v>
      </c>
      <c r="B533" s="14" t="inlineStr">
        <is>
          <t>NB-0006</t>
        </is>
      </c>
      <c r="C533" s="14" t="n">
        <v>60</v>
      </c>
      <c r="D533" s="14">
        <f>IF(A533&gt;LastWeek-364,1,0)</f>
        <v/>
      </c>
      <c r="E533" s="14">
        <f>C533^2*D533</f>
        <v/>
      </c>
    </row>
    <row r="534">
      <c r="A534" s="26" t="n">
        <v>45376</v>
      </c>
      <c r="B534" s="14" t="inlineStr">
        <is>
          <t>NB-0006</t>
        </is>
      </c>
      <c r="C534" s="14" t="n">
        <v>81</v>
      </c>
      <c r="D534" s="14">
        <f>IF(A534&gt;LastWeek-364,1,0)</f>
        <v/>
      </c>
      <c r="E534" s="14">
        <f>C534^2*D534</f>
        <v/>
      </c>
    </row>
    <row r="535">
      <c r="A535" s="26" t="n">
        <v>45383</v>
      </c>
      <c r="B535" s="14" t="inlineStr">
        <is>
          <t>NB-0006</t>
        </is>
      </c>
      <c r="C535" s="14" t="n">
        <v>77</v>
      </c>
      <c r="D535" s="14">
        <f>IF(A535&gt;LastWeek-364,1,0)</f>
        <v/>
      </c>
      <c r="E535" s="14">
        <f>C535^2*D535</f>
        <v/>
      </c>
    </row>
    <row r="536">
      <c r="A536" s="26" t="n">
        <v>45390</v>
      </c>
      <c r="B536" s="14" t="inlineStr">
        <is>
          <t>NB-0006</t>
        </is>
      </c>
      <c r="C536" s="14" t="n">
        <v>72</v>
      </c>
      <c r="D536" s="14">
        <f>IF(A536&gt;LastWeek-364,1,0)</f>
        <v/>
      </c>
      <c r="E536" s="14">
        <f>C536^2*D536</f>
        <v/>
      </c>
    </row>
    <row r="537">
      <c r="A537" s="26" t="n">
        <v>45397</v>
      </c>
      <c r="B537" s="14" t="inlineStr">
        <is>
          <t>NB-0006</t>
        </is>
      </c>
      <c r="C537" s="14" t="n">
        <v>50</v>
      </c>
      <c r="D537" s="14">
        <f>IF(A537&gt;LastWeek-364,1,0)</f>
        <v/>
      </c>
      <c r="E537" s="14">
        <f>C537^2*D537</f>
        <v/>
      </c>
    </row>
    <row r="538">
      <c r="A538" s="26" t="n">
        <v>45404</v>
      </c>
      <c r="B538" s="14" t="inlineStr">
        <is>
          <t>NB-0006</t>
        </is>
      </c>
      <c r="C538" s="14" t="n">
        <v>32</v>
      </c>
      <c r="D538" s="14">
        <f>IF(A538&gt;LastWeek-364,1,0)</f>
        <v/>
      </c>
      <c r="E538" s="14">
        <f>C538^2*D538</f>
        <v/>
      </c>
    </row>
    <row r="539">
      <c r="A539" s="26" t="n">
        <v>45411</v>
      </c>
      <c r="B539" s="14" t="inlineStr">
        <is>
          <t>NB-0006</t>
        </is>
      </c>
      <c r="C539" s="14" t="n">
        <v>26</v>
      </c>
      <c r="D539" s="14">
        <f>IF(A539&gt;LastWeek-364,1,0)</f>
        <v/>
      </c>
      <c r="E539" s="14">
        <f>C539^2*D539</f>
        <v/>
      </c>
    </row>
    <row r="540">
      <c r="A540" s="26" t="n">
        <v>45418</v>
      </c>
      <c r="B540" s="14" t="inlineStr">
        <is>
          <t>NB-0006</t>
        </is>
      </c>
      <c r="C540" s="14" t="n">
        <v>45</v>
      </c>
      <c r="D540" s="14">
        <f>IF(A540&gt;LastWeek-364,1,0)</f>
        <v/>
      </c>
      <c r="E540" s="14">
        <f>C540^2*D540</f>
        <v/>
      </c>
    </row>
    <row r="541">
      <c r="A541" s="26" t="n">
        <v>45425</v>
      </c>
      <c r="B541" s="14" t="inlineStr">
        <is>
          <t>NB-0006</t>
        </is>
      </c>
      <c r="C541" s="14" t="n">
        <v>42</v>
      </c>
      <c r="D541" s="14">
        <f>IF(A541&gt;LastWeek-364,1,0)</f>
        <v/>
      </c>
      <c r="E541" s="14">
        <f>C541^2*D541</f>
        <v/>
      </c>
    </row>
    <row r="542">
      <c r="A542" s="26" t="n">
        <v>45432</v>
      </c>
      <c r="B542" s="14" t="inlineStr">
        <is>
          <t>NB-0006</t>
        </is>
      </c>
      <c r="C542" s="14" t="n">
        <v>50</v>
      </c>
      <c r="D542" s="14">
        <f>IF(A542&gt;LastWeek-364,1,0)</f>
        <v/>
      </c>
      <c r="E542" s="14">
        <f>C542^2*D542</f>
        <v/>
      </c>
    </row>
    <row r="543">
      <c r="A543" s="26" t="n">
        <v>45439</v>
      </c>
      <c r="B543" s="14" t="inlineStr">
        <is>
          <t>NB-0006</t>
        </is>
      </c>
      <c r="C543" s="14" t="n">
        <v>44</v>
      </c>
      <c r="D543" s="14">
        <f>IF(A543&gt;LastWeek-364,1,0)</f>
        <v/>
      </c>
      <c r="E543" s="14">
        <f>C543^2*D543</f>
        <v/>
      </c>
    </row>
    <row r="544">
      <c r="A544" s="26" t="n">
        <v>45446</v>
      </c>
      <c r="B544" s="14" t="inlineStr">
        <is>
          <t>NB-0006</t>
        </is>
      </c>
      <c r="C544" s="14" t="n">
        <v>28</v>
      </c>
      <c r="D544" s="14">
        <f>IF(A544&gt;LastWeek-364,1,0)</f>
        <v/>
      </c>
      <c r="E544" s="14">
        <f>C544^2*D544</f>
        <v/>
      </c>
    </row>
    <row r="545">
      <c r="A545" s="26" t="n">
        <v>45453</v>
      </c>
      <c r="B545" s="14" t="inlineStr">
        <is>
          <t>NB-0006</t>
        </is>
      </c>
      <c r="C545" s="14" t="n">
        <v>16</v>
      </c>
      <c r="D545" s="14">
        <f>IF(A545&gt;LastWeek-364,1,0)</f>
        <v/>
      </c>
      <c r="E545" s="14">
        <f>C545^2*D545</f>
        <v/>
      </c>
    </row>
    <row r="546">
      <c r="A546" s="26" t="n">
        <v>45460</v>
      </c>
      <c r="B546" s="14" t="inlineStr">
        <is>
          <t>NB-0006</t>
        </is>
      </c>
      <c r="C546" s="14" t="n">
        <v>24</v>
      </c>
      <c r="D546" s="14">
        <f>IF(A546&gt;LastWeek-364,1,0)</f>
        <v/>
      </c>
      <c r="E546" s="14">
        <f>C546^2*D546</f>
        <v/>
      </c>
    </row>
    <row r="547">
      <c r="A547" s="26" t="n">
        <v>45467</v>
      </c>
      <c r="B547" s="14" t="inlineStr">
        <is>
          <t>NB-0006</t>
        </is>
      </c>
      <c r="C547" s="14" t="n">
        <v>28</v>
      </c>
      <c r="D547" s="14">
        <f>IF(A547&gt;LastWeek-364,1,0)</f>
        <v/>
      </c>
      <c r="E547" s="14">
        <f>C547^2*D547</f>
        <v/>
      </c>
    </row>
    <row r="548">
      <c r="A548" s="26" t="n">
        <v>45474</v>
      </c>
      <c r="B548" s="14" t="inlineStr">
        <is>
          <t>NB-0006</t>
        </is>
      </c>
      <c r="C548" s="14" t="n">
        <v>23</v>
      </c>
      <c r="D548" s="14">
        <f>IF(A548&gt;LastWeek-364,1,0)</f>
        <v/>
      </c>
      <c r="E548" s="14">
        <f>C548^2*D548</f>
        <v/>
      </c>
    </row>
    <row r="549">
      <c r="A549" s="26" t="n">
        <v>45481</v>
      </c>
      <c r="B549" s="14" t="inlineStr">
        <is>
          <t>NB-0006</t>
        </is>
      </c>
      <c r="C549" s="14" t="n">
        <v>20</v>
      </c>
      <c r="D549" s="14">
        <f>IF(A549&gt;LastWeek-364,1,0)</f>
        <v/>
      </c>
      <c r="E549" s="14">
        <f>C549^2*D549</f>
        <v/>
      </c>
    </row>
    <row r="550">
      <c r="A550" s="26" t="n">
        <v>45488</v>
      </c>
      <c r="B550" s="14" t="inlineStr">
        <is>
          <t>NB-0006</t>
        </is>
      </c>
      <c r="C550" s="14" t="n">
        <v>27</v>
      </c>
      <c r="D550" s="14">
        <f>IF(A550&gt;LastWeek-364,1,0)</f>
        <v/>
      </c>
      <c r="E550" s="14">
        <f>C550^2*D550</f>
        <v/>
      </c>
    </row>
    <row r="551">
      <c r="A551" s="26" t="n">
        <v>45495</v>
      </c>
      <c r="B551" s="14" t="inlineStr">
        <is>
          <t>NB-0006</t>
        </is>
      </c>
      <c r="C551" s="14" t="n">
        <v>21</v>
      </c>
      <c r="D551" s="14">
        <f>IF(A551&gt;LastWeek-364,1,0)</f>
        <v/>
      </c>
      <c r="E551" s="14">
        <f>C551^2*D551</f>
        <v/>
      </c>
    </row>
    <row r="552">
      <c r="A552" s="26" t="n">
        <v>45502</v>
      </c>
      <c r="B552" s="14" t="inlineStr">
        <is>
          <t>NB-0006</t>
        </is>
      </c>
      <c r="C552" s="14" t="n">
        <v>21</v>
      </c>
      <c r="D552" s="14">
        <f>IF(A552&gt;LastWeek-364,1,0)</f>
        <v/>
      </c>
      <c r="E552" s="14">
        <f>C552^2*D552</f>
        <v/>
      </c>
    </row>
    <row r="553">
      <c r="A553" s="26" t="n">
        <v>45509</v>
      </c>
      <c r="B553" s="14" t="inlineStr">
        <is>
          <t>NB-0006</t>
        </is>
      </c>
      <c r="C553" s="14" t="n">
        <v>31</v>
      </c>
      <c r="D553" s="14">
        <f>IF(A553&gt;LastWeek-364,1,0)</f>
        <v/>
      </c>
      <c r="E553" s="14">
        <f>C553^2*D553</f>
        <v/>
      </c>
    </row>
    <row r="554">
      <c r="A554" s="26" t="n">
        <v>45516</v>
      </c>
      <c r="B554" s="14" t="inlineStr">
        <is>
          <t>NB-0006</t>
        </is>
      </c>
      <c r="C554" s="14" t="n">
        <v>26</v>
      </c>
      <c r="D554" s="14">
        <f>IF(A554&gt;LastWeek-364,1,0)</f>
        <v/>
      </c>
      <c r="E554" s="14">
        <f>C554^2*D554</f>
        <v/>
      </c>
    </row>
    <row r="555">
      <c r="A555" s="26" t="n">
        <v>45523</v>
      </c>
      <c r="B555" s="14" t="inlineStr">
        <is>
          <t>NB-0006</t>
        </is>
      </c>
      <c r="C555" s="14" t="n">
        <v>35</v>
      </c>
      <c r="D555" s="14">
        <f>IF(A555&gt;LastWeek-364,1,0)</f>
        <v/>
      </c>
      <c r="E555" s="14">
        <f>C555^2*D555</f>
        <v/>
      </c>
    </row>
    <row r="556">
      <c r="A556" s="26" t="n">
        <v>45530</v>
      </c>
      <c r="B556" s="14" t="inlineStr">
        <is>
          <t>NB-0006</t>
        </is>
      </c>
      <c r="C556" s="14" t="n">
        <v>38</v>
      </c>
      <c r="D556" s="14">
        <f>IF(A556&gt;LastWeek-364,1,0)</f>
        <v/>
      </c>
      <c r="E556" s="14">
        <f>C556^2*D556</f>
        <v/>
      </c>
    </row>
    <row r="557">
      <c r="A557" s="26" t="n">
        <v>45537</v>
      </c>
      <c r="B557" s="14" t="inlineStr">
        <is>
          <t>NB-0006</t>
        </is>
      </c>
      <c r="C557" s="14" t="n">
        <v>22</v>
      </c>
      <c r="D557" s="14">
        <f>IF(A557&gt;LastWeek-364,1,0)</f>
        <v/>
      </c>
      <c r="E557" s="14">
        <f>C557^2*D557</f>
        <v/>
      </c>
    </row>
    <row r="558">
      <c r="A558" s="26" t="n">
        <v>45544</v>
      </c>
      <c r="B558" s="14" t="inlineStr">
        <is>
          <t>NB-0006</t>
        </is>
      </c>
      <c r="C558" s="14" t="n">
        <v>33</v>
      </c>
      <c r="D558" s="14">
        <f>IF(A558&gt;LastWeek-364,1,0)</f>
        <v/>
      </c>
      <c r="E558" s="14">
        <f>C558^2*D558</f>
        <v/>
      </c>
    </row>
    <row r="559">
      <c r="A559" s="26" t="n">
        <v>45551</v>
      </c>
      <c r="B559" s="14" t="inlineStr">
        <is>
          <t>NB-0006</t>
        </is>
      </c>
      <c r="C559" s="14" t="n">
        <v>65</v>
      </c>
      <c r="D559" s="14">
        <f>IF(A559&gt;LastWeek-364,1,0)</f>
        <v/>
      </c>
      <c r="E559" s="14">
        <f>C559^2*D559</f>
        <v/>
      </c>
    </row>
    <row r="560">
      <c r="A560" s="26" t="n">
        <v>45558</v>
      </c>
      <c r="B560" s="14" t="inlineStr">
        <is>
          <t>NB-0006</t>
        </is>
      </c>
      <c r="C560" s="14" t="n">
        <v>27</v>
      </c>
      <c r="D560" s="14">
        <f>IF(A560&gt;LastWeek-364,1,0)</f>
        <v/>
      </c>
      <c r="E560" s="14">
        <f>C560^2*D560</f>
        <v/>
      </c>
    </row>
    <row r="561">
      <c r="A561" s="26" t="n">
        <v>45565</v>
      </c>
      <c r="B561" s="14" t="inlineStr">
        <is>
          <t>NB-0006</t>
        </is>
      </c>
      <c r="C561" s="14" t="n">
        <v>12</v>
      </c>
      <c r="D561" s="14">
        <f>IF(A561&gt;LastWeek-364,1,0)</f>
        <v/>
      </c>
      <c r="E561" s="14">
        <f>C561^2*D561</f>
        <v/>
      </c>
    </row>
    <row r="562">
      <c r="A562" s="26" t="n">
        <v>45572</v>
      </c>
      <c r="B562" s="14" t="inlineStr">
        <is>
          <t>NB-0006</t>
        </is>
      </c>
      <c r="C562" s="14" t="n">
        <v>18</v>
      </c>
      <c r="D562" s="14">
        <f>IF(A562&gt;LastWeek-364,1,0)</f>
        <v/>
      </c>
      <c r="E562" s="14">
        <f>C562^2*D562</f>
        <v/>
      </c>
    </row>
    <row r="563">
      <c r="A563" s="26" t="n">
        <v>45579</v>
      </c>
      <c r="B563" s="14" t="inlineStr">
        <is>
          <t>NB-0006</t>
        </is>
      </c>
      <c r="C563" s="14" t="n">
        <v>58</v>
      </c>
      <c r="D563" s="14">
        <f>IF(A563&gt;LastWeek-364,1,0)</f>
        <v/>
      </c>
      <c r="E563" s="14">
        <f>C563^2*D563</f>
        <v/>
      </c>
    </row>
    <row r="564">
      <c r="A564" s="26" t="n">
        <v>45586</v>
      </c>
      <c r="B564" s="14" t="inlineStr">
        <is>
          <t>NB-0006</t>
        </is>
      </c>
      <c r="C564" s="14" t="n">
        <v>61</v>
      </c>
      <c r="D564" s="14">
        <f>IF(A564&gt;LastWeek-364,1,0)</f>
        <v/>
      </c>
      <c r="E564" s="14">
        <f>C564^2*D564</f>
        <v/>
      </c>
    </row>
    <row r="565">
      <c r="A565" s="26" t="n">
        <v>45593</v>
      </c>
      <c r="B565" s="14" t="inlineStr">
        <is>
          <t>NB-0006</t>
        </is>
      </c>
      <c r="C565" s="14" t="n">
        <v>61</v>
      </c>
      <c r="D565" s="14">
        <f>IF(A565&gt;LastWeek-364,1,0)</f>
        <v/>
      </c>
      <c r="E565" s="14">
        <f>C565^2*D565</f>
        <v/>
      </c>
    </row>
    <row r="566">
      <c r="A566" s="26" t="n">
        <v>45600</v>
      </c>
      <c r="B566" s="14" t="inlineStr">
        <is>
          <t>NB-0006</t>
        </is>
      </c>
      <c r="C566" s="14" t="n">
        <v>96</v>
      </c>
      <c r="D566" s="14">
        <f>IF(A566&gt;LastWeek-364,1,0)</f>
        <v/>
      </c>
      <c r="E566" s="14">
        <f>C566^2*D566</f>
        <v/>
      </c>
    </row>
    <row r="567">
      <c r="A567" s="26" t="n">
        <v>45607</v>
      </c>
      <c r="B567" s="14" t="inlineStr">
        <is>
          <t>NB-0006</t>
        </is>
      </c>
      <c r="C567" s="14" t="n">
        <v>3</v>
      </c>
      <c r="D567" s="14">
        <f>IF(A567&gt;LastWeek-364,1,0)</f>
        <v/>
      </c>
      <c r="E567" s="14">
        <f>C567^2*D567</f>
        <v/>
      </c>
    </row>
    <row r="568">
      <c r="A568" s="26" t="n">
        <v>45614</v>
      </c>
      <c r="B568" s="14" t="inlineStr">
        <is>
          <t>NB-0006</t>
        </is>
      </c>
      <c r="C568" s="14" t="n">
        <v>83</v>
      </c>
      <c r="D568" s="14">
        <f>IF(A568&gt;LastWeek-364,1,0)</f>
        <v/>
      </c>
      <c r="E568" s="14">
        <f>C568^2*D568</f>
        <v/>
      </c>
    </row>
    <row r="569">
      <c r="A569" s="26" t="n">
        <v>45621</v>
      </c>
      <c r="B569" s="14" t="inlineStr">
        <is>
          <t>NB-0006</t>
        </is>
      </c>
      <c r="C569" s="14" t="n">
        <v>117</v>
      </c>
      <c r="D569" s="14">
        <f>IF(A569&gt;LastWeek-364,1,0)</f>
        <v/>
      </c>
      <c r="E569" s="14">
        <f>C569^2*D569</f>
        <v/>
      </c>
    </row>
    <row r="570">
      <c r="A570" s="26" t="n">
        <v>45628</v>
      </c>
      <c r="B570" s="14" t="inlineStr">
        <is>
          <t>NB-0006</t>
        </is>
      </c>
      <c r="C570" s="14" t="n">
        <v>46</v>
      </c>
      <c r="D570" s="14">
        <f>IF(A570&gt;LastWeek-364,1,0)</f>
        <v/>
      </c>
      <c r="E570" s="14">
        <f>C570^2*D570</f>
        <v/>
      </c>
    </row>
    <row r="571">
      <c r="A571" s="26" t="n">
        <v>45635</v>
      </c>
      <c r="B571" s="14" t="inlineStr">
        <is>
          <t>NB-0006</t>
        </is>
      </c>
      <c r="C571" s="14" t="n">
        <v>68</v>
      </c>
      <c r="D571" s="14">
        <f>IF(A571&gt;LastWeek-364,1,0)</f>
        <v/>
      </c>
      <c r="E571" s="14">
        <f>C571^2*D571</f>
        <v/>
      </c>
    </row>
    <row r="572">
      <c r="A572" s="26" t="n">
        <v>45642</v>
      </c>
      <c r="B572" s="14" t="inlineStr">
        <is>
          <t>NB-0006</t>
        </is>
      </c>
      <c r="C572" s="14" t="n">
        <v>59</v>
      </c>
      <c r="D572" s="14">
        <f>IF(A572&gt;LastWeek-364,1,0)</f>
        <v/>
      </c>
      <c r="E572" s="14">
        <f>C572^2*D572</f>
        <v/>
      </c>
    </row>
    <row r="573">
      <c r="A573" s="26" t="n">
        <v>45649</v>
      </c>
      <c r="B573" s="14" t="inlineStr">
        <is>
          <t>NB-0006</t>
        </is>
      </c>
      <c r="C573" s="14" t="n">
        <v>56</v>
      </c>
      <c r="D573" s="14">
        <f>IF(A573&gt;LastWeek-364,1,0)</f>
        <v/>
      </c>
      <c r="E573" s="14">
        <f>C573^2*D573</f>
        <v/>
      </c>
    </row>
    <row r="574">
      <c r="A574" s="26" t="n">
        <v>45656</v>
      </c>
      <c r="B574" s="14" t="inlineStr">
        <is>
          <t>NB-0006</t>
        </is>
      </c>
      <c r="C574" s="14" t="n">
        <v>73</v>
      </c>
      <c r="D574" s="14">
        <f>IF(A574&gt;LastWeek-364,1,0)</f>
        <v/>
      </c>
      <c r="E574" s="14">
        <f>C574^2*D574</f>
        <v/>
      </c>
    </row>
    <row r="575">
      <c r="A575" s="26" t="n">
        <v>45663</v>
      </c>
      <c r="B575" s="14" t="inlineStr">
        <is>
          <t>NB-0006</t>
        </is>
      </c>
      <c r="C575" s="14" t="n">
        <v>124</v>
      </c>
      <c r="D575" s="14">
        <f>IF(A575&gt;LastWeek-364,1,0)</f>
        <v/>
      </c>
      <c r="E575" s="14">
        <f>C575^2*D575</f>
        <v/>
      </c>
    </row>
    <row r="576">
      <c r="A576" s="26" t="n">
        <v>45670</v>
      </c>
      <c r="B576" s="14" t="inlineStr">
        <is>
          <t>NB-0006</t>
        </is>
      </c>
      <c r="C576" s="14" t="n">
        <v>136</v>
      </c>
      <c r="D576" s="14">
        <f>IF(A576&gt;LastWeek-364,1,0)</f>
        <v/>
      </c>
      <c r="E576" s="14">
        <f>C576^2*D576</f>
        <v/>
      </c>
    </row>
    <row r="577">
      <c r="A577" s="26" t="n">
        <v>45677</v>
      </c>
      <c r="B577" s="14" t="inlineStr">
        <is>
          <t>NB-0006</t>
        </is>
      </c>
      <c r="C577" s="14" t="n">
        <v>72</v>
      </c>
      <c r="D577" s="14">
        <f>IF(A577&gt;LastWeek-364,1,0)</f>
        <v/>
      </c>
      <c r="E577" s="14">
        <f>C577^2*D577</f>
        <v/>
      </c>
    </row>
    <row r="578">
      <c r="A578" s="26" t="n">
        <v>45684</v>
      </c>
      <c r="B578" s="14" t="inlineStr">
        <is>
          <t>NB-0006</t>
        </is>
      </c>
      <c r="C578" s="14" t="n">
        <v>135</v>
      </c>
      <c r="D578" s="14">
        <f>IF(A578&gt;LastWeek-364,1,0)</f>
        <v/>
      </c>
      <c r="E578" s="14">
        <f>C578^2*D578</f>
        <v/>
      </c>
    </row>
    <row r="579">
      <c r="A579" s="26" t="n">
        <v>45691</v>
      </c>
      <c r="B579" s="14" t="inlineStr">
        <is>
          <t>NB-0006</t>
        </is>
      </c>
      <c r="C579" s="14" t="n">
        <v>80</v>
      </c>
      <c r="D579" s="14">
        <f>IF(A579&gt;LastWeek-364,1,0)</f>
        <v/>
      </c>
      <c r="E579" s="14">
        <f>C579^2*D579</f>
        <v/>
      </c>
    </row>
    <row r="580">
      <c r="A580" s="26" t="n">
        <v>45698</v>
      </c>
      <c r="B580" s="14" t="inlineStr">
        <is>
          <t>NB-0006</t>
        </is>
      </c>
      <c r="C580" s="14" t="n">
        <v>126</v>
      </c>
      <c r="D580" s="14">
        <f>IF(A580&gt;LastWeek-364,1,0)</f>
        <v/>
      </c>
      <c r="E580" s="14">
        <f>C580^2*D580</f>
        <v/>
      </c>
    </row>
    <row r="581">
      <c r="A581" s="26" t="n">
        <v>45705</v>
      </c>
      <c r="B581" s="14" t="inlineStr">
        <is>
          <t>NB-0006</t>
        </is>
      </c>
      <c r="C581" s="14" t="n">
        <v>73</v>
      </c>
      <c r="D581" s="14">
        <f>IF(A581&gt;LastWeek-364,1,0)</f>
        <v/>
      </c>
      <c r="E581" s="14">
        <f>C581^2*D581</f>
        <v/>
      </c>
    </row>
    <row r="582">
      <c r="A582" s="26" t="n">
        <v>45712</v>
      </c>
      <c r="B582" s="14" t="inlineStr">
        <is>
          <t>NB-0006</t>
        </is>
      </c>
      <c r="C582" s="14" t="n">
        <v>76</v>
      </c>
      <c r="D582" s="14">
        <f>IF(A582&gt;LastWeek-364,1,0)</f>
        <v/>
      </c>
      <c r="E582" s="14">
        <f>C582^2*D582</f>
        <v/>
      </c>
    </row>
    <row r="583">
      <c r="A583" s="26" t="n">
        <v>45719</v>
      </c>
      <c r="B583" s="14" t="inlineStr">
        <is>
          <t>NB-0006</t>
        </is>
      </c>
      <c r="C583" s="14" t="n">
        <v>79</v>
      </c>
      <c r="D583" s="14">
        <f>IF(A583&gt;LastWeek-364,1,0)</f>
        <v/>
      </c>
      <c r="E583" s="14">
        <f>C583^2*D583</f>
        <v/>
      </c>
    </row>
    <row r="584">
      <c r="A584" s="26" t="n">
        <v>45726</v>
      </c>
      <c r="B584" s="14" t="inlineStr">
        <is>
          <t>NB-0006</t>
        </is>
      </c>
      <c r="C584" s="14" t="n">
        <v>144</v>
      </c>
      <c r="D584" s="14">
        <f>IF(A584&gt;LastWeek-364,1,0)</f>
        <v/>
      </c>
      <c r="E584" s="14">
        <f>C584^2*D584</f>
        <v/>
      </c>
    </row>
    <row r="585">
      <c r="A585" s="26" t="n">
        <v>45733</v>
      </c>
      <c r="B585" s="14" t="inlineStr">
        <is>
          <t>NB-0006</t>
        </is>
      </c>
      <c r="C585" s="14" t="n">
        <v>84</v>
      </c>
      <c r="D585" s="14">
        <f>IF(A585&gt;LastWeek-364,1,0)</f>
        <v/>
      </c>
      <c r="E585" s="14">
        <f>C585^2*D585</f>
        <v/>
      </c>
    </row>
    <row r="586">
      <c r="A586" s="26" t="n">
        <v>45740</v>
      </c>
      <c r="B586" s="14" t="inlineStr">
        <is>
          <t>NB-0006</t>
        </is>
      </c>
      <c r="C586" s="14" t="n">
        <v>46</v>
      </c>
      <c r="D586" s="14">
        <f>IF(A586&gt;LastWeek-364,1,0)</f>
        <v/>
      </c>
      <c r="E586" s="14">
        <f>C586^2*D586</f>
        <v/>
      </c>
    </row>
    <row r="587">
      <c r="A587" s="26" t="n">
        <v>45747</v>
      </c>
      <c r="B587" s="14" t="inlineStr">
        <is>
          <t>NB-0006</t>
        </is>
      </c>
      <c r="C587" s="14" t="n">
        <v>77</v>
      </c>
      <c r="D587" s="14">
        <f>IF(A587&gt;LastWeek-364,1,0)</f>
        <v/>
      </c>
      <c r="E587" s="14">
        <f>C587^2*D587</f>
        <v/>
      </c>
    </row>
    <row r="588">
      <c r="A588" s="26" t="n">
        <v>45754</v>
      </c>
      <c r="B588" s="14" t="inlineStr">
        <is>
          <t>NB-0006</t>
        </is>
      </c>
      <c r="C588" s="14" t="n">
        <v>47</v>
      </c>
      <c r="D588" s="14">
        <f>IF(A588&gt;LastWeek-364,1,0)</f>
        <v/>
      </c>
      <c r="E588" s="14">
        <f>C588^2*D588</f>
        <v/>
      </c>
    </row>
    <row r="589">
      <c r="A589" s="26" t="n">
        <v>45761</v>
      </c>
      <c r="B589" s="14" t="inlineStr">
        <is>
          <t>NB-0006</t>
        </is>
      </c>
      <c r="C589" s="14" t="n">
        <v>42</v>
      </c>
      <c r="D589" s="14">
        <f>IF(A589&gt;LastWeek-364,1,0)</f>
        <v/>
      </c>
      <c r="E589" s="14">
        <f>C589^2*D589</f>
        <v/>
      </c>
    </row>
    <row r="590">
      <c r="A590" s="26" t="n">
        <v>45768</v>
      </c>
      <c r="B590" s="14" t="inlineStr">
        <is>
          <t>NB-0006</t>
        </is>
      </c>
      <c r="C590" s="14" t="n">
        <v>63</v>
      </c>
      <c r="D590" s="14">
        <f>IF(A590&gt;LastWeek-364,1,0)</f>
        <v/>
      </c>
      <c r="E590" s="14">
        <f>C590^2*D590</f>
        <v/>
      </c>
    </row>
    <row r="591">
      <c r="A591" s="26" t="n">
        <v>45775</v>
      </c>
      <c r="B591" s="14" t="inlineStr">
        <is>
          <t>NB-0006</t>
        </is>
      </c>
      <c r="C591" s="14" t="n">
        <v>44</v>
      </c>
      <c r="D591" s="14">
        <f>IF(A591&gt;LastWeek-364,1,0)</f>
        <v/>
      </c>
      <c r="E591" s="14">
        <f>C591^2*D591</f>
        <v/>
      </c>
    </row>
    <row r="592">
      <c r="A592" s="26" t="n">
        <v>45782</v>
      </c>
      <c r="B592" s="14" t="inlineStr">
        <is>
          <t>NB-0006</t>
        </is>
      </c>
      <c r="C592" s="14" t="n">
        <v>45</v>
      </c>
      <c r="D592" s="14">
        <f>IF(A592&gt;LastWeek-364,1,0)</f>
        <v/>
      </c>
      <c r="E592" s="14">
        <f>C592^2*D592</f>
        <v/>
      </c>
    </row>
    <row r="593">
      <c r="A593" s="26" t="n">
        <v>45789</v>
      </c>
      <c r="B593" s="14" t="inlineStr">
        <is>
          <t>NB-0006</t>
        </is>
      </c>
      <c r="C593" s="14" t="n">
        <v>38</v>
      </c>
      <c r="D593" s="14">
        <f>IF(A593&gt;LastWeek-364,1,0)</f>
        <v/>
      </c>
      <c r="E593" s="14">
        <f>C593^2*D593</f>
        <v/>
      </c>
    </row>
    <row r="594">
      <c r="A594" s="26" t="n">
        <v>45796</v>
      </c>
      <c r="B594" s="14" t="inlineStr">
        <is>
          <t>NB-0006</t>
        </is>
      </c>
      <c r="C594" s="14" t="n">
        <v>39</v>
      </c>
      <c r="D594" s="14">
        <f>IF(A594&gt;LastWeek-364,1,0)</f>
        <v/>
      </c>
      <c r="E594" s="14">
        <f>C594^2*D594</f>
        <v/>
      </c>
    </row>
    <row r="595">
      <c r="A595" s="26" t="n">
        <v>45803</v>
      </c>
      <c r="B595" s="14" t="inlineStr">
        <is>
          <t>NB-0006</t>
        </is>
      </c>
      <c r="C595" s="14" t="n">
        <v>38</v>
      </c>
      <c r="D595" s="14">
        <f>IF(A595&gt;LastWeek-364,1,0)</f>
        <v/>
      </c>
      <c r="E595" s="14">
        <f>C595^2*D595</f>
        <v/>
      </c>
    </row>
    <row r="596">
      <c r="A596" s="26" t="n">
        <v>45810</v>
      </c>
      <c r="B596" s="14" t="inlineStr">
        <is>
          <t>NB-0006</t>
        </is>
      </c>
      <c r="C596" s="14" t="n">
        <v>10</v>
      </c>
      <c r="D596" s="14">
        <f>IF(A596&gt;LastWeek-364,1,0)</f>
        <v/>
      </c>
      <c r="E596" s="14">
        <f>C596^2*D596</f>
        <v/>
      </c>
    </row>
    <row r="597">
      <c r="A597" s="26" t="n">
        <v>45817</v>
      </c>
      <c r="B597" s="14" t="inlineStr">
        <is>
          <t>NB-0006</t>
        </is>
      </c>
      <c r="C597" s="14" t="n">
        <v>36</v>
      </c>
      <c r="D597" s="14">
        <f>IF(A597&gt;LastWeek-364,1,0)</f>
        <v/>
      </c>
      <c r="E597" s="14">
        <f>C597^2*D597</f>
        <v/>
      </c>
    </row>
    <row r="598">
      <c r="A598" s="26" t="n">
        <v>45824</v>
      </c>
      <c r="B598" s="14" t="inlineStr">
        <is>
          <t>NB-0006</t>
        </is>
      </c>
      <c r="C598" s="14" t="n">
        <v>18</v>
      </c>
      <c r="D598" s="14">
        <f>IF(A598&gt;LastWeek-364,1,0)</f>
        <v/>
      </c>
      <c r="E598" s="14">
        <f>C598^2*D598</f>
        <v/>
      </c>
    </row>
    <row r="599">
      <c r="A599" s="26" t="n">
        <v>45831</v>
      </c>
      <c r="B599" s="14" t="inlineStr">
        <is>
          <t>NB-0006</t>
        </is>
      </c>
      <c r="C599" s="14" t="n">
        <v>13</v>
      </c>
      <c r="D599" s="14">
        <f>IF(A599&gt;LastWeek-364,1,0)</f>
        <v/>
      </c>
      <c r="E599" s="14">
        <f>C599^2*D599</f>
        <v/>
      </c>
    </row>
    <row r="600">
      <c r="A600" s="26" t="n">
        <v>45838</v>
      </c>
      <c r="B600" s="14" t="inlineStr">
        <is>
          <t>NB-0006</t>
        </is>
      </c>
      <c r="C600" s="14" t="n">
        <v>25</v>
      </c>
      <c r="D600" s="14">
        <f>IF(A600&gt;LastWeek-364,1,0)</f>
        <v/>
      </c>
      <c r="E600" s="14">
        <f>C600^2*D600</f>
        <v/>
      </c>
    </row>
    <row r="601">
      <c r="A601" s="26" t="n">
        <v>45845</v>
      </c>
      <c r="B601" s="14" t="inlineStr">
        <is>
          <t>NB-0006</t>
        </is>
      </c>
      <c r="C601" s="14" t="n">
        <v>26</v>
      </c>
      <c r="D601" s="14">
        <f>IF(A601&gt;LastWeek-364,1,0)</f>
        <v/>
      </c>
      <c r="E601" s="14">
        <f>C601^2*D601</f>
        <v/>
      </c>
    </row>
    <row r="602">
      <c r="A602" s="26" t="n">
        <v>45852</v>
      </c>
      <c r="B602" s="14" t="inlineStr">
        <is>
          <t>NB-0006</t>
        </is>
      </c>
      <c r="C602" s="14" t="n">
        <v>19</v>
      </c>
      <c r="D602" s="14">
        <f>IF(A602&gt;LastWeek-364,1,0)</f>
        <v/>
      </c>
      <c r="E602" s="14">
        <f>C602^2*D602</f>
        <v/>
      </c>
    </row>
    <row r="603">
      <c r="A603" s="26" t="n">
        <v>45859</v>
      </c>
      <c r="B603" s="14" t="inlineStr">
        <is>
          <t>NB-0006</t>
        </is>
      </c>
      <c r="C603" s="14" t="n">
        <v>34</v>
      </c>
      <c r="D603" s="14">
        <f>IF(A603&gt;LastWeek-364,1,0)</f>
        <v/>
      </c>
      <c r="E603" s="14">
        <f>C603^2*D603</f>
        <v/>
      </c>
    </row>
    <row r="604">
      <c r="A604" s="26" t="n">
        <v>45866</v>
      </c>
      <c r="B604" s="14" t="inlineStr">
        <is>
          <t>NB-0006</t>
        </is>
      </c>
      <c r="C604" s="14" t="n">
        <v>14</v>
      </c>
      <c r="D604" s="14">
        <f>IF(A604&gt;LastWeek-364,1,0)</f>
        <v/>
      </c>
      <c r="E604" s="14">
        <f>C604^2*D604</f>
        <v/>
      </c>
    </row>
    <row r="605">
      <c r="A605" s="26" t="n">
        <v>45873</v>
      </c>
      <c r="B605" s="14" t="inlineStr">
        <is>
          <t>NB-0006</t>
        </is>
      </c>
      <c r="C605" s="14" t="n">
        <v>25</v>
      </c>
      <c r="D605" s="14">
        <f>IF(A605&gt;LastWeek-364,1,0)</f>
        <v/>
      </c>
      <c r="E605" s="14">
        <f>C605^2*D605</f>
        <v/>
      </c>
    </row>
    <row r="606">
      <c r="A606" s="26" t="n">
        <v>45880</v>
      </c>
      <c r="B606" s="14" t="inlineStr">
        <is>
          <t>NB-0006</t>
        </is>
      </c>
      <c r="C606" s="14" t="n">
        <v>24</v>
      </c>
      <c r="D606" s="14">
        <f>IF(A606&gt;LastWeek-364,1,0)</f>
        <v/>
      </c>
      <c r="E606" s="14">
        <f>C606^2*D606</f>
        <v/>
      </c>
    </row>
    <row r="607">
      <c r="A607" s="26" t="n">
        <v>45887</v>
      </c>
      <c r="B607" s="14" t="inlineStr">
        <is>
          <t>NB-0006</t>
        </is>
      </c>
      <c r="C607" s="14" t="n">
        <v>32</v>
      </c>
      <c r="D607" s="14">
        <f>IF(A607&gt;LastWeek-364,1,0)</f>
        <v/>
      </c>
      <c r="E607" s="14">
        <f>C607^2*D607</f>
        <v/>
      </c>
    </row>
    <row r="608">
      <c r="A608" s="26" t="n">
        <v>45894</v>
      </c>
      <c r="B608" s="14" t="inlineStr">
        <is>
          <t>NB-0006</t>
        </is>
      </c>
      <c r="C608" s="14" t="n">
        <v>39</v>
      </c>
      <c r="D608" s="14">
        <f>IF(A608&gt;LastWeek-364,1,0)</f>
        <v/>
      </c>
      <c r="E608" s="14">
        <f>C608^2*D608</f>
        <v/>
      </c>
    </row>
    <row r="609">
      <c r="A609" s="26" t="n">
        <v>45901</v>
      </c>
      <c r="B609" s="14" t="inlineStr">
        <is>
          <t>NB-0006</t>
        </is>
      </c>
      <c r="C609" s="14" t="n">
        <v>24</v>
      </c>
      <c r="D609" s="14">
        <f>IF(A609&gt;LastWeek-364,1,0)</f>
        <v/>
      </c>
      <c r="E609" s="14">
        <f>C609^2*D609</f>
        <v/>
      </c>
    </row>
    <row r="610">
      <c r="A610" s="26" t="n">
        <v>45908</v>
      </c>
      <c r="B610" s="14" t="inlineStr">
        <is>
          <t>NB-0006</t>
        </is>
      </c>
      <c r="C610" s="14" t="n">
        <v>52</v>
      </c>
      <c r="D610" s="14">
        <f>IF(A610&gt;LastWeek-364,1,0)</f>
        <v/>
      </c>
      <c r="E610" s="14">
        <f>C610^2*D610</f>
        <v/>
      </c>
    </row>
    <row r="611">
      <c r="A611" s="26" t="n">
        <v>45915</v>
      </c>
      <c r="B611" s="14" t="inlineStr">
        <is>
          <t>NB-0006</t>
        </is>
      </c>
      <c r="C611" s="14" t="n">
        <v>45</v>
      </c>
      <c r="D611" s="14">
        <f>IF(A611&gt;LastWeek-364,1,0)</f>
        <v/>
      </c>
      <c r="E611" s="14">
        <f>C611^2*D611</f>
        <v/>
      </c>
    </row>
    <row r="612">
      <c r="A612" s="26" t="n">
        <v>45922</v>
      </c>
      <c r="B612" s="14" t="inlineStr">
        <is>
          <t>NB-0006</t>
        </is>
      </c>
      <c r="C612" s="14" t="n">
        <v>16</v>
      </c>
      <c r="D612" s="14">
        <f>IF(A612&gt;LastWeek-364,1,0)</f>
        <v/>
      </c>
      <c r="E612" s="14">
        <f>C612^2*D612</f>
        <v/>
      </c>
    </row>
    <row r="613">
      <c r="A613" s="26" t="n">
        <v>45929</v>
      </c>
      <c r="B613" s="14" t="inlineStr">
        <is>
          <t>NB-0006</t>
        </is>
      </c>
      <c r="C613" s="14" t="n">
        <v>16</v>
      </c>
      <c r="D613" s="14">
        <f>IF(A613&gt;LastWeek-364,1,0)</f>
        <v/>
      </c>
      <c r="E613" s="14">
        <f>C613^2*D613</f>
        <v/>
      </c>
    </row>
    <row r="614">
      <c r="A614" s="26" t="n">
        <v>45936</v>
      </c>
      <c r="B614" s="14" t="inlineStr">
        <is>
          <t>NB-0006</t>
        </is>
      </c>
      <c r="C614" s="14" t="n">
        <v>55</v>
      </c>
      <c r="D614" s="14">
        <f>IF(A614&gt;LastWeek-364,1,0)</f>
        <v/>
      </c>
      <c r="E614" s="14">
        <f>C614^2*D614</f>
        <v/>
      </c>
    </row>
    <row r="615">
      <c r="A615" s="26" t="n">
        <v>45943</v>
      </c>
      <c r="B615" s="14" t="inlineStr">
        <is>
          <t>NB-0006</t>
        </is>
      </c>
      <c r="C615" s="14" t="n">
        <v>54</v>
      </c>
      <c r="D615" s="14">
        <f>IF(A615&gt;LastWeek-364,1,0)</f>
        <v/>
      </c>
      <c r="E615" s="14">
        <f>C615^2*D615</f>
        <v/>
      </c>
    </row>
    <row r="616">
      <c r="A616" s="26" t="n">
        <v>45950</v>
      </c>
      <c r="B616" s="14" t="inlineStr">
        <is>
          <t>NB-0006</t>
        </is>
      </c>
      <c r="C616" s="14" t="n">
        <v>60</v>
      </c>
      <c r="D616" s="14">
        <f>IF(A616&gt;LastWeek-364,1,0)</f>
        <v/>
      </c>
      <c r="E616" s="14">
        <f>C616^2*D616</f>
        <v/>
      </c>
    </row>
    <row r="617">
      <c r="A617" s="26" t="n">
        <v>45957</v>
      </c>
      <c r="B617" s="14" t="inlineStr">
        <is>
          <t>NB-0006</t>
        </is>
      </c>
      <c r="C617" s="14" t="n">
        <v>65</v>
      </c>
      <c r="D617" s="14">
        <f>IF(A617&gt;LastWeek-364,1,0)</f>
        <v/>
      </c>
      <c r="E617" s="14">
        <f>C617^2*D617</f>
        <v/>
      </c>
    </row>
    <row r="618">
      <c r="A618" s="26" t="n">
        <v>45964</v>
      </c>
      <c r="B618" s="14" t="inlineStr">
        <is>
          <t>NB-0006</t>
        </is>
      </c>
      <c r="C618" s="14" t="n">
        <v>74</v>
      </c>
      <c r="D618" s="14">
        <f>IF(A618&gt;LastWeek-364,1,0)</f>
        <v/>
      </c>
      <c r="E618" s="14">
        <f>C618^2*D618</f>
        <v/>
      </c>
    </row>
    <row r="619">
      <c r="A619" s="26" t="n">
        <v>45971</v>
      </c>
      <c r="B619" s="14" t="inlineStr">
        <is>
          <t>NB-0006</t>
        </is>
      </c>
      <c r="C619" s="14" t="n">
        <v>96</v>
      </c>
      <c r="D619" s="14">
        <f>IF(A619&gt;LastWeek-364,1,0)</f>
        <v/>
      </c>
      <c r="E619" s="14">
        <f>C619^2*D619</f>
        <v/>
      </c>
    </row>
    <row r="620">
      <c r="A620" s="26" t="n">
        <v>45978</v>
      </c>
      <c r="B620" s="14" t="inlineStr">
        <is>
          <t>NB-0006</t>
        </is>
      </c>
      <c r="C620" s="14" t="n">
        <v>45</v>
      </c>
      <c r="D620" s="14">
        <f>IF(A620&gt;LastWeek-364,1,0)</f>
        <v/>
      </c>
      <c r="E620" s="14">
        <f>C620^2*D620</f>
        <v/>
      </c>
    </row>
    <row r="621">
      <c r="A621" s="26" t="n">
        <v>45985</v>
      </c>
      <c r="B621" s="14" t="inlineStr">
        <is>
          <t>NB-0006</t>
        </is>
      </c>
      <c r="C621" s="14" t="n">
        <v>45</v>
      </c>
      <c r="D621" s="14">
        <f>IF(A621&gt;LastWeek-364,1,0)</f>
        <v/>
      </c>
      <c r="E621" s="14">
        <f>C621^2*D621</f>
        <v/>
      </c>
    </row>
    <row r="622">
      <c r="A622" s="26" t="n">
        <v>45992</v>
      </c>
      <c r="B622" s="14" t="inlineStr">
        <is>
          <t>NB-0006</t>
        </is>
      </c>
      <c r="C622" s="14" t="n">
        <v>48</v>
      </c>
      <c r="D622" s="14">
        <f>IF(A622&gt;LastWeek-364,1,0)</f>
        <v/>
      </c>
      <c r="E622" s="14">
        <f>C622^2*D622</f>
        <v/>
      </c>
    </row>
    <row r="623">
      <c r="A623" s="26" t="n">
        <v>45999</v>
      </c>
      <c r="B623" s="14" t="inlineStr">
        <is>
          <t>NB-0006</t>
        </is>
      </c>
      <c r="C623" s="14" t="n">
        <v>89</v>
      </c>
      <c r="D623" s="14">
        <f>IF(A623&gt;LastWeek-364,1,0)</f>
        <v/>
      </c>
      <c r="E623" s="14">
        <f>C623^2*D623</f>
        <v/>
      </c>
    </row>
    <row r="624">
      <c r="A624" s="26" t="n">
        <v>46006</v>
      </c>
      <c r="B624" s="14" t="inlineStr">
        <is>
          <t>NB-0006</t>
        </is>
      </c>
      <c r="C624" s="14" t="n">
        <v>119</v>
      </c>
      <c r="D624" s="14">
        <f>IF(A624&gt;LastWeek-364,1,0)</f>
        <v/>
      </c>
      <c r="E624" s="14">
        <f>C624^2*D624</f>
        <v/>
      </c>
    </row>
    <row r="625">
      <c r="A625" s="26" t="n">
        <v>46013</v>
      </c>
      <c r="B625" s="14" t="inlineStr">
        <is>
          <t>NB-0006</t>
        </is>
      </c>
      <c r="C625" s="14" t="n">
        <v>71</v>
      </c>
      <c r="D625" s="14">
        <f>IF(A625&gt;LastWeek-364,1,0)</f>
        <v/>
      </c>
      <c r="E625" s="14">
        <f>C625^2*D625</f>
        <v/>
      </c>
    </row>
    <row r="626">
      <c r="A626" s="26" t="n">
        <v>45292</v>
      </c>
      <c r="B626" s="14" t="inlineStr">
        <is>
          <t>NB-0007</t>
        </is>
      </c>
      <c r="C626" s="14" t="n">
        <v>123</v>
      </c>
      <c r="D626" s="14">
        <f>IF(A626&gt;LastWeek-364,1,0)</f>
        <v/>
      </c>
      <c r="E626" s="14">
        <f>C626^2*D626</f>
        <v/>
      </c>
    </row>
    <row r="627">
      <c r="A627" s="26" t="n">
        <v>45299</v>
      </c>
      <c r="B627" s="14" t="inlineStr">
        <is>
          <t>NB-0007</t>
        </is>
      </c>
      <c r="C627" s="14" t="n">
        <v>142</v>
      </c>
      <c r="D627" s="14">
        <f>IF(A627&gt;LastWeek-364,1,0)</f>
        <v/>
      </c>
      <c r="E627" s="14">
        <f>C627^2*D627</f>
        <v/>
      </c>
    </row>
    <row r="628">
      <c r="A628" s="26" t="n">
        <v>45306</v>
      </c>
      <c r="B628" s="14" t="inlineStr">
        <is>
          <t>NB-0007</t>
        </is>
      </c>
      <c r="C628" s="14" t="n">
        <v>162</v>
      </c>
      <c r="D628" s="14">
        <f>IF(A628&gt;LastWeek-364,1,0)</f>
        <v/>
      </c>
      <c r="E628" s="14">
        <f>C628^2*D628</f>
        <v/>
      </c>
    </row>
    <row r="629">
      <c r="A629" s="26" t="n">
        <v>45313</v>
      </c>
      <c r="B629" s="14" t="inlineStr">
        <is>
          <t>NB-0007</t>
        </is>
      </c>
      <c r="C629" s="14" t="n">
        <v>167</v>
      </c>
      <c r="D629" s="14">
        <f>IF(A629&gt;LastWeek-364,1,0)</f>
        <v/>
      </c>
      <c r="E629" s="14">
        <f>C629^2*D629</f>
        <v/>
      </c>
    </row>
    <row r="630">
      <c r="A630" s="26" t="n">
        <v>45320</v>
      </c>
      <c r="B630" s="14" t="inlineStr">
        <is>
          <t>NB-0007</t>
        </is>
      </c>
      <c r="C630" s="14" t="n">
        <v>169</v>
      </c>
      <c r="D630" s="14">
        <f>IF(A630&gt;LastWeek-364,1,0)</f>
        <v/>
      </c>
      <c r="E630" s="14">
        <f>C630^2*D630</f>
        <v/>
      </c>
    </row>
    <row r="631">
      <c r="A631" s="26" t="n">
        <v>45327</v>
      </c>
      <c r="B631" s="14" t="inlineStr">
        <is>
          <t>NB-0007</t>
        </is>
      </c>
      <c r="C631" s="14" t="n">
        <v>177</v>
      </c>
      <c r="D631" s="14">
        <f>IF(A631&gt;LastWeek-364,1,0)</f>
        <v/>
      </c>
      <c r="E631" s="14">
        <f>C631^2*D631</f>
        <v/>
      </c>
    </row>
    <row r="632">
      <c r="A632" s="26" t="n">
        <v>45334</v>
      </c>
      <c r="B632" s="14" t="inlineStr">
        <is>
          <t>NB-0007</t>
        </is>
      </c>
      <c r="C632" s="14" t="n">
        <v>166</v>
      </c>
      <c r="D632" s="14">
        <f>IF(A632&gt;LastWeek-364,1,0)</f>
        <v/>
      </c>
      <c r="E632" s="14">
        <f>C632^2*D632</f>
        <v/>
      </c>
    </row>
    <row r="633">
      <c r="A633" s="26" t="n">
        <v>45341</v>
      </c>
      <c r="B633" s="14" t="inlineStr">
        <is>
          <t>NB-0007</t>
        </is>
      </c>
      <c r="C633" s="14" t="n">
        <v>191</v>
      </c>
      <c r="D633" s="14">
        <f>IF(A633&gt;LastWeek-364,1,0)</f>
        <v/>
      </c>
      <c r="E633" s="14">
        <f>C633^2*D633</f>
        <v/>
      </c>
    </row>
    <row r="634">
      <c r="A634" s="26" t="n">
        <v>45348</v>
      </c>
      <c r="B634" s="14" t="inlineStr">
        <is>
          <t>NB-0007</t>
        </is>
      </c>
      <c r="C634" s="14" t="n">
        <v>150</v>
      </c>
      <c r="D634" s="14">
        <f>IF(A634&gt;LastWeek-364,1,0)</f>
        <v/>
      </c>
      <c r="E634" s="14">
        <f>C634^2*D634</f>
        <v/>
      </c>
    </row>
    <row r="635">
      <c r="A635" s="26" t="n">
        <v>45355</v>
      </c>
      <c r="B635" s="14" t="inlineStr">
        <is>
          <t>NB-0007</t>
        </is>
      </c>
      <c r="C635" s="14" t="n">
        <v>142</v>
      </c>
      <c r="D635" s="14">
        <f>IF(A635&gt;LastWeek-364,1,0)</f>
        <v/>
      </c>
      <c r="E635" s="14">
        <f>C635^2*D635</f>
        <v/>
      </c>
    </row>
    <row r="636">
      <c r="A636" s="26" t="n">
        <v>45362</v>
      </c>
      <c r="B636" s="14" t="inlineStr">
        <is>
          <t>NB-0007</t>
        </is>
      </c>
      <c r="C636" s="14" t="n">
        <v>163</v>
      </c>
      <c r="D636" s="14">
        <f>IF(A636&gt;LastWeek-364,1,0)</f>
        <v/>
      </c>
      <c r="E636" s="14">
        <f>C636^2*D636</f>
        <v/>
      </c>
    </row>
    <row r="637">
      <c r="A637" s="26" t="n">
        <v>45369</v>
      </c>
      <c r="B637" s="14" t="inlineStr">
        <is>
          <t>NB-0007</t>
        </is>
      </c>
      <c r="C637" s="14" t="n">
        <v>119</v>
      </c>
      <c r="D637" s="14">
        <f>IF(A637&gt;LastWeek-364,1,0)</f>
        <v/>
      </c>
      <c r="E637" s="14">
        <f>C637^2*D637</f>
        <v/>
      </c>
    </row>
    <row r="638">
      <c r="A638" s="26" t="n">
        <v>45376</v>
      </c>
      <c r="B638" s="14" t="inlineStr">
        <is>
          <t>NB-0007</t>
        </is>
      </c>
      <c r="C638" s="14" t="n">
        <v>149</v>
      </c>
      <c r="D638" s="14">
        <f>IF(A638&gt;LastWeek-364,1,0)</f>
        <v/>
      </c>
      <c r="E638" s="14">
        <f>C638^2*D638</f>
        <v/>
      </c>
    </row>
    <row r="639">
      <c r="A639" s="26" t="n">
        <v>45383</v>
      </c>
      <c r="B639" s="14" t="inlineStr">
        <is>
          <t>NB-0007</t>
        </is>
      </c>
      <c r="C639" s="14" t="n">
        <v>138</v>
      </c>
      <c r="D639" s="14">
        <f>IF(A639&gt;LastWeek-364,1,0)</f>
        <v/>
      </c>
      <c r="E639" s="14">
        <f>C639^2*D639</f>
        <v/>
      </c>
    </row>
    <row r="640">
      <c r="A640" s="26" t="n">
        <v>45390</v>
      </c>
      <c r="B640" s="14" t="inlineStr">
        <is>
          <t>NB-0007</t>
        </is>
      </c>
      <c r="C640" s="14" t="n">
        <v>127</v>
      </c>
      <c r="D640" s="14">
        <f>IF(A640&gt;LastWeek-364,1,0)</f>
        <v/>
      </c>
      <c r="E640" s="14">
        <f>C640^2*D640</f>
        <v/>
      </c>
    </row>
    <row r="641">
      <c r="A641" s="26" t="n">
        <v>45397</v>
      </c>
      <c r="B641" s="14" t="inlineStr">
        <is>
          <t>NB-0007</t>
        </is>
      </c>
      <c r="C641" s="14" t="n">
        <v>149</v>
      </c>
      <c r="D641" s="14">
        <f>IF(A641&gt;LastWeek-364,1,0)</f>
        <v/>
      </c>
      <c r="E641" s="14">
        <f>C641^2*D641</f>
        <v/>
      </c>
    </row>
    <row r="642">
      <c r="A642" s="26" t="n">
        <v>45404</v>
      </c>
      <c r="B642" s="14" t="inlineStr">
        <is>
          <t>NB-0007</t>
        </is>
      </c>
      <c r="C642" s="14" t="n">
        <v>108</v>
      </c>
      <c r="D642" s="14">
        <f>IF(A642&gt;LastWeek-364,1,0)</f>
        <v/>
      </c>
      <c r="E642" s="14">
        <f>C642^2*D642</f>
        <v/>
      </c>
    </row>
    <row r="643">
      <c r="A643" s="26" t="n">
        <v>45411</v>
      </c>
      <c r="B643" s="14" t="inlineStr">
        <is>
          <t>NB-0007</t>
        </is>
      </c>
      <c r="C643" s="14" t="n">
        <v>141</v>
      </c>
      <c r="D643" s="14">
        <f>IF(A643&gt;LastWeek-364,1,0)</f>
        <v/>
      </c>
      <c r="E643" s="14">
        <f>C643^2*D643</f>
        <v/>
      </c>
    </row>
    <row r="644">
      <c r="A644" s="26" t="n">
        <v>45418</v>
      </c>
      <c r="B644" s="14" t="inlineStr">
        <is>
          <t>NB-0007</t>
        </is>
      </c>
      <c r="C644" s="14" t="n">
        <v>103</v>
      </c>
      <c r="D644" s="14">
        <f>IF(A644&gt;LastWeek-364,1,0)</f>
        <v/>
      </c>
      <c r="E644" s="14">
        <f>C644^2*D644</f>
        <v/>
      </c>
    </row>
    <row r="645">
      <c r="A645" s="26" t="n">
        <v>45425</v>
      </c>
      <c r="B645" s="14" t="inlineStr">
        <is>
          <t>NB-0007</t>
        </is>
      </c>
      <c r="C645" s="14" t="n">
        <v>84</v>
      </c>
      <c r="D645" s="14">
        <f>IF(A645&gt;LastWeek-364,1,0)</f>
        <v/>
      </c>
      <c r="E645" s="14">
        <f>C645^2*D645</f>
        <v/>
      </c>
    </row>
    <row r="646">
      <c r="A646" s="26" t="n">
        <v>45432</v>
      </c>
      <c r="B646" s="14" t="inlineStr">
        <is>
          <t>NB-0007</t>
        </is>
      </c>
      <c r="C646" s="14" t="n">
        <v>96</v>
      </c>
      <c r="D646" s="14">
        <f>IF(A646&gt;LastWeek-364,1,0)</f>
        <v/>
      </c>
      <c r="E646" s="14">
        <f>C646^2*D646</f>
        <v/>
      </c>
    </row>
    <row r="647">
      <c r="A647" s="26" t="n">
        <v>45439</v>
      </c>
      <c r="B647" s="14" t="inlineStr">
        <is>
          <t>NB-0007</t>
        </is>
      </c>
      <c r="C647" s="14" t="n">
        <v>78</v>
      </c>
      <c r="D647" s="14">
        <f>IF(A647&gt;LastWeek-364,1,0)</f>
        <v/>
      </c>
      <c r="E647" s="14">
        <f>C647^2*D647</f>
        <v/>
      </c>
    </row>
    <row r="648">
      <c r="A648" s="26" t="n">
        <v>45446</v>
      </c>
      <c r="B648" s="14" t="inlineStr">
        <is>
          <t>NB-0007</t>
        </is>
      </c>
      <c r="C648" s="14" t="n">
        <v>79</v>
      </c>
      <c r="D648" s="14">
        <f>IF(A648&gt;LastWeek-364,1,0)</f>
        <v/>
      </c>
      <c r="E648" s="14">
        <f>C648^2*D648</f>
        <v/>
      </c>
    </row>
    <row r="649">
      <c r="A649" s="26" t="n">
        <v>45453</v>
      </c>
      <c r="B649" s="14" t="inlineStr">
        <is>
          <t>NB-0007</t>
        </is>
      </c>
      <c r="C649" s="14" t="n">
        <v>88</v>
      </c>
      <c r="D649" s="14">
        <f>IF(A649&gt;LastWeek-364,1,0)</f>
        <v/>
      </c>
      <c r="E649" s="14">
        <f>C649^2*D649</f>
        <v/>
      </c>
    </row>
    <row r="650">
      <c r="A650" s="26" t="n">
        <v>45460</v>
      </c>
      <c r="B650" s="14" t="inlineStr">
        <is>
          <t>NB-0007</t>
        </is>
      </c>
      <c r="C650" s="14" t="n">
        <v>87</v>
      </c>
      <c r="D650" s="14">
        <f>IF(A650&gt;LastWeek-364,1,0)</f>
        <v/>
      </c>
      <c r="E650" s="14">
        <f>C650^2*D650</f>
        <v/>
      </c>
    </row>
    <row r="651">
      <c r="A651" s="26" t="n">
        <v>45467</v>
      </c>
      <c r="B651" s="14" t="inlineStr">
        <is>
          <t>NB-0007</t>
        </is>
      </c>
      <c r="C651" s="14" t="n">
        <v>73</v>
      </c>
      <c r="D651" s="14">
        <f>IF(A651&gt;LastWeek-364,1,0)</f>
        <v/>
      </c>
      <c r="E651" s="14">
        <f>C651^2*D651</f>
        <v/>
      </c>
    </row>
    <row r="652">
      <c r="A652" s="26" t="n">
        <v>45474</v>
      </c>
      <c r="B652" s="14" t="inlineStr">
        <is>
          <t>NB-0007</t>
        </is>
      </c>
      <c r="C652" s="14" t="n">
        <v>88</v>
      </c>
      <c r="D652" s="14">
        <f>IF(A652&gt;LastWeek-364,1,0)</f>
        <v/>
      </c>
      <c r="E652" s="14">
        <f>C652^2*D652</f>
        <v/>
      </c>
    </row>
    <row r="653">
      <c r="A653" s="26" t="n">
        <v>45481</v>
      </c>
      <c r="B653" s="14" t="inlineStr">
        <is>
          <t>NB-0007</t>
        </is>
      </c>
      <c r="C653" s="14" t="n">
        <v>89</v>
      </c>
      <c r="D653" s="14">
        <f>IF(A653&gt;LastWeek-364,1,0)</f>
        <v/>
      </c>
      <c r="E653" s="14">
        <f>C653^2*D653</f>
        <v/>
      </c>
    </row>
    <row r="654">
      <c r="A654" s="26" t="n">
        <v>45488</v>
      </c>
      <c r="B654" s="14" t="inlineStr">
        <is>
          <t>NB-0007</t>
        </is>
      </c>
      <c r="C654" s="14" t="n">
        <v>93</v>
      </c>
      <c r="D654" s="14">
        <f>IF(A654&gt;LastWeek-364,1,0)</f>
        <v/>
      </c>
      <c r="E654" s="14">
        <f>C654^2*D654</f>
        <v/>
      </c>
    </row>
    <row r="655">
      <c r="A655" s="26" t="n">
        <v>45495</v>
      </c>
      <c r="B655" s="14" t="inlineStr">
        <is>
          <t>NB-0007</t>
        </is>
      </c>
      <c r="C655" s="14" t="n">
        <v>85</v>
      </c>
      <c r="D655" s="14">
        <f>IF(A655&gt;LastWeek-364,1,0)</f>
        <v/>
      </c>
      <c r="E655" s="14">
        <f>C655^2*D655</f>
        <v/>
      </c>
    </row>
    <row r="656">
      <c r="A656" s="26" t="n">
        <v>45502</v>
      </c>
      <c r="B656" s="14" t="inlineStr">
        <is>
          <t>NB-0007</t>
        </is>
      </c>
      <c r="C656" s="14" t="n">
        <v>95</v>
      </c>
      <c r="D656" s="14">
        <f>IF(A656&gt;LastWeek-364,1,0)</f>
        <v/>
      </c>
      <c r="E656" s="14">
        <f>C656^2*D656</f>
        <v/>
      </c>
    </row>
    <row r="657">
      <c r="A657" s="26" t="n">
        <v>45509</v>
      </c>
      <c r="B657" s="14" t="inlineStr">
        <is>
          <t>NB-0007</t>
        </is>
      </c>
      <c r="C657" s="14" t="n">
        <v>64</v>
      </c>
      <c r="D657" s="14">
        <f>IF(A657&gt;LastWeek-364,1,0)</f>
        <v/>
      </c>
      <c r="E657" s="14">
        <f>C657^2*D657</f>
        <v/>
      </c>
    </row>
    <row r="658">
      <c r="A658" s="26" t="n">
        <v>45516</v>
      </c>
      <c r="B658" s="14" t="inlineStr">
        <is>
          <t>NB-0007</t>
        </is>
      </c>
      <c r="C658" s="14" t="n">
        <v>83</v>
      </c>
      <c r="D658" s="14">
        <f>IF(A658&gt;LastWeek-364,1,0)</f>
        <v/>
      </c>
      <c r="E658" s="14">
        <f>C658^2*D658</f>
        <v/>
      </c>
    </row>
    <row r="659">
      <c r="A659" s="26" t="n">
        <v>45523</v>
      </c>
      <c r="B659" s="14" t="inlineStr">
        <is>
          <t>NB-0007</t>
        </is>
      </c>
      <c r="C659" s="14" t="n">
        <v>81</v>
      </c>
      <c r="D659" s="14">
        <f>IF(A659&gt;LastWeek-364,1,0)</f>
        <v/>
      </c>
      <c r="E659" s="14">
        <f>C659^2*D659</f>
        <v/>
      </c>
    </row>
    <row r="660">
      <c r="A660" s="26" t="n">
        <v>45530</v>
      </c>
      <c r="B660" s="14" t="inlineStr">
        <is>
          <t>NB-0007</t>
        </is>
      </c>
      <c r="C660" s="14" t="n">
        <v>97</v>
      </c>
      <c r="D660" s="14">
        <f>IF(A660&gt;LastWeek-364,1,0)</f>
        <v/>
      </c>
      <c r="E660" s="14">
        <f>C660^2*D660</f>
        <v/>
      </c>
    </row>
    <row r="661">
      <c r="A661" s="26" t="n">
        <v>45537</v>
      </c>
      <c r="B661" s="14" t="inlineStr">
        <is>
          <t>NB-0007</t>
        </is>
      </c>
      <c r="C661" s="14" t="n">
        <v>93</v>
      </c>
      <c r="D661" s="14">
        <f>IF(A661&gt;LastWeek-364,1,0)</f>
        <v/>
      </c>
      <c r="E661" s="14">
        <f>C661^2*D661</f>
        <v/>
      </c>
    </row>
    <row r="662">
      <c r="A662" s="26" t="n">
        <v>45544</v>
      </c>
      <c r="B662" s="14" t="inlineStr">
        <is>
          <t>NB-0007</t>
        </is>
      </c>
      <c r="C662" s="14" t="n">
        <v>103</v>
      </c>
      <c r="D662" s="14">
        <f>IF(A662&gt;LastWeek-364,1,0)</f>
        <v/>
      </c>
      <c r="E662" s="14">
        <f>C662^2*D662</f>
        <v/>
      </c>
    </row>
    <row r="663">
      <c r="A663" s="26" t="n">
        <v>45551</v>
      </c>
      <c r="B663" s="14" t="inlineStr">
        <is>
          <t>NB-0007</t>
        </is>
      </c>
      <c r="C663" s="14" t="n">
        <v>138</v>
      </c>
      <c r="D663" s="14">
        <f>IF(A663&gt;LastWeek-364,1,0)</f>
        <v/>
      </c>
      <c r="E663" s="14">
        <f>C663^2*D663</f>
        <v/>
      </c>
    </row>
    <row r="664">
      <c r="A664" s="26" t="n">
        <v>45558</v>
      </c>
      <c r="B664" s="14" t="inlineStr">
        <is>
          <t>NB-0007</t>
        </is>
      </c>
      <c r="C664" s="14" t="n">
        <v>114</v>
      </c>
      <c r="D664" s="14">
        <f>IF(A664&gt;LastWeek-364,1,0)</f>
        <v/>
      </c>
      <c r="E664" s="14">
        <f>C664^2*D664</f>
        <v/>
      </c>
    </row>
    <row r="665">
      <c r="A665" s="26" t="n">
        <v>45565</v>
      </c>
      <c r="B665" s="14" t="inlineStr">
        <is>
          <t>NB-0007</t>
        </is>
      </c>
      <c r="C665" s="14" t="n">
        <v>130</v>
      </c>
      <c r="D665" s="14">
        <f>IF(A665&gt;LastWeek-364,1,0)</f>
        <v/>
      </c>
      <c r="E665" s="14">
        <f>C665^2*D665</f>
        <v/>
      </c>
    </row>
    <row r="666">
      <c r="A666" s="26" t="n">
        <v>45572</v>
      </c>
      <c r="B666" s="14" t="inlineStr">
        <is>
          <t>NB-0007</t>
        </is>
      </c>
      <c r="C666" s="14" t="n">
        <v>125</v>
      </c>
      <c r="D666" s="14">
        <f>IF(A666&gt;LastWeek-364,1,0)</f>
        <v/>
      </c>
      <c r="E666" s="14">
        <f>C666^2*D666</f>
        <v/>
      </c>
    </row>
    <row r="667">
      <c r="A667" s="26" t="n">
        <v>45579</v>
      </c>
      <c r="B667" s="14" t="inlineStr">
        <is>
          <t>NB-0007</t>
        </is>
      </c>
      <c r="C667" s="14" t="n">
        <v>137</v>
      </c>
      <c r="D667" s="14">
        <f>IF(A667&gt;LastWeek-364,1,0)</f>
        <v/>
      </c>
      <c r="E667" s="14">
        <f>C667^2*D667</f>
        <v/>
      </c>
    </row>
    <row r="668">
      <c r="A668" s="26" t="n">
        <v>45586</v>
      </c>
      <c r="B668" s="14" t="inlineStr">
        <is>
          <t>NB-0007</t>
        </is>
      </c>
      <c r="C668" s="14" t="n">
        <v>142</v>
      </c>
      <c r="D668" s="14">
        <f>IF(A668&gt;LastWeek-364,1,0)</f>
        <v/>
      </c>
      <c r="E668" s="14">
        <f>C668^2*D668</f>
        <v/>
      </c>
    </row>
    <row r="669">
      <c r="A669" s="26" t="n">
        <v>45593</v>
      </c>
      <c r="B669" s="14" t="inlineStr">
        <is>
          <t>NB-0007</t>
        </is>
      </c>
      <c r="C669" s="14" t="n">
        <v>156</v>
      </c>
      <c r="D669" s="14">
        <f>IF(A669&gt;LastWeek-364,1,0)</f>
        <v/>
      </c>
      <c r="E669" s="14">
        <f>C669^2*D669</f>
        <v/>
      </c>
    </row>
    <row r="670">
      <c r="A670" s="26" t="n">
        <v>45600</v>
      </c>
      <c r="B670" s="14" t="inlineStr">
        <is>
          <t>NB-0007</t>
        </is>
      </c>
      <c r="C670" s="14" t="n">
        <v>176</v>
      </c>
      <c r="D670" s="14">
        <f>IF(A670&gt;LastWeek-364,1,0)</f>
        <v/>
      </c>
      <c r="E670" s="14">
        <f>C670^2*D670</f>
        <v/>
      </c>
    </row>
    <row r="671">
      <c r="A671" s="26" t="n">
        <v>45607</v>
      </c>
      <c r="B671" s="14" t="inlineStr">
        <is>
          <t>NB-0007</t>
        </is>
      </c>
      <c r="C671" s="14" t="n">
        <v>192</v>
      </c>
      <c r="D671" s="14">
        <f>IF(A671&gt;LastWeek-364,1,0)</f>
        <v/>
      </c>
      <c r="E671" s="14">
        <f>C671^2*D671</f>
        <v/>
      </c>
    </row>
    <row r="672">
      <c r="A672" s="26" t="n">
        <v>45614</v>
      </c>
      <c r="B672" s="14" t="inlineStr">
        <is>
          <t>NB-0007</t>
        </is>
      </c>
      <c r="C672" s="14" t="n">
        <v>170</v>
      </c>
      <c r="D672" s="14">
        <f>IF(A672&gt;LastWeek-364,1,0)</f>
        <v/>
      </c>
      <c r="E672" s="14">
        <f>C672^2*D672</f>
        <v/>
      </c>
    </row>
    <row r="673">
      <c r="A673" s="26" t="n">
        <v>45621</v>
      </c>
      <c r="B673" s="14" t="inlineStr">
        <is>
          <t>NB-0007</t>
        </is>
      </c>
      <c r="C673" s="14" t="n">
        <v>180</v>
      </c>
      <c r="D673" s="14">
        <f>IF(A673&gt;LastWeek-364,1,0)</f>
        <v/>
      </c>
      <c r="E673" s="14">
        <f>C673^2*D673</f>
        <v/>
      </c>
    </row>
    <row r="674">
      <c r="A674" s="26" t="n">
        <v>45628</v>
      </c>
      <c r="B674" s="14" t="inlineStr">
        <is>
          <t>NB-0007</t>
        </is>
      </c>
      <c r="C674" s="14" t="n">
        <v>146</v>
      </c>
      <c r="D674" s="14">
        <f>IF(A674&gt;LastWeek-364,1,0)</f>
        <v/>
      </c>
      <c r="E674" s="14">
        <f>C674^2*D674</f>
        <v/>
      </c>
    </row>
    <row r="675">
      <c r="A675" s="26" t="n">
        <v>45635</v>
      </c>
      <c r="B675" s="14" t="inlineStr">
        <is>
          <t>NB-0007</t>
        </is>
      </c>
      <c r="C675" s="14" t="n">
        <v>173</v>
      </c>
      <c r="D675" s="14">
        <f>IF(A675&gt;LastWeek-364,1,0)</f>
        <v/>
      </c>
      <c r="E675" s="14">
        <f>C675^2*D675</f>
        <v/>
      </c>
    </row>
    <row r="676">
      <c r="A676" s="26" t="n">
        <v>45642</v>
      </c>
      <c r="B676" s="14" t="inlineStr">
        <is>
          <t>NB-0007</t>
        </is>
      </c>
      <c r="C676" s="14" t="n">
        <v>198</v>
      </c>
      <c r="D676" s="14">
        <f>IF(A676&gt;LastWeek-364,1,0)</f>
        <v/>
      </c>
      <c r="E676" s="14">
        <f>C676^2*D676</f>
        <v/>
      </c>
    </row>
    <row r="677">
      <c r="A677" s="26" t="n">
        <v>45649</v>
      </c>
      <c r="B677" s="14" t="inlineStr">
        <is>
          <t>NB-0007</t>
        </is>
      </c>
      <c r="C677" s="14" t="n">
        <v>199</v>
      </c>
      <c r="D677" s="14">
        <f>IF(A677&gt;LastWeek-364,1,0)</f>
        <v/>
      </c>
      <c r="E677" s="14">
        <f>C677^2*D677</f>
        <v/>
      </c>
    </row>
    <row r="678">
      <c r="A678" s="26" t="n">
        <v>45656</v>
      </c>
      <c r="B678" s="14" t="inlineStr">
        <is>
          <t>NB-0007</t>
        </is>
      </c>
      <c r="C678" s="14" t="n">
        <v>185</v>
      </c>
      <c r="D678" s="14">
        <f>IF(A678&gt;LastWeek-364,1,0)</f>
        <v/>
      </c>
      <c r="E678" s="14">
        <f>C678^2*D678</f>
        <v/>
      </c>
    </row>
    <row r="679">
      <c r="A679" s="26" t="n">
        <v>45663</v>
      </c>
      <c r="B679" s="14" t="inlineStr">
        <is>
          <t>NB-0007</t>
        </is>
      </c>
      <c r="C679" s="14" t="n">
        <v>201</v>
      </c>
      <c r="D679" s="14">
        <f>IF(A679&gt;LastWeek-364,1,0)</f>
        <v/>
      </c>
      <c r="E679" s="14">
        <f>C679^2*D679</f>
        <v/>
      </c>
    </row>
    <row r="680">
      <c r="A680" s="26" t="n">
        <v>45670</v>
      </c>
      <c r="B680" s="14" t="inlineStr">
        <is>
          <t>NB-0007</t>
        </is>
      </c>
      <c r="C680" s="14" t="n">
        <v>191</v>
      </c>
      <c r="D680" s="14">
        <f>IF(A680&gt;LastWeek-364,1,0)</f>
        <v/>
      </c>
      <c r="E680" s="14">
        <f>C680^2*D680</f>
        <v/>
      </c>
    </row>
    <row r="681">
      <c r="A681" s="26" t="n">
        <v>45677</v>
      </c>
      <c r="B681" s="14" t="inlineStr">
        <is>
          <t>NB-0007</t>
        </is>
      </c>
      <c r="C681" s="14" t="n">
        <v>206</v>
      </c>
      <c r="D681" s="14">
        <f>IF(A681&gt;LastWeek-364,1,0)</f>
        <v/>
      </c>
      <c r="E681" s="14">
        <f>C681^2*D681</f>
        <v/>
      </c>
    </row>
    <row r="682">
      <c r="A682" s="26" t="n">
        <v>45684</v>
      </c>
      <c r="B682" s="14" t="inlineStr">
        <is>
          <t>NB-0007</t>
        </is>
      </c>
      <c r="C682" s="14" t="n">
        <v>184</v>
      </c>
      <c r="D682" s="14">
        <f>IF(A682&gt;LastWeek-364,1,0)</f>
        <v/>
      </c>
      <c r="E682" s="14">
        <f>C682^2*D682</f>
        <v/>
      </c>
    </row>
    <row r="683">
      <c r="A683" s="26" t="n">
        <v>45691</v>
      </c>
      <c r="B683" s="14" t="inlineStr">
        <is>
          <t>NB-0007</t>
        </is>
      </c>
      <c r="C683" s="14" t="n">
        <v>166</v>
      </c>
      <c r="D683" s="14">
        <f>IF(A683&gt;LastWeek-364,1,0)</f>
        <v/>
      </c>
      <c r="E683" s="14">
        <f>C683^2*D683</f>
        <v/>
      </c>
    </row>
    <row r="684">
      <c r="A684" s="26" t="n">
        <v>45698</v>
      </c>
      <c r="B684" s="14" t="inlineStr">
        <is>
          <t>NB-0007</t>
        </is>
      </c>
      <c r="C684" s="14" t="n">
        <v>179</v>
      </c>
      <c r="D684" s="14">
        <f>IF(A684&gt;LastWeek-364,1,0)</f>
        <v/>
      </c>
      <c r="E684" s="14">
        <f>C684^2*D684</f>
        <v/>
      </c>
    </row>
    <row r="685">
      <c r="A685" s="26" t="n">
        <v>45705</v>
      </c>
      <c r="B685" s="14" t="inlineStr">
        <is>
          <t>NB-0007</t>
        </is>
      </c>
      <c r="C685" s="14" t="n">
        <v>105</v>
      </c>
      <c r="D685" s="14">
        <f>IF(A685&gt;LastWeek-364,1,0)</f>
        <v/>
      </c>
      <c r="E685" s="14">
        <f>C685^2*D685</f>
        <v/>
      </c>
    </row>
    <row r="686">
      <c r="A686" s="26" t="n">
        <v>45712</v>
      </c>
      <c r="B686" s="14" t="inlineStr">
        <is>
          <t>NB-0007</t>
        </is>
      </c>
      <c r="C686" s="14" t="n">
        <v>171</v>
      </c>
      <c r="D686" s="14">
        <f>IF(A686&gt;LastWeek-364,1,0)</f>
        <v/>
      </c>
      <c r="E686" s="14">
        <f>C686^2*D686</f>
        <v/>
      </c>
    </row>
    <row r="687">
      <c r="A687" s="26" t="n">
        <v>45719</v>
      </c>
      <c r="B687" s="14" t="inlineStr">
        <is>
          <t>NB-0007</t>
        </is>
      </c>
      <c r="C687" s="14" t="n">
        <v>84</v>
      </c>
      <c r="D687" s="14">
        <f>IF(A687&gt;LastWeek-364,1,0)</f>
        <v/>
      </c>
      <c r="E687" s="14">
        <f>C687^2*D687</f>
        <v/>
      </c>
    </row>
    <row r="688">
      <c r="A688" s="26" t="n">
        <v>45726</v>
      </c>
      <c r="B688" s="14" t="inlineStr">
        <is>
          <t>NB-0007</t>
        </is>
      </c>
      <c r="C688" s="14" t="n">
        <v>119</v>
      </c>
      <c r="D688" s="14">
        <f>IF(A688&gt;LastWeek-364,1,0)</f>
        <v/>
      </c>
      <c r="E688" s="14">
        <f>C688^2*D688</f>
        <v/>
      </c>
    </row>
    <row r="689">
      <c r="A689" s="26" t="n">
        <v>45733</v>
      </c>
      <c r="B689" s="14" t="inlineStr">
        <is>
          <t>NB-0007</t>
        </is>
      </c>
      <c r="C689" s="14" t="n">
        <v>156</v>
      </c>
      <c r="D689" s="14">
        <f>IF(A689&gt;LastWeek-364,1,0)</f>
        <v/>
      </c>
      <c r="E689" s="14">
        <f>C689^2*D689</f>
        <v/>
      </c>
    </row>
    <row r="690">
      <c r="A690" s="26" t="n">
        <v>45740</v>
      </c>
      <c r="B690" s="14" t="inlineStr">
        <is>
          <t>NB-0007</t>
        </is>
      </c>
      <c r="C690" s="14" t="n">
        <v>150</v>
      </c>
      <c r="D690" s="14">
        <f>IF(A690&gt;LastWeek-364,1,0)</f>
        <v/>
      </c>
      <c r="E690" s="14">
        <f>C690^2*D690</f>
        <v/>
      </c>
    </row>
    <row r="691">
      <c r="A691" s="26" t="n">
        <v>45747</v>
      </c>
      <c r="B691" s="14" t="inlineStr">
        <is>
          <t>NB-0007</t>
        </is>
      </c>
      <c r="C691" s="14" t="n">
        <v>115</v>
      </c>
      <c r="D691" s="14">
        <f>IF(A691&gt;LastWeek-364,1,0)</f>
        <v/>
      </c>
      <c r="E691" s="14">
        <f>C691^2*D691</f>
        <v/>
      </c>
    </row>
    <row r="692">
      <c r="A692" s="26" t="n">
        <v>45754</v>
      </c>
      <c r="B692" s="14" t="inlineStr">
        <is>
          <t>NB-0007</t>
        </is>
      </c>
      <c r="C692" s="14" t="n">
        <v>117</v>
      </c>
      <c r="D692" s="14">
        <f>IF(A692&gt;LastWeek-364,1,0)</f>
        <v/>
      </c>
      <c r="E692" s="14">
        <f>C692^2*D692</f>
        <v/>
      </c>
    </row>
    <row r="693">
      <c r="A693" s="26" t="n">
        <v>45761</v>
      </c>
      <c r="B693" s="14" t="inlineStr">
        <is>
          <t>NB-0007</t>
        </is>
      </c>
      <c r="C693" s="14" t="n">
        <v>144</v>
      </c>
      <c r="D693" s="14">
        <f>IF(A693&gt;LastWeek-364,1,0)</f>
        <v/>
      </c>
      <c r="E693" s="14">
        <f>C693^2*D693</f>
        <v/>
      </c>
    </row>
    <row r="694">
      <c r="A694" s="26" t="n">
        <v>45768</v>
      </c>
      <c r="B694" s="14" t="inlineStr">
        <is>
          <t>NB-0007</t>
        </is>
      </c>
      <c r="C694" s="14" t="n">
        <v>109</v>
      </c>
      <c r="D694" s="14">
        <f>IF(A694&gt;LastWeek-364,1,0)</f>
        <v/>
      </c>
      <c r="E694" s="14">
        <f>C694^2*D694</f>
        <v/>
      </c>
    </row>
    <row r="695">
      <c r="A695" s="26" t="n">
        <v>45775</v>
      </c>
      <c r="B695" s="14" t="inlineStr">
        <is>
          <t>NB-0007</t>
        </is>
      </c>
      <c r="C695" s="14" t="n">
        <v>142</v>
      </c>
      <c r="D695" s="14">
        <f>IF(A695&gt;LastWeek-364,1,0)</f>
        <v/>
      </c>
      <c r="E695" s="14">
        <f>C695^2*D695</f>
        <v/>
      </c>
    </row>
    <row r="696">
      <c r="A696" s="26" t="n">
        <v>45782</v>
      </c>
      <c r="B696" s="14" t="inlineStr">
        <is>
          <t>NB-0007</t>
        </is>
      </c>
      <c r="C696" s="14" t="n">
        <v>105</v>
      </c>
      <c r="D696" s="14">
        <f>IF(A696&gt;LastWeek-364,1,0)</f>
        <v/>
      </c>
      <c r="E696" s="14">
        <f>C696^2*D696</f>
        <v/>
      </c>
    </row>
    <row r="697">
      <c r="A697" s="26" t="n">
        <v>45789</v>
      </c>
      <c r="B697" s="14" t="inlineStr">
        <is>
          <t>NB-0007</t>
        </is>
      </c>
      <c r="C697" s="14" t="n">
        <v>105</v>
      </c>
      <c r="D697" s="14">
        <f>IF(A697&gt;LastWeek-364,1,0)</f>
        <v/>
      </c>
      <c r="E697" s="14">
        <f>C697^2*D697</f>
        <v/>
      </c>
    </row>
    <row r="698">
      <c r="A698" s="26" t="n">
        <v>45796</v>
      </c>
      <c r="B698" s="14" t="inlineStr">
        <is>
          <t>NB-0007</t>
        </is>
      </c>
      <c r="C698" s="14" t="n">
        <v>114</v>
      </c>
      <c r="D698" s="14">
        <f>IF(A698&gt;LastWeek-364,1,0)</f>
        <v/>
      </c>
      <c r="E698" s="14">
        <f>C698^2*D698</f>
        <v/>
      </c>
    </row>
    <row r="699">
      <c r="A699" s="26" t="n">
        <v>45803</v>
      </c>
      <c r="B699" s="14" t="inlineStr">
        <is>
          <t>NB-0007</t>
        </is>
      </c>
      <c r="C699" s="14" t="n">
        <v>92</v>
      </c>
      <c r="D699" s="14">
        <f>IF(A699&gt;LastWeek-364,1,0)</f>
        <v/>
      </c>
      <c r="E699" s="14">
        <f>C699^2*D699</f>
        <v/>
      </c>
    </row>
    <row r="700">
      <c r="A700" s="26" t="n">
        <v>45810</v>
      </c>
      <c r="B700" s="14" t="inlineStr">
        <is>
          <t>NB-0007</t>
        </is>
      </c>
      <c r="C700" s="14" t="n">
        <v>75</v>
      </c>
      <c r="D700" s="14">
        <f>IF(A700&gt;LastWeek-364,1,0)</f>
        <v/>
      </c>
      <c r="E700" s="14">
        <f>C700^2*D700</f>
        <v/>
      </c>
    </row>
    <row r="701">
      <c r="A701" s="26" t="n">
        <v>45817</v>
      </c>
      <c r="B701" s="14" t="inlineStr">
        <is>
          <t>NB-0007</t>
        </is>
      </c>
      <c r="C701" s="14" t="n">
        <v>82</v>
      </c>
      <c r="D701" s="14">
        <f>IF(A701&gt;LastWeek-364,1,0)</f>
        <v/>
      </c>
      <c r="E701" s="14">
        <f>C701^2*D701</f>
        <v/>
      </c>
    </row>
    <row r="702">
      <c r="A702" s="26" t="n">
        <v>45824</v>
      </c>
      <c r="B702" s="14" t="inlineStr">
        <is>
          <t>NB-0007</t>
        </is>
      </c>
      <c r="C702" s="14" t="n">
        <v>80</v>
      </c>
      <c r="D702" s="14">
        <f>IF(A702&gt;LastWeek-364,1,0)</f>
        <v/>
      </c>
      <c r="E702" s="14">
        <f>C702^2*D702</f>
        <v/>
      </c>
    </row>
    <row r="703">
      <c r="A703" s="26" t="n">
        <v>45831</v>
      </c>
      <c r="B703" s="14" t="inlineStr">
        <is>
          <t>NB-0007</t>
        </is>
      </c>
      <c r="C703" s="14" t="n">
        <v>65</v>
      </c>
      <c r="D703" s="14">
        <f>IF(A703&gt;LastWeek-364,1,0)</f>
        <v/>
      </c>
      <c r="E703" s="14">
        <f>C703^2*D703</f>
        <v/>
      </c>
    </row>
    <row r="704">
      <c r="A704" s="26" t="n">
        <v>45838</v>
      </c>
      <c r="B704" s="14" t="inlineStr">
        <is>
          <t>NB-0007</t>
        </is>
      </c>
      <c r="C704" s="14" t="n">
        <v>75</v>
      </c>
      <c r="D704" s="14">
        <f>IF(A704&gt;LastWeek-364,1,0)</f>
        <v/>
      </c>
      <c r="E704" s="14">
        <f>C704^2*D704</f>
        <v/>
      </c>
    </row>
    <row r="705">
      <c r="A705" s="26" t="n">
        <v>45845</v>
      </c>
      <c r="B705" s="14" t="inlineStr">
        <is>
          <t>NB-0007</t>
        </is>
      </c>
      <c r="C705" s="14" t="n">
        <v>70</v>
      </c>
      <c r="D705" s="14">
        <f>IF(A705&gt;LastWeek-364,1,0)</f>
        <v/>
      </c>
      <c r="E705" s="14">
        <f>C705^2*D705</f>
        <v/>
      </c>
    </row>
    <row r="706">
      <c r="A706" s="26" t="n">
        <v>45852</v>
      </c>
      <c r="B706" s="14" t="inlineStr">
        <is>
          <t>NB-0007</t>
        </is>
      </c>
      <c r="C706" s="14" t="n">
        <v>87</v>
      </c>
      <c r="D706" s="14">
        <f>IF(A706&gt;LastWeek-364,1,0)</f>
        <v/>
      </c>
      <c r="E706" s="14">
        <f>C706^2*D706</f>
        <v/>
      </c>
    </row>
    <row r="707">
      <c r="A707" s="26" t="n">
        <v>45859</v>
      </c>
      <c r="B707" s="14" t="inlineStr">
        <is>
          <t>NB-0007</t>
        </is>
      </c>
      <c r="C707" s="14" t="n">
        <v>79</v>
      </c>
      <c r="D707" s="14">
        <f>IF(A707&gt;LastWeek-364,1,0)</f>
        <v/>
      </c>
      <c r="E707" s="14">
        <f>C707^2*D707</f>
        <v/>
      </c>
    </row>
    <row r="708">
      <c r="A708" s="26" t="n">
        <v>45866</v>
      </c>
      <c r="B708" s="14" t="inlineStr">
        <is>
          <t>NB-0007</t>
        </is>
      </c>
      <c r="C708" s="14" t="n">
        <v>78</v>
      </c>
      <c r="D708" s="14">
        <f>IF(A708&gt;LastWeek-364,1,0)</f>
        <v/>
      </c>
      <c r="E708" s="14">
        <f>C708^2*D708</f>
        <v/>
      </c>
    </row>
    <row r="709">
      <c r="A709" s="26" t="n">
        <v>45873</v>
      </c>
      <c r="B709" s="14" t="inlineStr">
        <is>
          <t>NB-0007</t>
        </is>
      </c>
      <c r="C709" s="14" t="n">
        <v>82</v>
      </c>
      <c r="D709" s="14">
        <f>IF(A709&gt;LastWeek-364,1,0)</f>
        <v/>
      </c>
      <c r="E709" s="14">
        <f>C709^2*D709</f>
        <v/>
      </c>
    </row>
    <row r="710">
      <c r="A710" s="26" t="n">
        <v>45880</v>
      </c>
      <c r="B710" s="14" t="inlineStr">
        <is>
          <t>NB-0007</t>
        </is>
      </c>
      <c r="C710" s="14" t="n">
        <v>89</v>
      </c>
      <c r="D710" s="14">
        <f>IF(A710&gt;LastWeek-364,1,0)</f>
        <v/>
      </c>
      <c r="E710" s="14">
        <f>C710^2*D710</f>
        <v/>
      </c>
    </row>
    <row r="711">
      <c r="A711" s="26" t="n">
        <v>45887</v>
      </c>
      <c r="B711" s="14" t="inlineStr">
        <is>
          <t>NB-0007</t>
        </is>
      </c>
      <c r="C711" s="14" t="n">
        <v>97</v>
      </c>
      <c r="D711" s="14">
        <f>IF(A711&gt;LastWeek-364,1,0)</f>
        <v/>
      </c>
      <c r="E711" s="14">
        <f>C711^2*D711</f>
        <v/>
      </c>
    </row>
    <row r="712">
      <c r="A712" s="26" t="n">
        <v>45894</v>
      </c>
      <c r="B712" s="14" t="inlineStr">
        <is>
          <t>NB-0007</t>
        </is>
      </c>
      <c r="C712" s="14" t="n">
        <v>82</v>
      </c>
      <c r="D712" s="14">
        <f>IF(A712&gt;LastWeek-364,1,0)</f>
        <v/>
      </c>
      <c r="E712" s="14">
        <f>C712^2*D712</f>
        <v/>
      </c>
    </row>
    <row r="713">
      <c r="A713" s="26" t="n">
        <v>45901</v>
      </c>
      <c r="B713" s="14" t="inlineStr">
        <is>
          <t>NB-0007</t>
        </is>
      </c>
      <c r="C713" s="14" t="n">
        <v>86</v>
      </c>
      <c r="D713" s="14">
        <f>IF(A713&gt;LastWeek-364,1,0)</f>
        <v/>
      </c>
      <c r="E713" s="14">
        <f>C713^2*D713</f>
        <v/>
      </c>
    </row>
    <row r="714">
      <c r="A714" s="26" t="n">
        <v>45908</v>
      </c>
      <c r="B714" s="14" t="inlineStr">
        <is>
          <t>NB-0007</t>
        </is>
      </c>
      <c r="C714" s="14" t="n">
        <v>119</v>
      </c>
      <c r="D714" s="14">
        <f>IF(A714&gt;LastWeek-364,1,0)</f>
        <v/>
      </c>
      <c r="E714" s="14">
        <f>C714^2*D714</f>
        <v/>
      </c>
    </row>
    <row r="715">
      <c r="A715" s="26" t="n">
        <v>45915</v>
      </c>
      <c r="B715" s="14" t="inlineStr">
        <is>
          <t>NB-0007</t>
        </is>
      </c>
      <c r="C715" s="14" t="n">
        <v>104</v>
      </c>
      <c r="D715" s="14">
        <f>IF(A715&gt;LastWeek-364,1,0)</f>
        <v/>
      </c>
      <c r="E715" s="14">
        <f>C715^2*D715</f>
        <v/>
      </c>
    </row>
    <row r="716">
      <c r="A716" s="26" t="n">
        <v>45922</v>
      </c>
      <c r="B716" s="14" t="inlineStr">
        <is>
          <t>NB-0007</t>
        </is>
      </c>
      <c r="C716" s="14" t="n">
        <v>95</v>
      </c>
      <c r="D716" s="14">
        <f>IF(A716&gt;LastWeek-364,1,0)</f>
        <v/>
      </c>
      <c r="E716" s="14">
        <f>C716^2*D716</f>
        <v/>
      </c>
    </row>
    <row r="717">
      <c r="A717" s="26" t="n">
        <v>45929</v>
      </c>
      <c r="B717" s="14" t="inlineStr">
        <is>
          <t>NB-0007</t>
        </is>
      </c>
      <c r="C717" s="14" t="n">
        <v>129</v>
      </c>
      <c r="D717" s="14">
        <f>IF(A717&gt;LastWeek-364,1,0)</f>
        <v/>
      </c>
      <c r="E717" s="14">
        <f>C717^2*D717</f>
        <v/>
      </c>
    </row>
    <row r="718">
      <c r="A718" s="26" t="n">
        <v>45936</v>
      </c>
      <c r="B718" s="14" t="inlineStr">
        <is>
          <t>NB-0007</t>
        </is>
      </c>
      <c r="C718" s="14" t="n">
        <v>136</v>
      </c>
      <c r="D718" s="14">
        <f>IF(A718&gt;LastWeek-364,1,0)</f>
        <v/>
      </c>
      <c r="E718" s="14">
        <f>C718^2*D718</f>
        <v/>
      </c>
    </row>
    <row r="719">
      <c r="A719" s="26" t="n">
        <v>45943</v>
      </c>
      <c r="B719" s="14" t="inlineStr">
        <is>
          <t>NB-0007</t>
        </is>
      </c>
      <c r="C719" s="14" t="n">
        <v>108</v>
      </c>
      <c r="D719" s="14">
        <f>IF(A719&gt;LastWeek-364,1,0)</f>
        <v/>
      </c>
      <c r="E719" s="14">
        <f>C719^2*D719</f>
        <v/>
      </c>
    </row>
    <row r="720">
      <c r="A720" s="26" t="n">
        <v>45950</v>
      </c>
      <c r="B720" s="14" t="inlineStr">
        <is>
          <t>NB-0007</t>
        </is>
      </c>
      <c r="C720" s="14" t="n">
        <v>145</v>
      </c>
      <c r="D720" s="14">
        <f>IF(A720&gt;LastWeek-364,1,0)</f>
        <v/>
      </c>
      <c r="E720" s="14">
        <f>C720^2*D720</f>
        <v/>
      </c>
    </row>
    <row r="721">
      <c r="A721" s="26" t="n">
        <v>45957</v>
      </c>
      <c r="B721" s="14" t="inlineStr">
        <is>
          <t>NB-0007</t>
        </is>
      </c>
      <c r="C721" s="14" t="n">
        <v>160</v>
      </c>
      <c r="D721" s="14">
        <f>IF(A721&gt;LastWeek-364,1,0)</f>
        <v/>
      </c>
      <c r="E721" s="14">
        <f>C721^2*D721</f>
        <v/>
      </c>
    </row>
    <row r="722">
      <c r="A722" s="26" t="n">
        <v>45964</v>
      </c>
      <c r="B722" s="14" t="inlineStr">
        <is>
          <t>NB-0007</t>
        </is>
      </c>
      <c r="C722" s="14" t="n">
        <v>159</v>
      </c>
      <c r="D722" s="14">
        <f>IF(A722&gt;LastWeek-364,1,0)</f>
        <v/>
      </c>
      <c r="E722" s="14">
        <f>C722^2*D722</f>
        <v/>
      </c>
    </row>
    <row r="723">
      <c r="A723" s="26" t="n">
        <v>45971</v>
      </c>
      <c r="B723" s="14" t="inlineStr">
        <is>
          <t>NB-0007</t>
        </is>
      </c>
      <c r="C723" s="14" t="n">
        <v>170</v>
      </c>
      <c r="D723" s="14">
        <f>IF(A723&gt;LastWeek-364,1,0)</f>
        <v/>
      </c>
      <c r="E723" s="14">
        <f>C723^2*D723</f>
        <v/>
      </c>
    </row>
    <row r="724">
      <c r="A724" s="26" t="n">
        <v>45978</v>
      </c>
      <c r="B724" s="14" t="inlineStr">
        <is>
          <t>NB-0007</t>
        </is>
      </c>
      <c r="C724" s="14" t="n">
        <v>133</v>
      </c>
      <c r="D724" s="14">
        <f>IF(A724&gt;LastWeek-364,1,0)</f>
        <v/>
      </c>
      <c r="E724" s="14">
        <f>C724^2*D724</f>
        <v/>
      </c>
    </row>
    <row r="725">
      <c r="A725" s="26" t="n">
        <v>45985</v>
      </c>
      <c r="B725" s="14" t="inlineStr">
        <is>
          <t>NB-0007</t>
        </is>
      </c>
      <c r="C725" s="14" t="n">
        <v>173</v>
      </c>
      <c r="D725" s="14">
        <f>IF(A725&gt;LastWeek-364,1,0)</f>
        <v/>
      </c>
      <c r="E725" s="14">
        <f>C725^2*D725</f>
        <v/>
      </c>
    </row>
    <row r="726">
      <c r="A726" s="26" t="n">
        <v>45992</v>
      </c>
      <c r="B726" s="14" t="inlineStr">
        <is>
          <t>NB-0007</t>
        </is>
      </c>
      <c r="C726" s="14" t="n">
        <v>164</v>
      </c>
      <c r="D726" s="14">
        <f>IF(A726&gt;LastWeek-364,1,0)</f>
        <v/>
      </c>
      <c r="E726" s="14">
        <f>C726^2*D726</f>
        <v/>
      </c>
    </row>
    <row r="727">
      <c r="A727" s="26" t="n">
        <v>45999</v>
      </c>
      <c r="B727" s="14" t="inlineStr">
        <is>
          <t>NB-0007</t>
        </is>
      </c>
      <c r="C727" s="14" t="n">
        <v>163</v>
      </c>
      <c r="D727" s="14">
        <f>IF(A727&gt;LastWeek-364,1,0)</f>
        <v/>
      </c>
      <c r="E727" s="14">
        <f>C727^2*D727</f>
        <v/>
      </c>
    </row>
    <row r="728">
      <c r="A728" s="26" t="n">
        <v>46006</v>
      </c>
      <c r="B728" s="14" t="inlineStr">
        <is>
          <t>NB-0007</t>
        </is>
      </c>
      <c r="C728" s="14" t="n">
        <v>195</v>
      </c>
      <c r="D728" s="14">
        <f>IF(A728&gt;LastWeek-364,1,0)</f>
        <v/>
      </c>
      <c r="E728" s="14">
        <f>C728^2*D728</f>
        <v/>
      </c>
    </row>
    <row r="729">
      <c r="A729" s="26" t="n">
        <v>46013</v>
      </c>
      <c r="B729" s="14" t="inlineStr">
        <is>
          <t>NB-0007</t>
        </is>
      </c>
      <c r="C729" s="14" t="n">
        <v>211</v>
      </c>
      <c r="D729" s="14">
        <f>IF(A729&gt;LastWeek-364,1,0)</f>
        <v/>
      </c>
      <c r="E729" s="14">
        <f>C729^2*D729</f>
        <v/>
      </c>
    </row>
    <row r="730">
      <c r="A730" s="26" t="n">
        <v>45292</v>
      </c>
      <c r="B730" s="14" t="inlineStr">
        <is>
          <t>NB-0008</t>
        </is>
      </c>
      <c r="C730" s="14" t="n">
        <v>194</v>
      </c>
      <c r="D730" s="14">
        <f>IF(A730&gt;LastWeek-364,1,0)</f>
        <v/>
      </c>
      <c r="E730" s="14">
        <f>C730^2*D730</f>
        <v/>
      </c>
    </row>
    <row r="731">
      <c r="A731" s="26" t="n">
        <v>45299</v>
      </c>
      <c r="B731" s="14" t="inlineStr">
        <is>
          <t>NB-0008</t>
        </is>
      </c>
      <c r="C731" s="14" t="n">
        <v>174</v>
      </c>
      <c r="D731" s="14">
        <f>IF(A731&gt;LastWeek-364,1,0)</f>
        <v/>
      </c>
      <c r="E731" s="14">
        <f>C731^2*D731</f>
        <v/>
      </c>
    </row>
    <row r="732">
      <c r="A732" s="26" t="n">
        <v>45306</v>
      </c>
      <c r="B732" s="14" t="inlineStr">
        <is>
          <t>NB-0008</t>
        </is>
      </c>
      <c r="C732" s="14" t="n">
        <v>110</v>
      </c>
      <c r="D732" s="14">
        <f>IF(A732&gt;LastWeek-364,1,0)</f>
        <v/>
      </c>
      <c r="E732" s="14">
        <f>C732^2*D732</f>
        <v/>
      </c>
    </row>
    <row r="733">
      <c r="A733" s="26" t="n">
        <v>45313</v>
      </c>
      <c r="B733" s="14" t="inlineStr">
        <is>
          <t>NB-0008</t>
        </is>
      </c>
      <c r="C733" s="14" t="n">
        <v>130</v>
      </c>
      <c r="D733" s="14">
        <f>IF(A733&gt;LastWeek-364,1,0)</f>
        <v/>
      </c>
      <c r="E733" s="14">
        <f>C733^2*D733</f>
        <v/>
      </c>
    </row>
    <row r="734">
      <c r="A734" s="26" t="n">
        <v>45320</v>
      </c>
      <c r="B734" s="14" t="inlineStr">
        <is>
          <t>NB-0008</t>
        </is>
      </c>
      <c r="C734" s="14" t="n">
        <v>148</v>
      </c>
      <c r="D734" s="14">
        <f>IF(A734&gt;LastWeek-364,1,0)</f>
        <v/>
      </c>
      <c r="E734" s="14">
        <f>C734^2*D734</f>
        <v/>
      </c>
    </row>
    <row r="735">
      <c r="A735" s="26" t="n">
        <v>45327</v>
      </c>
      <c r="B735" s="14" t="inlineStr">
        <is>
          <t>NB-0008</t>
        </is>
      </c>
      <c r="C735" s="14" t="n">
        <v>117</v>
      </c>
      <c r="D735" s="14">
        <f>IF(A735&gt;LastWeek-364,1,0)</f>
        <v/>
      </c>
      <c r="E735" s="14">
        <f>C735^2*D735</f>
        <v/>
      </c>
    </row>
    <row r="736">
      <c r="A736" s="26" t="n">
        <v>45334</v>
      </c>
      <c r="B736" s="14" t="inlineStr">
        <is>
          <t>NB-0008</t>
        </is>
      </c>
      <c r="C736" s="14" t="n">
        <v>116</v>
      </c>
      <c r="D736" s="14">
        <f>IF(A736&gt;LastWeek-364,1,0)</f>
        <v/>
      </c>
      <c r="E736" s="14">
        <f>C736^2*D736</f>
        <v/>
      </c>
    </row>
    <row r="737">
      <c r="A737" s="26" t="n">
        <v>45341</v>
      </c>
      <c r="B737" s="14" t="inlineStr">
        <is>
          <t>NB-0008</t>
        </is>
      </c>
      <c r="C737" s="14" t="n">
        <v>142</v>
      </c>
      <c r="D737" s="14">
        <f>IF(A737&gt;LastWeek-364,1,0)</f>
        <v/>
      </c>
      <c r="E737" s="14">
        <f>C737^2*D737</f>
        <v/>
      </c>
    </row>
    <row r="738">
      <c r="A738" s="26" t="n">
        <v>45348</v>
      </c>
      <c r="B738" s="14" t="inlineStr">
        <is>
          <t>NB-0008</t>
        </is>
      </c>
      <c r="C738" s="14" t="n">
        <v>102</v>
      </c>
      <c r="D738" s="14">
        <f>IF(A738&gt;LastWeek-364,1,0)</f>
        <v/>
      </c>
      <c r="E738" s="14">
        <f>C738^2*D738</f>
        <v/>
      </c>
    </row>
    <row r="739">
      <c r="A739" s="26" t="n">
        <v>45355</v>
      </c>
      <c r="B739" s="14" t="inlineStr">
        <is>
          <t>NB-0008</t>
        </is>
      </c>
      <c r="C739" s="14" t="n">
        <v>73</v>
      </c>
      <c r="D739" s="14">
        <f>IF(A739&gt;LastWeek-364,1,0)</f>
        <v/>
      </c>
      <c r="E739" s="14">
        <f>C739^2*D739</f>
        <v/>
      </c>
    </row>
    <row r="740">
      <c r="A740" s="26" t="n">
        <v>45362</v>
      </c>
      <c r="B740" s="14" t="inlineStr">
        <is>
          <t>NB-0008</t>
        </is>
      </c>
      <c r="C740" s="14" t="n">
        <v>82</v>
      </c>
      <c r="D740" s="14">
        <f>IF(A740&gt;LastWeek-364,1,0)</f>
        <v/>
      </c>
      <c r="E740" s="14">
        <f>C740^2*D740</f>
        <v/>
      </c>
    </row>
    <row r="741">
      <c r="A741" s="26" t="n">
        <v>45369</v>
      </c>
      <c r="B741" s="14" t="inlineStr">
        <is>
          <t>NB-0008</t>
        </is>
      </c>
      <c r="C741" s="14" t="n">
        <v>117</v>
      </c>
      <c r="D741" s="14">
        <f>IF(A741&gt;LastWeek-364,1,0)</f>
        <v/>
      </c>
      <c r="E741" s="14">
        <f>C741^2*D741</f>
        <v/>
      </c>
    </row>
    <row r="742">
      <c r="A742" s="26" t="n">
        <v>45376</v>
      </c>
      <c r="B742" s="14" t="inlineStr">
        <is>
          <t>NB-0008</t>
        </is>
      </c>
      <c r="C742" s="14" t="n">
        <v>90</v>
      </c>
      <c r="D742" s="14">
        <f>IF(A742&gt;LastWeek-364,1,0)</f>
        <v/>
      </c>
      <c r="E742" s="14">
        <f>C742^2*D742</f>
        <v/>
      </c>
    </row>
    <row r="743">
      <c r="A743" s="26" t="n">
        <v>45383</v>
      </c>
      <c r="B743" s="14" t="inlineStr">
        <is>
          <t>NB-0008</t>
        </is>
      </c>
      <c r="C743" s="14" t="n">
        <v>97</v>
      </c>
      <c r="D743" s="14">
        <f>IF(A743&gt;LastWeek-364,1,0)</f>
        <v/>
      </c>
      <c r="E743" s="14">
        <f>C743^2*D743</f>
        <v/>
      </c>
    </row>
    <row r="744">
      <c r="A744" s="26" t="n">
        <v>45390</v>
      </c>
      <c r="B744" s="14" t="inlineStr">
        <is>
          <t>NB-0008</t>
        </is>
      </c>
      <c r="C744" s="14" t="n">
        <v>103</v>
      </c>
      <c r="D744" s="14">
        <f>IF(A744&gt;LastWeek-364,1,0)</f>
        <v/>
      </c>
      <c r="E744" s="14">
        <f>C744^2*D744</f>
        <v/>
      </c>
    </row>
    <row r="745">
      <c r="A745" s="26" t="n">
        <v>45397</v>
      </c>
      <c r="B745" s="14" t="inlineStr">
        <is>
          <t>NB-0008</t>
        </is>
      </c>
      <c r="C745" s="14" t="n">
        <v>66</v>
      </c>
      <c r="D745" s="14">
        <f>IF(A745&gt;LastWeek-364,1,0)</f>
        <v/>
      </c>
      <c r="E745" s="14">
        <f>C745^2*D745</f>
        <v/>
      </c>
    </row>
    <row r="746">
      <c r="A746" s="26" t="n">
        <v>45404</v>
      </c>
      <c r="B746" s="14" t="inlineStr">
        <is>
          <t>NB-0008</t>
        </is>
      </c>
      <c r="C746" s="14" t="n">
        <v>94</v>
      </c>
      <c r="D746" s="14">
        <f>IF(A746&gt;LastWeek-364,1,0)</f>
        <v/>
      </c>
      <c r="E746" s="14">
        <f>C746^2*D746</f>
        <v/>
      </c>
    </row>
    <row r="747">
      <c r="A747" s="26" t="n">
        <v>45411</v>
      </c>
      <c r="B747" s="14" t="inlineStr">
        <is>
          <t>NB-0008</t>
        </is>
      </c>
      <c r="C747" s="14" t="n">
        <v>79</v>
      </c>
      <c r="D747" s="14">
        <f>IF(A747&gt;LastWeek-364,1,0)</f>
        <v/>
      </c>
      <c r="E747" s="14">
        <f>C747^2*D747</f>
        <v/>
      </c>
    </row>
    <row r="748">
      <c r="A748" s="26" t="n">
        <v>45418</v>
      </c>
      <c r="B748" s="14" t="inlineStr">
        <is>
          <t>NB-0008</t>
        </is>
      </c>
      <c r="C748" s="14" t="n">
        <v>34</v>
      </c>
      <c r="D748" s="14">
        <f>IF(A748&gt;LastWeek-364,1,0)</f>
        <v/>
      </c>
      <c r="E748" s="14">
        <f>C748^2*D748</f>
        <v/>
      </c>
    </row>
    <row r="749">
      <c r="A749" s="26" t="n">
        <v>45425</v>
      </c>
      <c r="B749" s="14" t="inlineStr">
        <is>
          <t>NB-0008</t>
        </is>
      </c>
      <c r="C749" s="14" t="n">
        <v>95</v>
      </c>
      <c r="D749" s="14">
        <f>IF(A749&gt;LastWeek-364,1,0)</f>
        <v/>
      </c>
      <c r="E749" s="14">
        <f>C749^2*D749</f>
        <v/>
      </c>
    </row>
    <row r="750">
      <c r="A750" s="26" t="n">
        <v>45432</v>
      </c>
      <c r="B750" s="14" t="inlineStr">
        <is>
          <t>NB-0008</t>
        </is>
      </c>
      <c r="C750" s="14" t="n">
        <v>46</v>
      </c>
      <c r="D750" s="14">
        <f>IF(A750&gt;LastWeek-364,1,0)</f>
        <v/>
      </c>
      <c r="E750" s="14">
        <f>C750^2*D750</f>
        <v/>
      </c>
    </row>
    <row r="751">
      <c r="A751" s="26" t="n">
        <v>45439</v>
      </c>
      <c r="B751" s="14" t="inlineStr">
        <is>
          <t>NB-0008</t>
        </is>
      </c>
      <c r="C751" s="14" t="n">
        <v>20</v>
      </c>
      <c r="D751" s="14">
        <f>IF(A751&gt;LastWeek-364,1,0)</f>
        <v/>
      </c>
      <c r="E751" s="14">
        <f>C751^2*D751</f>
        <v/>
      </c>
    </row>
    <row r="752">
      <c r="A752" s="26" t="n">
        <v>45446</v>
      </c>
      <c r="B752" s="14" t="inlineStr">
        <is>
          <t>NB-0008</t>
        </is>
      </c>
      <c r="C752" s="14" t="n">
        <v>31</v>
      </c>
      <c r="D752" s="14">
        <f>IF(A752&gt;LastWeek-364,1,0)</f>
        <v/>
      </c>
      <c r="E752" s="14">
        <f>C752^2*D752</f>
        <v/>
      </c>
    </row>
    <row r="753">
      <c r="A753" s="26" t="n">
        <v>45453</v>
      </c>
      <c r="B753" s="14" t="inlineStr">
        <is>
          <t>NB-0008</t>
        </is>
      </c>
      <c r="C753" s="14" t="n">
        <v>30</v>
      </c>
      <c r="D753" s="14">
        <f>IF(A753&gt;LastWeek-364,1,0)</f>
        <v/>
      </c>
      <c r="E753" s="14">
        <f>C753^2*D753</f>
        <v/>
      </c>
    </row>
    <row r="754">
      <c r="A754" s="26" t="n">
        <v>45460</v>
      </c>
      <c r="B754" s="14" t="inlineStr">
        <is>
          <t>NB-0008</t>
        </is>
      </c>
      <c r="C754" s="14" t="n">
        <v>49</v>
      </c>
      <c r="D754" s="14">
        <f>IF(A754&gt;LastWeek-364,1,0)</f>
        <v/>
      </c>
      <c r="E754" s="14">
        <f>C754^2*D754</f>
        <v/>
      </c>
    </row>
    <row r="755">
      <c r="A755" s="26" t="n">
        <v>45467</v>
      </c>
      <c r="B755" s="14" t="inlineStr">
        <is>
          <t>NB-0008</t>
        </is>
      </c>
      <c r="C755" s="14" t="n">
        <v>42</v>
      </c>
      <c r="D755" s="14">
        <f>IF(A755&gt;LastWeek-364,1,0)</f>
        <v/>
      </c>
      <c r="E755" s="14">
        <f>C755^2*D755</f>
        <v/>
      </c>
    </row>
    <row r="756">
      <c r="A756" s="26" t="n">
        <v>45474</v>
      </c>
      <c r="B756" s="14" t="inlineStr">
        <is>
          <t>NB-0008</t>
        </is>
      </c>
      <c r="C756" s="14" t="n">
        <v>40</v>
      </c>
      <c r="D756" s="14">
        <f>IF(A756&gt;LastWeek-364,1,0)</f>
        <v/>
      </c>
      <c r="E756" s="14">
        <f>C756^2*D756</f>
        <v/>
      </c>
    </row>
    <row r="757">
      <c r="A757" s="26" t="n">
        <v>45481</v>
      </c>
      <c r="B757" s="14" t="inlineStr">
        <is>
          <t>NB-0008</t>
        </is>
      </c>
      <c r="C757" s="14" t="n">
        <v>57</v>
      </c>
      <c r="D757" s="14">
        <f>IF(A757&gt;LastWeek-364,1,0)</f>
        <v/>
      </c>
      <c r="E757" s="14">
        <f>C757^2*D757</f>
        <v/>
      </c>
    </row>
    <row r="758">
      <c r="A758" s="26" t="n">
        <v>45488</v>
      </c>
      <c r="B758" s="14" t="inlineStr">
        <is>
          <t>NB-0008</t>
        </is>
      </c>
      <c r="C758" s="14" t="n">
        <v>52</v>
      </c>
      <c r="D758" s="14">
        <f>IF(A758&gt;LastWeek-364,1,0)</f>
        <v/>
      </c>
      <c r="E758" s="14">
        <f>C758^2*D758</f>
        <v/>
      </c>
    </row>
    <row r="759">
      <c r="A759" s="26" t="n">
        <v>45495</v>
      </c>
      <c r="B759" s="14" t="inlineStr">
        <is>
          <t>NB-0008</t>
        </is>
      </c>
      <c r="C759" s="14" t="n">
        <v>53</v>
      </c>
      <c r="D759" s="14">
        <f>IF(A759&gt;LastWeek-364,1,0)</f>
        <v/>
      </c>
      <c r="E759" s="14">
        <f>C759^2*D759</f>
        <v/>
      </c>
    </row>
    <row r="760">
      <c r="A760" s="26" t="n">
        <v>45502</v>
      </c>
      <c r="B760" s="14" t="inlineStr">
        <is>
          <t>NB-0008</t>
        </is>
      </c>
      <c r="C760" s="14" t="n">
        <v>56</v>
      </c>
      <c r="D760" s="14">
        <f>IF(A760&gt;LastWeek-364,1,0)</f>
        <v/>
      </c>
      <c r="E760" s="14">
        <f>C760^2*D760</f>
        <v/>
      </c>
    </row>
    <row r="761">
      <c r="A761" s="26" t="n">
        <v>45509</v>
      </c>
      <c r="B761" s="14" t="inlineStr">
        <is>
          <t>NB-0008</t>
        </is>
      </c>
      <c r="C761" s="14" t="n">
        <v>63</v>
      </c>
      <c r="D761" s="14">
        <f>IF(A761&gt;LastWeek-364,1,0)</f>
        <v/>
      </c>
      <c r="E761" s="14">
        <f>C761^2*D761</f>
        <v/>
      </c>
    </row>
    <row r="762">
      <c r="A762" s="26" t="n">
        <v>45516</v>
      </c>
      <c r="B762" s="14" t="inlineStr">
        <is>
          <t>NB-0008</t>
        </is>
      </c>
      <c r="C762" s="14" t="n">
        <v>10</v>
      </c>
      <c r="D762" s="14">
        <f>IF(A762&gt;LastWeek-364,1,0)</f>
        <v/>
      </c>
      <c r="E762" s="14">
        <f>C762^2*D762</f>
        <v/>
      </c>
    </row>
    <row r="763">
      <c r="A763" s="26" t="n">
        <v>45523</v>
      </c>
      <c r="B763" s="14" t="inlineStr">
        <is>
          <t>NB-0008</t>
        </is>
      </c>
      <c r="C763" s="14" t="n">
        <v>48</v>
      </c>
      <c r="D763" s="14">
        <f>IF(A763&gt;LastWeek-364,1,0)</f>
        <v/>
      </c>
      <c r="E763" s="14">
        <f>C763^2*D763</f>
        <v/>
      </c>
    </row>
    <row r="764">
      <c r="A764" s="26" t="n">
        <v>45530</v>
      </c>
      <c r="B764" s="14" t="inlineStr">
        <is>
          <t>NB-0008</t>
        </is>
      </c>
      <c r="C764" s="14" t="n">
        <v>9</v>
      </c>
      <c r="D764" s="14">
        <f>IF(A764&gt;LastWeek-364,1,0)</f>
        <v/>
      </c>
      <c r="E764" s="14">
        <f>C764^2*D764</f>
        <v/>
      </c>
    </row>
    <row r="765">
      <c r="A765" s="26" t="n">
        <v>45537</v>
      </c>
      <c r="B765" s="14" t="inlineStr">
        <is>
          <t>NB-0008</t>
        </is>
      </c>
      <c r="C765" s="14" t="n">
        <v>65</v>
      </c>
      <c r="D765" s="14">
        <f>IF(A765&gt;LastWeek-364,1,0)</f>
        <v/>
      </c>
      <c r="E765" s="14">
        <f>C765^2*D765</f>
        <v/>
      </c>
    </row>
    <row r="766">
      <c r="A766" s="26" t="n">
        <v>45544</v>
      </c>
      <c r="B766" s="14" t="inlineStr">
        <is>
          <t>NB-0008</t>
        </is>
      </c>
      <c r="C766" s="14" t="n">
        <v>68</v>
      </c>
      <c r="D766" s="14">
        <f>IF(A766&gt;LastWeek-364,1,0)</f>
        <v/>
      </c>
      <c r="E766" s="14">
        <f>C766^2*D766</f>
        <v/>
      </c>
    </row>
    <row r="767">
      <c r="A767" s="26" t="n">
        <v>45551</v>
      </c>
      <c r="B767" s="14" t="inlineStr">
        <is>
          <t>NB-0008</t>
        </is>
      </c>
      <c r="C767" s="14" t="n">
        <v>102</v>
      </c>
      <c r="D767" s="14">
        <f>IF(A767&gt;LastWeek-364,1,0)</f>
        <v/>
      </c>
      <c r="E767" s="14">
        <f>C767^2*D767</f>
        <v/>
      </c>
    </row>
    <row r="768">
      <c r="A768" s="26" t="n">
        <v>45558</v>
      </c>
      <c r="B768" s="14" t="inlineStr">
        <is>
          <t>NB-0008</t>
        </is>
      </c>
      <c r="C768" s="14" t="n">
        <v>113</v>
      </c>
      <c r="D768" s="14">
        <f>IF(A768&gt;LastWeek-364,1,0)</f>
        <v/>
      </c>
      <c r="E768" s="14">
        <f>C768^2*D768</f>
        <v/>
      </c>
    </row>
    <row r="769">
      <c r="A769" s="26" t="n">
        <v>45565</v>
      </c>
      <c r="B769" s="14" t="inlineStr">
        <is>
          <t>NB-0008</t>
        </is>
      </c>
      <c r="C769" s="14" t="n">
        <v>89</v>
      </c>
      <c r="D769" s="14">
        <f>IF(A769&gt;LastWeek-364,1,0)</f>
        <v/>
      </c>
      <c r="E769" s="14">
        <f>C769^2*D769</f>
        <v/>
      </c>
    </row>
    <row r="770">
      <c r="A770" s="26" t="n">
        <v>45572</v>
      </c>
      <c r="B770" s="14" t="inlineStr">
        <is>
          <t>NB-0008</t>
        </is>
      </c>
      <c r="C770" s="14" t="n">
        <v>70</v>
      </c>
      <c r="D770" s="14">
        <f>IF(A770&gt;LastWeek-364,1,0)</f>
        <v/>
      </c>
      <c r="E770" s="14">
        <f>C770^2*D770</f>
        <v/>
      </c>
    </row>
    <row r="771">
      <c r="A771" s="26" t="n">
        <v>45579</v>
      </c>
      <c r="B771" s="14" t="inlineStr">
        <is>
          <t>NB-0008</t>
        </is>
      </c>
      <c r="C771" s="14" t="n">
        <v>110</v>
      </c>
      <c r="D771" s="14">
        <f>IF(A771&gt;LastWeek-364,1,0)</f>
        <v/>
      </c>
      <c r="E771" s="14">
        <f>C771^2*D771</f>
        <v/>
      </c>
    </row>
    <row r="772">
      <c r="A772" s="26" t="n">
        <v>45586</v>
      </c>
      <c r="B772" s="14" t="inlineStr">
        <is>
          <t>NB-0008</t>
        </is>
      </c>
      <c r="C772" s="14" t="n">
        <v>77</v>
      </c>
      <c r="D772" s="14">
        <f>IF(A772&gt;LastWeek-364,1,0)</f>
        <v/>
      </c>
      <c r="E772" s="14">
        <f>C772^2*D772</f>
        <v/>
      </c>
    </row>
    <row r="773">
      <c r="A773" s="26" t="n">
        <v>45593</v>
      </c>
      <c r="B773" s="14" t="inlineStr">
        <is>
          <t>NB-0008</t>
        </is>
      </c>
      <c r="C773" s="14" t="n">
        <v>102</v>
      </c>
      <c r="D773" s="14">
        <f>IF(A773&gt;LastWeek-364,1,0)</f>
        <v/>
      </c>
      <c r="E773" s="14">
        <f>C773^2*D773</f>
        <v/>
      </c>
    </row>
    <row r="774">
      <c r="A774" s="26" t="n">
        <v>45600</v>
      </c>
      <c r="B774" s="14" t="inlineStr">
        <is>
          <t>NB-0008</t>
        </is>
      </c>
      <c r="C774" s="14" t="n">
        <v>148</v>
      </c>
      <c r="D774" s="14">
        <f>IF(A774&gt;LastWeek-364,1,0)</f>
        <v/>
      </c>
      <c r="E774" s="14">
        <f>C774^2*D774</f>
        <v/>
      </c>
    </row>
    <row r="775">
      <c r="A775" s="26" t="n">
        <v>45607</v>
      </c>
      <c r="B775" s="14" t="inlineStr">
        <is>
          <t>NB-0008</t>
        </is>
      </c>
      <c r="C775" s="14" t="n">
        <v>87</v>
      </c>
      <c r="D775" s="14">
        <f>IF(A775&gt;LastWeek-364,1,0)</f>
        <v/>
      </c>
      <c r="E775" s="14">
        <f>C775^2*D775</f>
        <v/>
      </c>
    </row>
    <row r="776">
      <c r="A776" s="26" t="n">
        <v>45614</v>
      </c>
      <c r="B776" s="14" t="inlineStr">
        <is>
          <t>NB-0008</t>
        </is>
      </c>
      <c r="C776" s="14" t="n">
        <v>152</v>
      </c>
      <c r="D776" s="14">
        <f>IF(A776&gt;LastWeek-364,1,0)</f>
        <v/>
      </c>
      <c r="E776" s="14">
        <f>C776^2*D776</f>
        <v/>
      </c>
    </row>
    <row r="777">
      <c r="A777" s="26" t="n">
        <v>45621</v>
      </c>
      <c r="B777" s="14" t="inlineStr">
        <is>
          <t>NB-0008</t>
        </is>
      </c>
      <c r="C777" s="14" t="n">
        <v>151</v>
      </c>
      <c r="D777" s="14">
        <f>IF(A777&gt;LastWeek-364,1,0)</f>
        <v/>
      </c>
      <c r="E777" s="14">
        <f>C777^2*D777</f>
        <v/>
      </c>
    </row>
    <row r="778">
      <c r="A778" s="26" t="n">
        <v>45628</v>
      </c>
      <c r="B778" s="14" t="inlineStr">
        <is>
          <t>NB-0008</t>
        </is>
      </c>
      <c r="C778" s="14" t="n">
        <v>77</v>
      </c>
      <c r="D778" s="14">
        <f>IF(A778&gt;LastWeek-364,1,0)</f>
        <v/>
      </c>
      <c r="E778" s="14">
        <f>C778^2*D778</f>
        <v/>
      </c>
    </row>
    <row r="779">
      <c r="A779" s="26" t="n">
        <v>45635</v>
      </c>
      <c r="B779" s="14" t="inlineStr">
        <is>
          <t>NB-0008</t>
        </is>
      </c>
      <c r="C779" s="14" t="n">
        <v>173</v>
      </c>
      <c r="D779" s="14">
        <f>IF(A779&gt;LastWeek-364,1,0)</f>
        <v/>
      </c>
      <c r="E779" s="14">
        <f>C779^2*D779</f>
        <v/>
      </c>
    </row>
    <row r="780">
      <c r="A780" s="26" t="n">
        <v>45642</v>
      </c>
      <c r="B780" s="14" t="inlineStr">
        <is>
          <t>NB-0008</t>
        </is>
      </c>
      <c r="C780" s="14" t="n">
        <v>163</v>
      </c>
      <c r="D780" s="14">
        <f>IF(A780&gt;LastWeek-364,1,0)</f>
        <v/>
      </c>
      <c r="E780" s="14">
        <f>C780^2*D780</f>
        <v/>
      </c>
    </row>
    <row r="781">
      <c r="A781" s="26" t="n">
        <v>45649</v>
      </c>
      <c r="B781" s="14" t="inlineStr">
        <is>
          <t>NB-0008</t>
        </is>
      </c>
      <c r="C781" s="14" t="n">
        <v>135</v>
      </c>
      <c r="D781" s="14">
        <f>IF(A781&gt;LastWeek-364,1,0)</f>
        <v/>
      </c>
      <c r="E781" s="14">
        <f>C781^2*D781</f>
        <v/>
      </c>
    </row>
    <row r="782">
      <c r="A782" s="26" t="n">
        <v>45656</v>
      </c>
      <c r="B782" s="14" t="inlineStr">
        <is>
          <t>NB-0008</t>
        </is>
      </c>
      <c r="C782" s="14" t="n">
        <v>92</v>
      </c>
      <c r="D782" s="14">
        <f>IF(A782&gt;LastWeek-364,1,0)</f>
        <v/>
      </c>
      <c r="E782" s="14">
        <f>C782^2*D782</f>
        <v/>
      </c>
    </row>
    <row r="783">
      <c r="A783" s="26" t="n">
        <v>45663</v>
      </c>
      <c r="B783" s="14" t="inlineStr">
        <is>
          <t>NB-0008</t>
        </is>
      </c>
      <c r="C783" s="14" t="n">
        <v>88</v>
      </c>
      <c r="D783" s="14">
        <f>IF(A783&gt;LastWeek-364,1,0)</f>
        <v/>
      </c>
      <c r="E783" s="14">
        <f>C783^2*D783</f>
        <v/>
      </c>
    </row>
    <row r="784">
      <c r="A784" s="26" t="n">
        <v>45670</v>
      </c>
      <c r="B784" s="14" t="inlineStr">
        <is>
          <t>NB-0008</t>
        </is>
      </c>
      <c r="C784" s="14" t="n">
        <v>104</v>
      </c>
      <c r="D784" s="14">
        <f>IF(A784&gt;LastWeek-364,1,0)</f>
        <v/>
      </c>
      <c r="E784" s="14">
        <f>C784^2*D784</f>
        <v/>
      </c>
    </row>
    <row r="785">
      <c r="A785" s="26" t="n">
        <v>45677</v>
      </c>
      <c r="B785" s="14" t="inlineStr">
        <is>
          <t>NB-0008</t>
        </is>
      </c>
      <c r="C785" s="14" t="n">
        <v>159</v>
      </c>
      <c r="D785" s="14">
        <f>IF(A785&gt;LastWeek-364,1,0)</f>
        <v/>
      </c>
      <c r="E785" s="14">
        <f>C785^2*D785</f>
        <v/>
      </c>
    </row>
    <row r="786">
      <c r="A786" s="26" t="n">
        <v>45684</v>
      </c>
      <c r="B786" s="14" t="inlineStr">
        <is>
          <t>NB-0008</t>
        </is>
      </c>
      <c r="C786" s="14" t="n">
        <v>82</v>
      </c>
      <c r="D786" s="14">
        <f>IF(A786&gt;LastWeek-364,1,0)</f>
        <v/>
      </c>
      <c r="E786" s="14">
        <f>C786^2*D786</f>
        <v/>
      </c>
    </row>
    <row r="787">
      <c r="A787" s="26" t="n">
        <v>45691</v>
      </c>
      <c r="B787" s="14" t="inlineStr">
        <is>
          <t>NB-0008</t>
        </is>
      </c>
      <c r="C787" s="14" t="n">
        <v>150</v>
      </c>
      <c r="D787" s="14">
        <f>IF(A787&gt;LastWeek-364,1,0)</f>
        <v/>
      </c>
      <c r="E787" s="14">
        <f>C787^2*D787</f>
        <v/>
      </c>
    </row>
    <row r="788">
      <c r="A788" s="26" t="n">
        <v>45698</v>
      </c>
      <c r="B788" s="14" t="inlineStr">
        <is>
          <t>NB-0008</t>
        </is>
      </c>
      <c r="C788" s="14" t="n">
        <v>65</v>
      </c>
      <c r="D788" s="14">
        <f>IF(A788&gt;LastWeek-364,1,0)</f>
        <v/>
      </c>
      <c r="E788" s="14">
        <f>C788^2*D788</f>
        <v/>
      </c>
    </row>
    <row r="789">
      <c r="A789" s="26" t="n">
        <v>45705</v>
      </c>
      <c r="B789" s="14" t="inlineStr">
        <is>
          <t>NB-0008</t>
        </is>
      </c>
      <c r="C789" s="14" t="n">
        <v>113</v>
      </c>
      <c r="D789" s="14">
        <f>IF(A789&gt;LastWeek-364,1,0)</f>
        <v/>
      </c>
      <c r="E789" s="14">
        <f>C789^2*D789</f>
        <v/>
      </c>
    </row>
    <row r="790">
      <c r="A790" s="26" t="n">
        <v>45712</v>
      </c>
      <c r="B790" s="14" t="inlineStr">
        <is>
          <t>NB-0008</t>
        </is>
      </c>
      <c r="C790" s="14" t="n">
        <v>125</v>
      </c>
      <c r="D790" s="14">
        <f>IF(A790&gt;LastWeek-364,1,0)</f>
        <v/>
      </c>
      <c r="E790" s="14">
        <f>C790^2*D790</f>
        <v/>
      </c>
    </row>
    <row r="791">
      <c r="A791" s="26" t="n">
        <v>45719</v>
      </c>
      <c r="B791" s="14" t="inlineStr">
        <is>
          <t>NB-0008</t>
        </is>
      </c>
      <c r="C791" s="14" t="n">
        <v>227</v>
      </c>
      <c r="D791" s="14">
        <f>IF(A791&gt;LastWeek-364,1,0)</f>
        <v/>
      </c>
      <c r="E791" s="14">
        <f>C791^2*D791</f>
        <v/>
      </c>
    </row>
    <row r="792">
      <c r="A792" s="26" t="n">
        <v>45726</v>
      </c>
      <c r="B792" s="14" t="inlineStr">
        <is>
          <t>NB-0008</t>
        </is>
      </c>
      <c r="C792" s="14" t="n">
        <v>52</v>
      </c>
      <c r="D792" s="14">
        <f>IF(A792&gt;LastWeek-364,1,0)</f>
        <v/>
      </c>
      <c r="E792" s="14">
        <f>C792^2*D792</f>
        <v/>
      </c>
    </row>
    <row r="793">
      <c r="A793" s="26" t="n">
        <v>45733</v>
      </c>
      <c r="B793" s="14" t="inlineStr">
        <is>
          <t>NB-0008</t>
        </is>
      </c>
      <c r="C793" s="14" t="n">
        <v>169</v>
      </c>
      <c r="D793" s="14">
        <f>IF(A793&gt;LastWeek-364,1,0)</f>
        <v/>
      </c>
      <c r="E793" s="14">
        <f>C793^2*D793</f>
        <v/>
      </c>
    </row>
    <row r="794">
      <c r="A794" s="26" t="n">
        <v>45740</v>
      </c>
      <c r="B794" s="14" t="inlineStr">
        <is>
          <t>NB-0008</t>
        </is>
      </c>
      <c r="C794" s="14" t="n">
        <v>109</v>
      </c>
      <c r="D794" s="14">
        <f>IF(A794&gt;LastWeek-364,1,0)</f>
        <v/>
      </c>
      <c r="E794" s="14">
        <f>C794^2*D794</f>
        <v/>
      </c>
    </row>
    <row r="795">
      <c r="A795" s="26" t="n">
        <v>45747</v>
      </c>
      <c r="B795" s="14" t="inlineStr">
        <is>
          <t>NB-0008</t>
        </is>
      </c>
      <c r="C795" s="14" t="n">
        <v>114</v>
      </c>
      <c r="D795" s="14">
        <f>IF(A795&gt;LastWeek-364,1,0)</f>
        <v/>
      </c>
      <c r="E795" s="14">
        <f>C795^2*D795</f>
        <v/>
      </c>
    </row>
    <row r="796">
      <c r="A796" s="26" t="n">
        <v>45754</v>
      </c>
      <c r="B796" s="14" t="inlineStr">
        <is>
          <t>NB-0008</t>
        </is>
      </c>
      <c r="C796" s="14" t="n">
        <v>98</v>
      </c>
      <c r="D796" s="14">
        <f>IF(A796&gt;LastWeek-364,1,0)</f>
        <v/>
      </c>
      <c r="E796" s="14">
        <f>C796^2*D796</f>
        <v/>
      </c>
    </row>
    <row r="797">
      <c r="A797" s="26" t="n">
        <v>45761</v>
      </c>
      <c r="B797" s="14" t="inlineStr">
        <is>
          <t>NB-0008</t>
        </is>
      </c>
      <c r="C797" s="14" t="n">
        <v>104</v>
      </c>
      <c r="D797" s="14">
        <f>IF(A797&gt;LastWeek-364,1,0)</f>
        <v/>
      </c>
      <c r="E797" s="14">
        <f>C797^2*D797</f>
        <v/>
      </c>
    </row>
    <row r="798">
      <c r="A798" s="26" t="n">
        <v>45768</v>
      </c>
      <c r="B798" s="14" t="inlineStr">
        <is>
          <t>NB-0008</t>
        </is>
      </c>
      <c r="C798" s="14" t="n">
        <v>79</v>
      </c>
      <c r="D798" s="14">
        <f>IF(A798&gt;LastWeek-364,1,0)</f>
        <v/>
      </c>
      <c r="E798" s="14">
        <f>C798^2*D798</f>
        <v/>
      </c>
    </row>
    <row r="799">
      <c r="A799" s="26" t="n">
        <v>45775</v>
      </c>
      <c r="B799" s="14" t="inlineStr">
        <is>
          <t>NB-0008</t>
        </is>
      </c>
      <c r="C799" s="14" t="n">
        <v>123</v>
      </c>
      <c r="D799" s="14">
        <f>IF(A799&gt;LastWeek-364,1,0)</f>
        <v/>
      </c>
      <c r="E799" s="14">
        <f>C799^2*D799</f>
        <v/>
      </c>
    </row>
    <row r="800">
      <c r="A800" s="26" t="n">
        <v>45782</v>
      </c>
      <c r="B800" s="14" t="inlineStr">
        <is>
          <t>NB-0008</t>
        </is>
      </c>
      <c r="C800" s="14" t="n">
        <v>61</v>
      </c>
      <c r="D800" s="14">
        <f>IF(A800&gt;LastWeek-364,1,0)</f>
        <v/>
      </c>
      <c r="E800" s="14">
        <f>C800^2*D800</f>
        <v/>
      </c>
    </row>
    <row r="801">
      <c r="A801" s="26" t="n">
        <v>45789</v>
      </c>
      <c r="B801" s="14" t="inlineStr">
        <is>
          <t>NB-0008</t>
        </is>
      </c>
      <c r="C801" s="14" t="n">
        <v>101</v>
      </c>
      <c r="D801" s="14">
        <f>IF(A801&gt;LastWeek-364,1,0)</f>
        <v/>
      </c>
      <c r="E801" s="14">
        <f>C801^2*D801</f>
        <v/>
      </c>
    </row>
    <row r="802">
      <c r="A802" s="26" t="n">
        <v>45796</v>
      </c>
      <c r="B802" s="14" t="inlineStr">
        <is>
          <t>NB-0008</t>
        </is>
      </c>
      <c r="C802" s="14" t="n">
        <v>49</v>
      </c>
      <c r="D802" s="14">
        <f>IF(A802&gt;LastWeek-364,1,0)</f>
        <v/>
      </c>
      <c r="E802" s="14">
        <f>C802^2*D802</f>
        <v/>
      </c>
    </row>
    <row r="803">
      <c r="A803" s="26" t="n">
        <v>45803</v>
      </c>
      <c r="B803" s="14" t="inlineStr">
        <is>
          <t>NB-0008</t>
        </is>
      </c>
      <c r="C803" s="14" t="n">
        <v>61</v>
      </c>
      <c r="D803" s="14">
        <f>IF(A803&gt;LastWeek-364,1,0)</f>
        <v/>
      </c>
      <c r="E803" s="14">
        <f>C803^2*D803</f>
        <v/>
      </c>
    </row>
    <row r="804">
      <c r="A804" s="26" t="n">
        <v>45810</v>
      </c>
      <c r="B804" s="14" t="inlineStr">
        <is>
          <t>NB-0008</t>
        </is>
      </c>
      <c r="C804" s="14" t="n">
        <v>35</v>
      </c>
      <c r="D804" s="14">
        <f>IF(A804&gt;LastWeek-364,1,0)</f>
        <v/>
      </c>
      <c r="E804" s="14">
        <f>C804^2*D804</f>
        <v/>
      </c>
    </row>
    <row r="805">
      <c r="A805" s="26" t="n">
        <v>45817</v>
      </c>
      <c r="B805" s="14" t="inlineStr">
        <is>
          <t>NB-0008</t>
        </is>
      </c>
      <c r="C805" s="14" t="n">
        <v>67</v>
      </c>
      <c r="D805" s="14">
        <f>IF(A805&gt;LastWeek-364,1,0)</f>
        <v/>
      </c>
      <c r="E805" s="14">
        <f>C805^2*D805</f>
        <v/>
      </c>
    </row>
    <row r="806">
      <c r="A806" s="26" t="n">
        <v>45824</v>
      </c>
      <c r="B806" s="14" t="inlineStr">
        <is>
          <t>NB-0008</t>
        </is>
      </c>
      <c r="C806" s="14" t="n">
        <v>85</v>
      </c>
      <c r="D806" s="14">
        <f>IF(A806&gt;LastWeek-364,1,0)</f>
        <v/>
      </c>
      <c r="E806" s="14">
        <f>C806^2*D806</f>
        <v/>
      </c>
    </row>
    <row r="807">
      <c r="A807" s="26" t="n">
        <v>45831</v>
      </c>
      <c r="B807" s="14" t="inlineStr">
        <is>
          <t>NB-0008</t>
        </is>
      </c>
      <c r="C807" s="14" t="n">
        <v>52</v>
      </c>
      <c r="D807" s="14">
        <f>IF(A807&gt;LastWeek-364,1,0)</f>
        <v/>
      </c>
      <c r="E807" s="14">
        <f>C807^2*D807</f>
        <v/>
      </c>
    </row>
    <row r="808">
      <c r="A808" s="26" t="n">
        <v>45838</v>
      </c>
      <c r="B808" s="14" t="inlineStr">
        <is>
          <t>NB-0008</t>
        </is>
      </c>
      <c r="C808" s="14" t="n">
        <v>48</v>
      </c>
      <c r="D808" s="14">
        <f>IF(A808&gt;LastWeek-364,1,0)</f>
        <v/>
      </c>
      <c r="E808" s="14">
        <f>C808^2*D808</f>
        <v/>
      </c>
    </row>
    <row r="809">
      <c r="A809" s="26" t="n">
        <v>45845</v>
      </c>
      <c r="B809" s="14" t="inlineStr">
        <is>
          <t>NB-0008</t>
        </is>
      </c>
      <c r="C809" s="14" t="n">
        <v>30</v>
      </c>
      <c r="D809" s="14">
        <f>IF(A809&gt;LastWeek-364,1,0)</f>
        <v/>
      </c>
      <c r="E809" s="14">
        <f>C809^2*D809</f>
        <v/>
      </c>
    </row>
    <row r="810">
      <c r="A810" s="26" t="n">
        <v>45852</v>
      </c>
      <c r="B810" s="14" t="inlineStr">
        <is>
          <t>NB-0008</t>
        </is>
      </c>
      <c r="C810" s="14" t="n">
        <v>48</v>
      </c>
      <c r="D810" s="14">
        <f>IF(A810&gt;LastWeek-364,1,0)</f>
        <v/>
      </c>
      <c r="E810" s="14">
        <f>C810^2*D810</f>
        <v/>
      </c>
    </row>
    <row r="811">
      <c r="A811" s="26" t="n">
        <v>45859</v>
      </c>
      <c r="B811" s="14" t="inlineStr">
        <is>
          <t>NB-0008</t>
        </is>
      </c>
      <c r="C811" s="14" t="n">
        <v>21</v>
      </c>
      <c r="D811" s="14">
        <f>IF(A811&gt;LastWeek-364,1,0)</f>
        <v/>
      </c>
      <c r="E811" s="14">
        <f>C811^2*D811</f>
        <v/>
      </c>
    </row>
    <row r="812">
      <c r="A812" s="26" t="n">
        <v>45866</v>
      </c>
      <c r="B812" s="14" t="inlineStr">
        <is>
          <t>NB-0008</t>
        </is>
      </c>
      <c r="C812" s="14" t="n">
        <v>36</v>
      </c>
      <c r="D812" s="14">
        <f>IF(A812&gt;LastWeek-364,1,0)</f>
        <v/>
      </c>
      <c r="E812" s="14">
        <f>C812^2*D812</f>
        <v/>
      </c>
    </row>
    <row r="813">
      <c r="A813" s="26" t="n">
        <v>45873</v>
      </c>
      <c r="B813" s="14" t="inlineStr">
        <is>
          <t>NB-0008</t>
        </is>
      </c>
      <c r="C813" s="14" t="n">
        <v>63</v>
      </c>
      <c r="D813" s="14">
        <f>IF(A813&gt;LastWeek-364,1,0)</f>
        <v/>
      </c>
      <c r="E813" s="14">
        <f>C813^2*D813</f>
        <v/>
      </c>
    </row>
    <row r="814">
      <c r="A814" s="26" t="n">
        <v>45880</v>
      </c>
      <c r="B814" s="14" t="inlineStr">
        <is>
          <t>NB-0008</t>
        </is>
      </c>
      <c r="C814" s="14" t="n">
        <v>92</v>
      </c>
      <c r="D814" s="14">
        <f>IF(A814&gt;LastWeek-364,1,0)</f>
        <v/>
      </c>
      <c r="E814" s="14">
        <f>C814^2*D814</f>
        <v/>
      </c>
    </row>
    <row r="815">
      <c r="A815" s="26" t="n">
        <v>45887</v>
      </c>
      <c r="B815" s="14" t="inlineStr">
        <is>
          <t>NB-0008</t>
        </is>
      </c>
      <c r="C815" s="14" t="n">
        <v>135</v>
      </c>
      <c r="D815" s="14">
        <f>IF(A815&gt;LastWeek-364,1,0)</f>
        <v/>
      </c>
      <c r="E815" s="14">
        <f>C815^2*D815</f>
        <v/>
      </c>
    </row>
    <row r="816">
      <c r="A816" s="26" t="n">
        <v>45894</v>
      </c>
      <c r="B816" s="14" t="inlineStr">
        <is>
          <t>NB-0008</t>
        </is>
      </c>
      <c r="C816" s="14" t="n">
        <v>53</v>
      </c>
      <c r="D816" s="14">
        <f>IF(A816&gt;LastWeek-364,1,0)</f>
        <v/>
      </c>
      <c r="E816" s="14">
        <f>C816^2*D816</f>
        <v/>
      </c>
    </row>
    <row r="817">
      <c r="A817" s="26" t="n">
        <v>45901</v>
      </c>
      <c r="B817" s="14" t="inlineStr">
        <is>
          <t>NB-0008</t>
        </is>
      </c>
      <c r="C817" s="14" t="n">
        <v>113</v>
      </c>
      <c r="D817" s="14">
        <f>IF(A817&gt;LastWeek-364,1,0)</f>
        <v/>
      </c>
      <c r="E817" s="14">
        <f>C817^2*D817</f>
        <v/>
      </c>
    </row>
    <row r="818">
      <c r="A818" s="26" t="n">
        <v>45908</v>
      </c>
      <c r="B818" s="14" t="inlineStr">
        <is>
          <t>NB-0008</t>
        </is>
      </c>
      <c r="C818" s="14" t="n">
        <v>85</v>
      </c>
      <c r="D818" s="14">
        <f>IF(A818&gt;LastWeek-364,1,0)</f>
        <v/>
      </c>
      <c r="E818" s="14">
        <f>C818^2*D818</f>
        <v/>
      </c>
    </row>
    <row r="819">
      <c r="A819" s="26" t="n">
        <v>45915</v>
      </c>
      <c r="B819" s="14" t="inlineStr">
        <is>
          <t>NB-0008</t>
        </is>
      </c>
      <c r="C819" s="14" t="n">
        <v>78</v>
      </c>
      <c r="D819" s="14">
        <f>IF(A819&gt;LastWeek-364,1,0)</f>
        <v/>
      </c>
      <c r="E819" s="14">
        <f>C819^2*D819</f>
        <v/>
      </c>
    </row>
    <row r="820">
      <c r="A820" s="26" t="n">
        <v>45922</v>
      </c>
      <c r="B820" s="14" t="inlineStr">
        <is>
          <t>NB-0008</t>
        </is>
      </c>
      <c r="C820" s="14" t="n">
        <v>103</v>
      </c>
      <c r="D820" s="14">
        <f>IF(A820&gt;LastWeek-364,1,0)</f>
        <v/>
      </c>
      <c r="E820" s="14">
        <f>C820^2*D820</f>
        <v/>
      </c>
    </row>
    <row r="821">
      <c r="A821" s="26" t="n">
        <v>45929</v>
      </c>
      <c r="B821" s="14" t="inlineStr">
        <is>
          <t>NB-0008</t>
        </is>
      </c>
      <c r="C821" s="14" t="n">
        <v>96</v>
      </c>
      <c r="D821" s="14">
        <f>IF(A821&gt;LastWeek-364,1,0)</f>
        <v/>
      </c>
      <c r="E821" s="14">
        <f>C821^2*D821</f>
        <v/>
      </c>
    </row>
    <row r="822">
      <c r="A822" s="26" t="n">
        <v>45936</v>
      </c>
      <c r="B822" s="14" t="inlineStr">
        <is>
          <t>NB-0008</t>
        </is>
      </c>
      <c r="C822" s="14" t="n">
        <v>104</v>
      </c>
      <c r="D822" s="14">
        <f>IF(A822&gt;LastWeek-364,1,0)</f>
        <v/>
      </c>
      <c r="E822" s="14">
        <f>C822^2*D822</f>
        <v/>
      </c>
    </row>
    <row r="823">
      <c r="A823" s="26" t="n">
        <v>45943</v>
      </c>
      <c r="B823" s="14" t="inlineStr">
        <is>
          <t>NB-0008</t>
        </is>
      </c>
      <c r="C823" s="14" t="n">
        <v>89</v>
      </c>
      <c r="D823" s="14">
        <f>IF(A823&gt;LastWeek-364,1,0)</f>
        <v/>
      </c>
      <c r="E823" s="14">
        <f>C823^2*D823</f>
        <v/>
      </c>
    </row>
    <row r="824">
      <c r="A824" s="26" t="n">
        <v>45950</v>
      </c>
      <c r="B824" s="14" t="inlineStr">
        <is>
          <t>NB-0008</t>
        </is>
      </c>
      <c r="C824" s="14" t="n">
        <v>51</v>
      </c>
      <c r="D824" s="14">
        <f>IF(A824&gt;LastWeek-364,1,0)</f>
        <v/>
      </c>
      <c r="E824" s="14">
        <f>C824^2*D824</f>
        <v/>
      </c>
    </row>
    <row r="825">
      <c r="A825" s="26" t="n">
        <v>45957</v>
      </c>
      <c r="B825" s="14" t="inlineStr">
        <is>
          <t>NB-0008</t>
        </is>
      </c>
      <c r="C825" s="14" t="n">
        <v>47</v>
      </c>
      <c r="D825" s="14">
        <f>IF(A825&gt;LastWeek-364,1,0)</f>
        <v/>
      </c>
      <c r="E825" s="14">
        <f>C825^2*D825</f>
        <v/>
      </c>
    </row>
    <row r="826">
      <c r="A826" s="26" t="n">
        <v>45964</v>
      </c>
      <c r="B826" s="14" t="inlineStr">
        <is>
          <t>NB-0008</t>
        </is>
      </c>
      <c r="C826" s="14" t="n">
        <v>153</v>
      </c>
      <c r="D826" s="14">
        <f>IF(A826&gt;LastWeek-364,1,0)</f>
        <v/>
      </c>
      <c r="E826" s="14">
        <f>C826^2*D826</f>
        <v/>
      </c>
    </row>
    <row r="827">
      <c r="A827" s="26" t="n">
        <v>45971</v>
      </c>
      <c r="B827" s="14" t="inlineStr">
        <is>
          <t>NB-0008</t>
        </is>
      </c>
      <c r="C827" s="14" t="n">
        <v>114</v>
      </c>
      <c r="D827" s="14">
        <f>IF(A827&gt;LastWeek-364,1,0)</f>
        <v/>
      </c>
      <c r="E827" s="14">
        <f>C827^2*D827</f>
        <v/>
      </c>
    </row>
    <row r="828">
      <c r="A828" s="26" t="n">
        <v>45978</v>
      </c>
      <c r="B828" s="14" t="inlineStr">
        <is>
          <t>NB-0008</t>
        </is>
      </c>
      <c r="C828" s="14" t="n">
        <v>102</v>
      </c>
      <c r="D828" s="14">
        <f>IF(A828&gt;LastWeek-364,1,0)</f>
        <v/>
      </c>
      <c r="E828" s="14">
        <f>C828^2*D828</f>
        <v/>
      </c>
    </row>
    <row r="829">
      <c r="A829" s="26" t="n">
        <v>45985</v>
      </c>
      <c r="B829" s="14" t="inlineStr">
        <is>
          <t>NB-0008</t>
        </is>
      </c>
      <c r="C829" s="14" t="n">
        <v>137</v>
      </c>
      <c r="D829" s="14">
        <f>IF(A829&gt;LastWeek-364,1,0)</f>
        <v/>
      </c>
      <c r="E829" s="14">
        <f>C829^2*D829</f>
        <v/>
      </c>
    </row>
    <row r="830">
      <c r="A830" s="26" t="n">
        <v>45992</v>
      </c>
      <c r="B830" s="14" t="inlineStr">
        <is>
          <t>NB-0008</t>
        </is>
      </c>
      <c r="C830" s="14" t="n">
        <v>184</v>
      </c>
      <c r="D830" s="14">
        <f>IF(A830&gt;LastWeek-364,1,0)</f>
        <v/>
      </c>
      <c r="E830" s="14">
        <f>C830^2*D830</f>
        <v/>
      </c>
    </row>
    <row r="831">
      <c r="A831" s="26" t="n">
        <v>45999</v>
      </c>
      <c r="B831" s="14" t="inlineStr">
        <is>
          <t>NB-0008</t>
        </is>
      </c>
      <c r="C831" s="14" t="n">
        <v>154</v>
      </c>
      <c r="D831" s="14">
        <f>IF(A831&gt;LastWeek-364,1,0)</f>
        <v/>
      </c>
      <c r="E831" s="14">
        <f>C831^2*D831</f>
        <v/>
      </c>
    </row>
    <row r="832">
      <c r="A832" s="26" t="n">
        <v>46006</v>
      </c>
      <c r="B832" s="14" t="inlineStr">
        <is>
          <t>NB-0008</t>
        </is>
      </c>
      <c r="C832" s="14" t="n">
        <v>109</v>
      </c>
      <c r="D832" s="14">
        <f>IF(A832&gt;LastWeek-364,1,0)</f>
        <v/>
      </c>
      <c r="E832" s="14">
        <f>C832^2*D832</f>
        <v/>
      </c>
    </row>
    <row r="833">
      <c r="A833" s="26" t="n">
        <v>46013</v>
      </c>
      <c r="B833" s="14" t="inlineStr">
        <is>
          <t>NB-0008</t>
        </is>
      </c>
      <c r="C833" s="14" t="n">
        <v>219</v>
      </c>
      <c r="D833" s="14">
        <f>IF(A833&gt;LastWeek-364,1,0)</f>
        <v/>
      </c>
      <c r="E833" s="14">
        <f>C833^2*D833</f>
        <v/>
      </c>
    </row>
    <row r="834">
      <c r="A834" s="26" t="n">
        <v>45292</v>
      </c>
      <c r="B834" s="14" t="inlineStr">
        <is>
          <t>NB-0009</t>
        </is>
      </c>
      <c r="C834" s="14" t="n">
        <v>66</v>
      </c>
      <c r="D834" s="14">
        <f>IF(A834&gt;LastWeek-364,1,0)</f>
        <v/>
      </c>
      <c r="E834" s="14">
        <f>C834^2*D834</f>
        <v/>
      </c>
    </row>
    <row r="835">
      <c r="A835" s="26" t="n">
        <v>45299</v>
      </c>
      <c r="B835" s="14" t="inlineStr">
        <is>
          <t>NB-0009</t>
        </is>
      </c>
      <c r="C835" s="14" t="n">
        <v>56</v>
      </c>
      <c r="D835" s="14">
        <f>IF(A835&gt;LastWeek-364,1,0)</f>
        <v/>
      </c>
      <c r="E835" s="14">
        <f>C835^2*D835</f>
        <v/>
      </c>
    </row>
    <row r="836">
      <c r="A836" s="26" t="n">
        <v>45306</v>
      </c>
      <c r="B836" s="14" t="inlineStr">
        <is>
          <t>NB-0009</t>
        </is>
      </c>
      <c r="C836" s="14" t="n">
        <v>60</v>
      </c>
      <c r="D836" s="14">
        <f>IF(A836&gt;LastWeek-364,1,0)</f>
        <v/>
      </c>
      <c r="E836" s="14">
        <f>C836^2*D836</f>
        <v/>
      </c>
    </row>
    <row r="837">
      <c r="A837" s="26" t="n">
        <v>45313</v>
      </c>
      <c r="B837" s="14" t="inlineStr">
        <is>
          <t>NB-0009</t>
        </is>
      </c>
      <c r="C837" s="14" t="n">
        <v>62</v>
      </c>
      <c r="D837" s="14">
        <f>IF(A837&gt;LastWeek-364,1,0)</f>
        <v/>
      </c>
      <c r="E837" s="14">
        <f>C837^2*D837</f>
        <v/>
      </c>
    </row>
    <row r="838">
      <c r="A838" s="26" t="n">
        <v>45320</v>
      </c>
      <c r="B838" s="14" t="inlineStr">
        <is>
          <t>NB-0009</t>
        </is>
      </c>
      <c r="C838" s="14" t="n">
        <v>61</v>
      </c>
      <c r="D838" s="14">
        <f>IF(A838&gt;LastWeek-364,1,0)</f>
        <v/>
      </c>
      <c r="E838" s="14">
        <f>C838^2*D838</f>
        <v/>
      </c>
    </row>
    <row r="839">
      <c r="A839" s="26" t="n">
        <v>45327</v>
      </c>
      <c r="B839" s="14" t="inlineStr">
        <is>
          <t>NB-0009</t>
        </is>
      </c>
      <c r="C839" s="14" t="n">
        <v>55</v>
      </c>
      <c r="D839" s="14">
        <f>IF(A839&gt;LastWeek-364,1,0)</f>
        <v/>
      </c>
      <c r="E839" s="14">
        <f>C839^2*D839</f>
        <v/>
      </c>
    </row>
    <row r="840">
      <c r="A840" s="26" t="n">
        <v>45334</v>
      </c>
      <c r="B840" s="14" t="inlineStr">
        <is>
          <t>NB-0009</t>
        </is>
      </c>
      <c r="C840" s="14" t="n">
        <v>54</v>
      </c>
      <c r="D840" s="14">
        <f>IF(A840&gt;LastWeek-364,1,0)</f>
        <v/>
      </c>
      <c r="E840" s="14">
        <f>C840^2*D840</f>
        <v/>
      </c>
    </row>
    <row r="841">
      <c r="A841" s="26" t="n">
        <v>45341</v>
      </c>
      <c r="B841" s="14" t="inlineStr">
        <is>
          <t>NB-0009</t>
        </is>
      </c>
      <c r="C841" s="14" t="n">
        <v>52</v>
      </c>
      <c r="D841" s="14">
        <f>IF(A841&gt;LastWeek-364,1,0)</f>
        <v/>
      </c>
      <c r="E841" s="14">
        <f>C841^2*D841</f>
        <v/>
      </c>
    </row>
    <row r="842">
      <c r="A842" s="26" t="n">
        <v>45348</v>
      </c>
      <c r="B842" s="14" t="inlineStr">
        <is>
          <t>NB-0009</t>
        </is>
      </c>
      <c r="C842" s="14" t="n">
        <v>37</v>
      </c>
      <c r="D842" s="14">
        <f>IF(A842&gt;LastWeek-364,1,0)</f>
        <v/>
      </c>
      <c r="E842" s="14">
        <f>C842^2*D842</f>
        <v/>
      </c>
    </row>
    <row r="843">
      <c r="A843" s="26" t="n">
        <v>45355</v>
      </c>
      <c r="B843" s="14" t="inlineStr">
        <is>
          <t>NB-0009</t>
        </is>
      </c>
      <c r="C843" s="14" t="n">
        <v>50</v>
      </c>
      <c r="D843" s="14">
        <f>IF(A843&gt;LastWeek-364,1,0)</f>
        <v/>
      </c>
      <c r="E843" s="14">
        <f>C843^2*D843</f>
        <v/>
      </c>
    </row>
    <row r="844">
      <c r="A844" s="26" t="n">
        <v>45362</v>
      </c>
      <c r="B844" s="14" t="inlineStr">
        <is>
          <t>NB-0009</t>
        </is>
      </c>
      <c r="C844" s="14" t="n">
        <v>32</v>
      </c>
      <c r="D844" s="14">
        <f>IF(A844&gt;LastWeek-364,1,0)</f>
        <v/>
      </c>
      <c r="E844" s="14">
        <f>C844^2*D844</f>
        <v/>
      </c>
    </row>
    <row r="845">
      <c r="A845" s="26" t="n">
        <v>45369</v>
      </c>
      <c r="B845" s="14" t="inlineStr">
        <is>
          <t>NB-0009</t>
        </is>
      </c>
      <c r="C845" s="14" t="n">
        <v>35</v>
      </c>
      <c r="D845" s="14">
        <f>IF(A845&gt;LastWeek-364,1,0)</f>
        <v/>
      </c>
      <c r="E845" s="14">
        <f>C845^2*D845</f>
        <v/>
      </c>
    </row>
    <row r="846">
      <c r="A846" s="26" t="n">
        <v>45376</v>
      </c>
      <c r="B846" s="14" t="inlineStr">
        <is>
          <t>NB-0009</t>
        </is>
      </c>
      <c r="C846" s="14" t="n">
        <v>49</v>
      </c>
      <c r="D846" s="14">
        <f>IF(A846&gt;LastWeek-364,1,0)</f>
        <v/>
      </c>
      <c r="E846" s="14">
        <f>C846^2*D846</f>
        <v/>
      </c>
    </row>
    <row r="847">
      <c r="A847" s="26" t="n">
        <v>45383</v>
      </c>
      <c r="B847" s="14" t="inlineStr">
        <is>
          <t>NB-0009</t>
        </is>
      </c>
      <c r="C847" s="14" t="n">
        <v>44</v>
      </c>
      <c r="D847" s="14">
        <f>IF(A847&gt;LastWeek-364,1,0)</f>
        <v/>
      </c>
      <c r="E847" s="14">
        <f>C847^2*D847</f>
        <v/>
      </c>
    </row>
    <row r="848">
      <c r="A848" s="26" t="n">
        <v>45390</v>
      </c>
      <c r="B848" s="14" t="inlineStr">
        <is>
          <t>NB-0009</t>
        </is>
      </c>
      <c r="C848" s="14" t="n">
        <v>46</v>
      </c>
      <c r="D848" s="14">
        <f>IF(A848&gt;LastWeek-364,1,0)</f>
        <v/>
      </c>
      <c r="E848" s="14">
        <f>C848^2*D848</f>
        <v/>
      </c>
    </row>
    <row r="849">
      <c r="A849" s="26" t="n">
        <v>45397</v>
      </c>
      <c r="B849" s="14" t="inlineStr">
        <is>
          <t>NB-0009</t>
        </is>
      </c>
      <c r="C849" s="14" t="n">
        <v>32</v>
      </c>
      <c r="D849" s="14">
        <f>IF(A849&gt;LastWeek-364,1,0)</f>
        <v/>
      </c>
      <c r="E849" s="14">
        <f>C849^2*D849</f>
        <v/>
      </c>
    </row>
    <row r="850">
      <c r="A850" s="26" t="n">
        <v>45404</v>
      </c>
      <c r="B850" s="14" t="inlineStr">
        <is>
          <t>NB-0009</t>
        </is>
      </c>
      <c r="C850" s="14" t="n">
        <v>25</v>
      </c>
      <c r="D850" s="14">
        <f>IF(A850&gt;LastWeek-364,1,0)</f>
        <v/>
      </c>
      <c r="E850" s="14">
        <f>C850^2*D850</f>
        <v/>
      </c>
    </row>
    <row r="851">
      <c r="A851" s="26" t="n">
        <v>45411</v>
      </c>
      <c r="B851" s="14" t="inlineStr">
        <is>
          <t>NB-0009</t>
        </is>
      </c>
      <c r="C851" s="14" t="n">
        <v>29</v>
      </c>
      <c r="D851" s="14">
        <f>IF(A851&gt;LastWeek-364,1,0)</f>
        <v/>
      </c>
      <c r="E851" s="14">
        <f>C851^2*D851</f>
        <v/>
      </c>
    </row>
    <row r="852">
      <c r="A852" s="26" t="n">
        <v>45418</v>
      </c>
      <c r="B852" s="14" t="inlineStr">
        <is>
          <t>NB-0009</t>
        </is>
      </c>
      <c r="C852" s="14" t="n">
        <v>29</v>
      </c>
      <c r="D852" s="14">
        <f>IF(A852&gt;LastWeek-364,1,0)</f>
        <v/>
      </c>
      <c r="E852" s="14">
        <f>C852^2*D852</f>
        <v/>
      </c>
    </row>
    <row r="853">
      <c r="A853" s="26" t="n">
        <v>45425</v>
      </c>
      <c r="B853" s="14" t="inlineStr">
        <is>
          <t>NB-0009</t>
        </is>
      </c>
      <c r="C853" s="14" t="n">
        <v>27</v>
      </c>
      <c r="D853" s="14">
        <f>IF(A853&gt;LastWeek-364,1,0)</f>
        <v/>
      </c>
      <c r="E853" s="14">
        <f>C853^2*D853</f>
        <v/>
      </c>
    </row>
    <row r="854">
      <c r="A854" s="26" t="n">
        <v>45432</v>
      </c>
      <c r="B854" s="14" t="inlineStr">
        <is>
          <t>NB-0009</t>
        </is>
      </c>
      <c r="C854" s="14" t="n">
        <v>31</v>
      </c>
      <c r="D854" s="14">
        <f>IF(A854&gt;LastWeek-364,1,0)</f>
        <v/>
      </c>
      <c r="E854" s="14">
        <f>C854^2*D854</f>
        <v/>
      </c>
    </row>
    <row r="855">
      <c r="A855" s="26" t="n">
        <v>45439</v>
      </c>
      <c r="B855" s="14" t="inlineStr">
        <is>
          <t>NB-0009</t>
        </is>
      </c>
      <c r="C855" s="14" t="n">
        <v>22</v>
      </c>
      <c r="D855" s="14">
        <f>IF(A855&gt;LastWeek-364,1,0)</f>
        <v/>
      </c>
      <c r="E855" s="14">
        <f>C855^2*D855</f>
        <v/>
      </c>
    </row>
    <row r="856">
      <c r="A856" s="26" t="n">
        <v>45446</v>
      </c>
      <c r="B856" s="14" t="inlineStr">
        <is>
          <t>NB-0009</t>
        </is>
      </c>
      <c r="C856" s="14" t="n">
        <v>24</v>
      </c>
      <c r="D856" s="14">
        <f>IF(A856&gt;LastWeek-364,1,0)</f>
        <v/>
      </c>
      <c r="E856" s="14">
        <f>C856^2*D856</f>
        <v/>
      </c>
    </row>
    <row r="857">
      <c r="A857" s="26" t="n">
        <v>45453</v>
      </c>
      <c r="B857" s="14" t="inlineStr">
        <is>
          <t>NB-0009</t>
        </is>
      </c>
      <c r="C857" s="14" t="n">
        <v>18</v>
      </c>
      <c r="D857" s="14">
        <f>IF(A857&gt;LastWeek-364,1,0)</f>
        <v/>
      </c>
      <c r="E857" s="14">
        <f>C857^2*D857</f>
        <v/>
      </c>
    </row>
    <row r="858">
      <c r="A858" s="26" t="n">
        <v>45460</v>
      </c>
      <c r="B858" s="14" t="inlineStr">
        <is>
          <t>NB-0009</t>
        </is>
      </c>
      <c r="C858" s="14" t="n">
        <v>23</v>
      </c>
      <c r="D858" s="14">
        <f>IF(A858&gt;LastWeek-364,1,0)</f>
        <v/>
      </c>
      <c r="E858" s="14">
        <f>C858^2*D858</f>
        <v/>
      </c>
    </row>
    <row r="859">
      <c r="A859" s="26" t="n">
        <v>45467</v>
      </c>
      <c r="B859" s="14" t="inlineStr">
        <is>
          <t>NB-0009</t>
        </is>
      </c>
      <c r="C859" s="14" t="n">
        <v>20</v>
      </c>
      <c r="D859" s="14">
        <f>IF(A859&gt;LastWeek-364,1,0)</f>
        <v/>
      </c>
      <c r="E859" s="14">
        <f>C859^2*D859</f>
        <v/>
      </c>
    </row>
    <row r="860">
      <c r="A860" s="26" t="n">
        <v>45474</v>
      </c>
      <c r="B860" s="14" t="inlineStr">
        <is>
          <t>NB-0009</t>
        </is>
      </c>
      <c r="C860" s="14" t="n">
        <v>17</v>
      </c>
      <c r="D860" s="14">
        <f>IF(A860&gt;LastWeek-364,1,0)</f>
        <v/>
      </c>
      <c r="E860" s="14">
        <f>C860^2*D860</f>
        <v/>
      </c>
    </row>
    <row r="861">
      <c r="A861" s="26" t="n">
        <v>45481</v>
      </c>
      <c r="B861" s="14" t="inlineStr">
        <is>
          <t>NB-0009</t>
        </is>
      </c>
      <c r="C861" s="14" t="n">
        <v>19</v>
      </c>
      <c r="D861" s="14">
        <f>IF(A861&gt;LastWeek-364,1,0)</f>
        <v/>
      </c>
      <c r="E861" s="14">
        <f>C861^2*D861</f>
        <v/>
      </c>
    </row>
    <row r="862">
      <c r="A862" s="26" t="n">
        <v>45488</v>
      </c>
      <c r="B862" s="14" t="inlineStr">
        <is>
          <t>NB-0009</t>
        </is>
      </c>
      <c r="C862" s="14" t="n">
        <v>20</v>
      </c>
      <c r="D862" s="14">
        <f>IF(A862&gt;LastWeek-364,1,0)</f>
        <v/>
      </c>
      <c r="E862" s="14">
        <f>C862^2*D862</f>
        <v/>
      </c>
    </row>
    <row r="863">
      <c r="A863" s="26" t="n">
        <v>45495</v>
      </c>
      <c r="B863" s="14" t="inlineStr">
        <is>
          <t>NB-0009</t>
        </is>
      </c>
      <c r="C863" s="14" t="n">
        <v>20</v>
      </c>
      <c r="D863" s="14">
        <f>IF(A863&gt;LastWeek-364,1,0)</f>
        <v/>
      </c>
      <c r="E863" s="14">
        <f>C863^2*D863</f>
        <v/>
      </c>
    </row>
    <row r="864">
      <c r="A864" s="26" t="n">
        <v>45502</v>
      </c>
      <c r="B864" s="14" t="inlineStr">
        <is>
          <t>NB-0009</t>
        </is>
      </c>
      <c r="C864" s="14" t="n">
        <v>28</v>
      </c>
      <c r="D864" s="14">
        <f>IF(A864&gt;LastWeek-364,1,0)</f>
        <v/>
      </c>
      <c r="E864" s="14">
        <f>C864^2*D864</f>
        <v/>
      </c>
    </row>
    <row r="865">
      <c r="A865" s="26" t="n">
        <v>45509</v>
      </c>
      <c r="B865" s="14" t="inlineStr">
        <is>
          <t>NB-0009</t>
        </is>
      </c>
      <c r="C865" s="14" t="n">
        <v>22</v>
      </c>
      <c r="D865" s="14">
        <f>IF(A865&gt;LastWeek-364,1,0)</f>
        <v/>
      </c>
      <c r="E865" s="14">
        <f>C865^2*D865</f>
        <v/>
      </c>
    </row>
    <row r="866">
      <c r="A866" s="26" t="n">
        <v>45516</v>
      </c>
      <c r="B866" s="14" t="inlineStr">
        <is>
          <t>NB-0009</t>
        </is>
      </c>
      <c r="C866" s="14" t="n">
        <v>22</v>
      </c>
      <c r="D866" s="14">
        <f>IF(A866&gt;LastWeek-364,1,0)</f>
        <v/>
      </c>
      <c r="E866" s="14">
        <f>C866^2*D866</f>
        <v/>
      </c>
    </row>
    <row r="867">
      <c r="A867" s="26" t="n">
        <v>45523</v>
      </c>
      <c r="B867" s="14" t="inlineStr">
        <is>
          <t>NB-0009</t>
        </is>
      </c>
      <c r="C867" s="14" t="n">
        <v>15</v>
      </c>
      <c r="D867" s="14">
        <f>IF(A867&gt;LastWeek-364,1,0)</f>
        <v/>
      </c>
      <c r="E867" s="14">
        <f>C867^2*D867</f>
        <v/>
      </c>
    </row>
    <row r="868">
      <c r="A868" s="26" t="n">
        <v>45530</v>
      </c>
      <c r="B868" s="14" t="inlineStr">
        <is>
          <t>NB-0009</t>
        </is>
      </c>
      <c r="C868" s="14" t="n">
        <v>22</v>
      </c>
      <c r="D868" s="14">
        <f>IF(A868&gt;LastWeek-364,1,0)</f>
        <v/>
      </c>
      <c r="E868" s="14">
        <f>C868^2*D868</f>
        <v/>
      </c>
    </row>
    <row r="869">
      <c r="A869" s="26" t="n">
        <v>45537</v>
      </c>
      <c r="B869" s="14" t="inlineStr">
        <is>
          <t>NB-0009</t>
        </is>
      </c>
      <c r="C869" s="14" t="n">
        <v>26</v>
      </c>
      <c r="D869" s="14">
        <f>IF(A869&gt;LastWeek-364,1,0)</f>
        <v/>
      </c>
      <c r="E869" s="14">
        <f>C869^2*D869</f>
        <v/>
      </c>
    </row>
    <row r="870">
      <c r="A870" s="26" t="n">
        <v>45544</v>
      </c>
      <c r="B870" s="14" t="inlineStr">
        <is>
          <t>NB-0009</t>
        </is>
      </c>
      <c r="C870" s="14" t="n">
        <v>26</v>
      </c>
      <c r="D870" s="14">
        <f>IF(A870&gt;LastWeek-364,1,0)</f>
        <v/>
      </c>
      <c r="E870" s="14">
        <f>C870^2*D870</f>
        <v/>
      </c>
    </row>
    <row r="871">
      <c r="A871" s="26" t="n">
        <v>45551</v>
      </c>
      <c r="B871" s="14" t="inlineStr">
        <is>
          <t>NB-0009</t>
        </is>
      </c>
      <c r="C871" s="14" t="n">
        <v>40</v>
      </c>
      <c r="D871" s="14">
        <f>IF(A871&gt;LastWeek-364,1,0)</f>
        <v/>
      </c>
      <c r="E871" s="14">
        <f>C871^2*D871</f>
        <v/>
      </c>
    </row>
    <row r="872">
      <c r="A872" s="26" t="n">
        <v>45558</v>
      </c>
      <c r="B872" s="14" t="inlineStr">
        <is>
          <t>NB-0009</t>
        </is>
      </c>
      <c r="C872" s="14" t="n">
        <v>32</v>
      </c>
      <c r="D872" s="14">
        <f>IF(A872&gt;LastWeek-364,1,0)</f>
        <v/>
      </c>
      <c r="E872" s="14">
        <f>C872^2*D872</f>
        <v/>
      </c>
    </row>
    <row r="873">
      <c r="A873" s="26" t="n">
        <v>45565</v>
      </c>
      <c r="B873" s="14" t="inlineStr">
        <is>
          <t>NB-0009</t>
        </is>
      </c>
      <c r="C873" s="14" t="n">
        <v>44</v>
      </c>
      <c r="D873" s="14">
        <f>IF(A873&gt;LastWeek-364,1,0)</f>
        <v/>
      </c>
      <c r="E873" s="14">
        <f>C873^2*D873</f>
        <v/>
      </c>
    </row>
    <row r="874">
      <c r="A874" s="26" t="n">
        <v>45572</v>
      </c>
      <c r="B874" s="14" t="inlineStr">
        <is>
          <t>NB-0009</t>
        </is>
      </c>
      <c r="C874" s="14" t="n">
        <v>38</v>
      </c>
      <c r="D874" s="14">
        <f>IF(A874&gt;LastWeek-364,1,0)</f>
        <v/>
      </c>
      <c r="E874" s="14">
        <f>C874^2*D874</f>
        <v/>
      </c>
    </row>
    <row r="875">
      <c r="A875" s="26" t="n">
        <v>45579</v>
      </c>
      <c r="B875" s="14" t="inlineStr">
        <is>
          <t>NB-0009</t>
        </is>
      </c>
      <c r="C875" s="14" t="n">
        <v>40</v>
      </c>
      <c r="D875" s="14">
        <f>IF(A875&gt;LastWeek-364,1,0)</f>
        <v/>
      </c>
      <c r="E875" s="14">
        <f>C875^2*D875</f>
        <v/>
      </c>
    </row>
    <row r="876">
      <c r="A876" s="26" t="n">
        <v>45586</v>
      </c>
      <c r="B876" s="14" t="inlineStr">
        <is>
          <t>NB-0009</t>
        </is>
      </c>
      <c r="C876" s="14" t="n">
        <v>41</v>
      </c>
      <c r="D876" s="14">
        <f>IF(A876&gt;LastWeek-364,1,0)</f>
        <v/>
      </c>
      <c r="E876" s="14">
        <f>C876^2*D876</f>
        <v/>
      </c>
    </row>
    <row r="877">
      <c r="A877" s="26" t="n">
        <v>45593</v>
      </c>
      <c r="B877" s="14" t="inlineStr">
        <is>
          <t>NB-0009</t>
        </is>
      </c>
      <c r="C877" s="14" t="n">
        <v>44</v>
      </c>
      <c r="D877" s="14">
        <f>IF(A877&gt;LastWeek-364,1,0)</f>
        <v/>
      </c>
      <c r="E877" s="14">
        <f>C877^2*D877</f>
        <v/>
      </c>
    </row>
    <row r="878">
      <c r="A878" s="26" t="n">
        <v>45600</v>
      </c>
      <c r="B878" s="14" t="inlineStr">
        <is>
          <t>NB-0009</t>
        </is>
      </c>
      <c r="C878" s="14" t="n">
        <v>61</v>
      </c>
      <c r="D878" s="14">
        <f>IF(A878&gt;LastWeek-364,1,0)</f>
        <v/>
      </c>
      <c r="E878" s="14">
        <f>C878^2*D878</f>
        <v/>
      </c>
    </row>
    <row r="879">
      <c r="A879" s="26" t="n">
        <v>45607</v>
      </c>
      <c r="B879" s="14" t="inlineStr">
        <is>
          <t>NB-0009</t>
        </is>
      </c>
      <c r="C879" s="14" t="n">
        <v>27</v>
      </c>
      <c r="D879" s="14">
        <f>IF(A879&gt;LastWeek-364,1,0)</f>
        <v/>
      </c>
      <c r="E879" s="14">
        <f>C879^2*D879</f>
        <v/>
      </c>
    </row>
    <row r="880">
      <c r="A880" s="26" t="n">
        <v>45614</v>
      </c>
      <c r="B880" s="14" t="inlineStr">
        <is>
          <t>NB-0009</t>
        </is>
      </c>
      <c r="C880" s="14" t="n">
        <v>31</v>
      </c>
      <c r="D880" s="14">
        <f>IF(A880&gt;LastWeek-364,1,0)</f>
        <v/>
      </c>
      <c r="E880" s="14">
        <f>C880^2*D880</f>
        <v/>
      </c>
    </row>
    <row r="881">
      <c r="A881" s="26" t="n">
        <v>45621</v>
      </c>
      <c r="B881" s="14" t="inlineStr">
        <is>
          <t>NB-0009</t>
        </is>
      </c>
      <c r="C881" s="14" t="n">
        <v>46</v>
      </c>
      <c r="D881" s="14">
        <f>IF(A881&gt;LastWeek-364,1,0)</f>
        <v/>
      </c>
      <c r="E881" s="14">
        <f>C881^2*D881</f>
        <v/>
      </c>
    </row>
    <row r="882">
      <c r="A882" s="26" t="n">
        <v>45628</v>
      </c>
      <c r="B882" s="14" t="inlineStr">
        <is>
          <t>NB-0009</t>
        </is>
      </c>
      <c r="C882" s="14" t="n">
        <v>53</v>
      </c>
      <c r="D882" s="14">
        <f>IF(A882&gt;LastWeek-364,1,0)</f>
        <v/>
      </c>
      <c r="E882" s="14">
        <f>C882^2*D882</f>
        <v/>
      </c>
    </row>
    <row r="883">
      <c r="A883" s="26" t="n">
        <v>45635</v>
      </c>
      <c r="B883" s="14" t="inlineStr">
        <is>
          <t>NB-0009</t>
        </is>
      </c>
      <c r="C883" s="14" t="n">
        <v>61</v>
      </c>
      <c r="D883" s="14">
        <f>IF(A883&gt;LastWeek-364,1,0)</f>
        <v/>
      </c>
      <c r="E883" s="14">
        <f>C883^2*D883</f>
        <v/>
      </c>
    </row>
    <row r="884">
      <c r="A884" s="26" t="n">
        <v>45642</v>
      </c>
      <c r="B884" s="14" t="inlineStr">
        <is>
          <t>NB-0009</t>
        </is>
      </c>
      <c r="C884" s="14" t="n">
        <v>60</v>
      </c>
      <c r="D884" s="14">
        <f>IF(A884&gt;LastWeek-364,1,0)</f>
        <v/>
      </c>
      <c r="E884" s="14">
        <f>C884^2*D884</f>
        <v/>
      </c>
    </row>
    <row r="885">
      <c r="A885" s="26" t="n">
        <v>45649</v>
      </c>
      <c r="B885" s="14" t="inlineStr">
        <is>
          <t>NB-0009</t>
        </is>
      </c>
      <c r="C885" s="14" t="n">
        <v>52</v>
      </c>
      <c r="D885" s="14">
        <f>IF(A885&gt;LastWeek-364,1,0)</f>
        <v/>
      </c>
      <c r="E885" s="14">
        <f>C885^2*D885</f>
        <v/>
      </c>
    </row>
    <row r="886">
      <c r="A886" s="26" t="n">
        <v>45656</v>
      </c>
      <c r="B886" s="14" t="inlineStr">
        <is>
          <t>NB-0009</t>
        </is>
      </c>
      <c r="C886" s="14" t="n">
        <v>67</v>
      </c>
      <c r="D886" s="14">
        <f>IF(A886&gt;LastWeek-364,1,0)</f>
        <v/>
      </c>
      <c r="E886" s="14">
        <f>C886^2*D886</f>
        <v/>
      </c>
    </row>
    <row r="887">
      <c r="A887" s="26" t="n">
        <v>45663</v>
      </c>
      <c r="B887" s="14" t="inlineStr">
        <is>
          <t>NB-0009</t>
        </is>
      </c>
      <c r="C887" s="14" t="n">
        <v>67</v>
      </c>
      <c r="D887" s="14">
        <f>IF(A887&gt;LastWeek-364,1,0)</f>
        <v/>
      </c>
      <c r="E887" s="14">
        <f>C887^2*D887</f>
        <v/>
      </c>
    </row>
    <row r="888">
      <c r="A888" s="26" t="n">
        <v>45670</v>
      </c>
      <c r="B888" s="14" t="inlineStr">
        <is>
          <t>NB-0009</t>
        </is>
      </c>
      <c r="C888" s="14" t="n">
        <v>58</v>
      </c>
      <c r="D888" s="14">
        <f>IF(A888&gt;LastWeek-364,1,0)</f>
        <v/>
      </c>
      <c r="E888" s="14">
        <f>C888^2*D888</f>
        <v/>
      </c>
    </row>
    <row r="889">
      <c r="A889" s="26" t="n">
        <v>45677</v>
      </c>
      <c r="B889" s="14" t="inlineStr">
        <is>
          <t>NB-0009</t>
        </is>
      </c>
      <c r="C889" s="14" t="n">
        <v>66</v>
      </c>
      <c r="D889" s="14">
        <f>IF(A889&gt;LastWeek-364,1,0)</f>
        <v/>
      </c>
      <c r="E889" s="14">
        <f>C889^2*D889</f>
        <v/>
      </c>
    </row>
    <row r="890">
      <c r="A890" s="26" t="n">
        <v>45684</v>
      </c>
      <c r="B890" s="14" t="inlineStr">
        <is>
          <t>NB-0009</t>
        </is>
      </c>
      <c r="C890" s="14" t="n">
        <v>58</v>
      </c>
      <c r="D890" s="14">
        <f>IF(A890&gt;LastWeek-364,1,0)</f>
        <v/>
      </c>
      <c r="E890" s="14">
        <f>C890^2*D890</f>
        <v/>
      </c>
    </row>
    <row r="891">
      <c r="A891" s="26" t="n">
        <v>45691</v>
      </c>
      <c r="B891" s="14" t="inlineStr">
        <is>
          <t>NB-0009</t>
        </is>
      </c>
      <c r="C891" s="14" t="n">
        <v>49</v>
      </c>
      <c r="D891" s="14">
        <f>IF(A891&gt;LastWeek-364,1,0)</f>
        <v/>
      </c>
      <c r="E891" s="14">
        <f>C891^2*D891</f>
        <v/>
      </c>
    </row>
    <row r="892">
      <c r="A892" s="26" t="n">
        <v>45698</v>
      </c>
      <c r="B892" s="14" t="inlineStr">
        <is>
          <t>NB-0009</t>
        </is>
      </c>
      <c r="C892" s="14" t="n">
        <v>61</v>
      </c>
      <c r="D892" s="14">
        <f>IF(A892&gt;LastWeek-364,1,0)</f>
        <v/>
      </c>
      <c r="E892" s="14">
        <f>C892^2*D892</f>
        <v/>
      </c>
    </row>
    <row r="893">
      <c r="A893" s="26" t="n">
        <v>45705</v>
      </c>
      <c r="B893" s="14" t="inlineStr">
        <is>
          <t>NB-0009</t>
        </is>
      </c>
      <c r="C893" s="14" t="n">
        <v>53</v>
      </c>
      <c r="D893" s="14">
        <f>IF(A893&gt;LastWeek-364,1,0)</f>
        <v/>
      </c>
      <c r="E893" s="14">
        <f>C893^2*D893</f>
        <v/>
      </c>
    </row>
    <row r="894">
      <c r="A894" s="26" t="n">
        <v>45712</v>
      </c>
      <c r="B894" s="14" t="inlineStr">
        <is>
          <t>NB-0009</t>
        </is>
      </c>
      <c r="C894" s="14" t="n">
        <v>51</v>
      </c>
      <c r="D894" s="14">
        <f>IF(A894&gt;LastWeek-364,1,0)</f>
        <v/>
      </c>
      <c r="E894" s="14">
        <f>C894^2*D894</f>
        <v/>
      </c>
    </row>
    <row r="895">
      <c r="A895" s="26" t="n">
        <v>45719</v>
      </c>
      <c r="B895" s="14" t="inlineStr">
        <is>
          <t>NB-0009</t>
        </is>
      </c>
      <c r="C895" s="14" t="n">
        <v>63</v>
      </c>
      <c r="D895" s="14">
        <f>IF(A895&gt;LastWeek-364,1,0)</f>
        <v/>
      </c>
      <c r="E895" s="14">
        <f>C895^2*D895</f>
        <v/>
      </c>
    </row>
    <row r="896">
      <c r="A896" s="26" t="n">
        <v>45726</v>
      </c>
      <c r="B896" s="14" t="inlineStr">
        <is>
          <t>NB-0009</t>
        </is>
      </c>
      <c r="C896" s="14" t="n">
        <v>26</v>
      </c>
      <c r="D896" s="14">
        <f>IF(A896&gt;LastWeek-364,1,0)</f>
        <v/>
      </c>
      <c r="E896" s="14">
        <f>C896^2*D896</f>
        <v/>
      </c>
    </row>
    <row r="897">
      <c r="A897" s="26" t="n">
        <v>45733</v>
      </c>
      <c r="B897" s="14" t="inlineStr">
        <is>
          <t>NB-0009</t>
        </is>
      </c>
      <c r="C897" s="14" t="n">
        <v>34</v>
      </c>
      <c r="D897" s="14">
        <f>IF(A897&gt;LastWeek-364,1,0)</f>
        <v/>
      </c>
      <c r="E897" s="14">
        <f>C897^2*D897</f>
        <v/>
      </c>
    </row>
    <row r="898">
      <c r="A898" s="26" t="n">
        <v>45740</v>
      </c>
      <c r="B898" s="14" t="inlineStr">
        <is>
          <t>NB-0009</t>
        </is>
      </c>
      <c r="C898" s="14" t="n">
        <v>34</v>
      </c>
      <c r="D898" s="14">
        <f>IF(A898&gt;LastWeek-364,1,0)</f>
        <v/>
      </c>
      <c r="E898" s="14">
        <f>C898^2*D898</f>
        <v/>
      </c>
    </row>
    <row r="899">
      <c r="A899" s="26" t="n">
        <v>45747</v>
      </c>
      <c r="B899" s="14" t="inlineStr">
        <is>
          <t>NB-0009</t>
        </is>
      </c>
      <c r="C899" s="14" t="n">
        <v>39</v>
      </c>
      <c r="D899" s="14">
        <f>IF(A899&gt;LastWeek-364,1,0)</f>
        <v/>
      </c>
      <c r="E899" s="14">
        <f>C899^2*D899</f>
        <v/>
      </c>
    </row>
    <row r="900">
      <c r="A900" s="26" t="n">
        <v>45754</v>
      </c>
      <c r="B900" s="14" t="inlineStr">
        <is>
          <t>NB-0009</t>
        </is>
      </c>
      <c r="C900" s="14" t="n">
        <v>38</v>
      </c>
      <c r="D900" s="14">
        <f>IF(A900&gt;LastWeek-364,1,0)</f>
        <v/>
      </c>
      <c r="E900" s="14">
        <f>C900^2*D900</f>
        <v/>
      </c>
    </row>
    <row r="901">
      <c r="A901" s="26" t="n">
        <v>45761</v>
      </c>
      <c r="B901" s="14" t="inlineStr">
        <is>
          <t>NB-0009</t>
        </is>
      </c>
      <c r="C901" s="14" t="n">
        <v>27</v>
      </c>
      <c r="D901" s="14">
        <f>IF(A901&gt;LastWeek-364,1,0)</f>
        <v/>
      </c>
      <c r="E901" s="14">
        <f>C901^2*D901</f>
        <v/>
      </c>
    </row>
    <row r="902">
      <c r="A902" s="26" t="n">
        <v>45768</v>
      </c>
      <c r="B902" s="14" t="inlineStr">
        <is>
          <t>NB-0009</t>
        </is>
      </c>
      <c r="C902" s="14" t="n">
        <v>29</v>
      </c>
      <c r="D902" s="14">
        <f>IF(A902&gt;LastWeek-364,1,0)</f>
        <v/>
      </c>
      <c r="E902" s="14">
        <f>C902^2*D902</f>
        <v/>
      </c>
    </row>
    <row r="903">
      <c r="A903" s="26" t="n">
        <v>45775</v>
      </c>
      <c r="B903" s="14" t="inlineStr">
        <is>
          <t>NB-0009</t>
        </is>
      </c>
      <c r="C903" s="14" t="n">
        <v>28</v>
      </c>
      <c r="D903" s="14">
        <f>IF(A903&gt;LastWeek-364,1,0)</f>
        <v/>
      </c>
      <c r="E903" s="14">
        <f>C903^2*D903</f>
        <v/>
      </c>
    </row>
    <row r="904">
      <c r="A904" s="26" t="n">
        <v>45782</v>
      </c>
      <c r="B904" s="14" t="inlineStr">
        <is>
          <t>NB-0009</t>
        </is>
      </c>
      <c r="C904" s="14" t="n">
        <v>46</v>
      </c>
      <c r="D904" s="14">
        <f>IF(A904&gt;LastWeek-364,1,0)</f>
        <v/>
      </c>
      <c r="E904" s="14">
        <f>C904^2*D904</f>
        <v/>
      </c>
    </row>
    <row r="905">
      <c r="A905" s="26" t="n">
        <v>45789</v>
      </c>
      <c r="B905" s="14" t="inlineStr">
        <is>
          <t>NB-0009</t>
        </is>
      </c>
      <c r="C905" s="14" t="n">
        <v>40</v>
      </c>
      <c r="D905" s="14">
        <f>IF(A905&gt;LastWeek-364,1,0)</f>
        <v/>
      </c>
      <c r="E905" s="14">
        <f>C905^2*D905</f>
        <v/>
      </c>
    </row>
    <row r="906">
      <c r="A906" s="26" t="n">
        <v>45796</v>
      </c>
      <c r="B906" s="14" t="inlineStr">
        <is>
          <t>NB-0009</t>
        </is>
      </c>
      <c r="C906" s="14" t="n">
        <v>26</v>
      </c>
      <c r="D906" s="14">
        <f>IF(A906&gt;LastWeek-364,1,0)</f>
        <v/>
      </c>
      <c r="E906" s="14">
        <f>C906^2*D906</f>
        <v/>
      </c>
    </row>
    <row r="907">
      <c r="A907" s="26" t="n">
        <v>45803</v>
      </c>
      <c r="B907" s="14" t="inlineStr">
        <is>
          <t>NB-0009</t>
        </is>
      </c>
      <c r="C907" s="14" t="n">
        <v>25</v>
      </c>
      <c r="D907" s="14">
        <f>IF(A907&gt;LastWeek-364,1,0)</f>
        <v/>
      </c>
      <c r="E907" s="14">
        <f>C907^2*D907</f>
        <v/>
      </c>
    </row>
    <row r="908">
      <c r="A908" s="26" t="n">
        <v>45810</v>
      </c>
      <c r="B908" s="14" t="inlineStr">
        <is>
          <t>NB-0009</t>
        </is>
      </c>
      <c r="C908" s="14" t="n">
        <v>20</v>
      </c>
      <c r="D908" s="14">
        <f>IF(A908&gt;LastWeek-364,1,0)</f>
        <v/>
      </c>
      <c r="E908" s="14">
        <f>C908^2*D908</f>
        <v/>
      </c>
    </row>
    <row r="909">
      <c r="A909" s="26" t="n">
        <v>45817</v>
      </c>
      <c r="B909" s="14" t="inlineStr">
        <is>
          <t>NB-0009</t>
        </is>
      </c>
      <c r="C909" s="14" t="n">
        <v>16</v>
      </c>
      <c r="D909" s="14">
        <f>IF(A909&gt;LastWeek-364,1,0)</f>
        <v/>
      </c>
      <c r="E909" s="14">
        <f>C909^2*D909</f>
        <v/>
      </c>
    </row>
    <row r="910">
      <c r="A910" s="26" t="n">
        <v>45824</v>
      </c>
      <c r="B910" s="14" t="inlineStr">
        <is>
          <t>NB-0009</t>
        </is>
      </c>
      <c r="C910" s="14" t="n">
        <v>23</v>
      </c>
      <c r="D910" s="14">
        <f>IF(A910&gt;LastWeek-364,1,0)</f>
        <v/>
      </c>
      <c r="E910" s="14">
        <f>C910^2*D910</f>
        <v/>
      </c>
    </row>
    <row r="911">
      <c r="A911" s="26" t="n">
        <v>45831</v>
      </c>
      <c r="B911" s="14" t="inlineStr">
        <is>
          <t>NB-0009</t>
        </is>
      </c>
      <c r="C911" s="14" t="n">
        <v>18</v>
      </c>
      <c r="D911" s="14">
        <f>IF(A911&gt;LastWeek-364,1,0)</f>
        <v/>
      </c>
      <c r="E911" s="14">
        <f>C911^2*D911</f>
        <v/>
      </c>
    </row>
    <row r="912">
      <c r="A912" s="26" t="n">
        <v>45838</v>
      </c>
      <c r="B912" s="14" t="inlineStr">
        <is>
          <t>NB-0009</t>
        </is>
      </c>
      <c r="C912" s="14" t="n">
        <v>22</v>
      </c>
      <c r="D912" s="14">
        <f>IF(A912&gt;LastWeek-364,1,0)</f>
        <v/>
      </c>
      <c r="E912" s="14">
        <f>C912^2*D912</f>
        <v/>
      </c>
    </row>
    <row r="913">
      <c r="A913" s="26" t="n">
        <v>45845</v>
      </c>
      <c r="B913" s="14" t="inlineStr">
        <is>
          <t>NB-0009</t>
        </is>
      </c>
      <c r="C913" s="14" t="n">
        <v>16</v>
      </c>
      <c r="D913" s="14">
        <f>IF(A913&gt;LastWeek-364,1,0)</f>
        <v/>
      </c>
      <c r="E913" s="14">
        <f>C913^2*D913</f>
        <v/>
      </c>
    </row>
    <row r="914">
      <c r="A914" s="26" t="n">
        <v>45852</v>
      </c>
      <c r="B914" s="14" t="inlineStr">
        <is>
          <t>NB-0009</t>
        </is>
      </c>
      <c r="C914" s="14" t="n">
        <v>19</v>
      </c>
      <c r="D914" s="14">
        <f>IF(A914&gt;LastWeek-364,1,0)</f>
        <v/>
      </c>
      <c r="E914" s="14">
        <f>C914^2*D914</f>
        <v/>
      </c>
    </row>
    <row r="915">
      <c r="A915" s="26" t="n">
        <v>45859</v>
      </c>
      <c r="B915" s="14" t="inlineStr">
        <is>
          <t>NB-0009</t>
        </is>
      </c>
      <c r="C915" s="14" t="n">
        <v>23</v>
      </c>
      <c r="D915" s="14">
        <f>IF(A915&gt;LastWeek-364,1,0)</f>
        <v/>
      </c>
      <c r="E915" s="14">
        <f>C915^2*D915</f>
        <v/>
      </c>
    </row>
    <row r="916">
      <c r="A916" s="26" t="n">
        <v>45866</v>
      </c>
      <c r="B916" s="14" t="inlineStr">
        <is>
          <t>NB-0009</t>
        </is>
      </c>
      <c r="C916" s="14" t="n">
        <v>25</v>
      </c>
      <c r="D916" s="14">
        <f>IF(A916&gt;LastWeek-364,1,0)</f>
        <v/>
      </c>
      <c r="E916" s="14">
        <f>C916^2*D916</f>
        <v/>
      </c>
    </row>
    <row r="917">
      <c r="A917" s="26" t="n">
        <v>45873</v>
      </c>
      <c r="B917" s="14" t="inlineStr">
        <is>
          <t>NB-0009</t>
        </is>
      </c>
      <c r="C917" s="14" t="n">
        <v>26</v>
      </c>
      <c r="D917" s="14">
        <f>IF(A917&gt;LastWeek-364,1,0)</f>
        <v/>
      </c>
      <c r="E917" s="14">
        <f>C917^2*D917</f>
        <v/>
      </c>
    </row>
    <row r="918">
      <c r="A918" s="26" t="n">
        <v>45880</v>
      </c>
      <c r="B918" s="14" t="inlineStr">
        <is>
          <t>NB-0009</t>
        </is>
      </c>
      <c r="C918" s="14" t="n">
        <v>19</v>
      </c>
      <c r="D918" s="14">
        <f>IF(A918&gt;LastWeek-364,1,0)</f>
        <v/>
      </c>
      <c r="E918" s="14">
        <f>C918^2*D918</f>
        <v/>
      </c>
    </row>
    <row r="919">
      <c r="A919" s="26" t="n">
        <v>45887</v>
      </c>
      <c r="B919" s="14" t="inlineStr">
        <is>
          <t>NB-0009</t>
        </is>
      </c>
      <c r="C919" s="14" t="n">
        <v>31</v>
      </c>
      <c r="D919" s="14">
        <f>IF(A919&gt;LastWeek-364,1,0)</f>
        <v/>
      </c>
      <c r="E919" s="14">
        <f>C919^2*D919</f>
        <v/>
      </c>
    </row>
    <row r="920">
      <c r="A920" s="26" t="n">
        <v>45894</v>
      </c>
      <c r="B920" s="14" t="inlineStr">
        <is>
          <t>NB-0009</t>
        </is>
      </c>
      <c r="C920" s="14" t="n">
        <v>25</v>
      </c>
      <c r="D920" s="14">
        <f>IF(A920&gt;LastWeek-364,1,0)</f>
        <v/>
      </c>
      <c r="E920" s="14">
        <f>C920^2*D920</f>
        <v/>
      </c>
    </row>
    <row r="921">
      <c r="A921" s="26" t="n">
        <v>45901</v>
      </c>
      <c r="B921" s="14" t="inlineStr">
        <is>
          <t>NB-0009</t>
        </is>
      </c>
      <c r="C921" s="14" t="n">
        <v>34</v>
      </c>
      <c r="D921" s="14">
        <f>IF(A921&gt;LastWeek-364,1,0)</f>
        <v/>
      </c>
      <c r="E921" s="14">
        <f>C921^2*D921</f>
        <v/>
      </c>
    </row>
    <row r="922">
      <c r="A922" s="26" t="n">
        <v>45908</v>
      </c>
      <c r="B922" s="14" t="inlineStr">
        <is>
          <t>NB-0009</t>
        </is>
      </c>
      <c r="C922" s="14" t="n">
        <v>33</v>
      </c>
      <c r="D922" s="14">
        <f>IF(A922&gt;LastWeek-364,1,0)</f>
        <v/>
      </c>
      <c r="E922" s="14">
        <f>C922^2*D922</f>
        <v/>
      </c>
    </row>
    <row r="923">
      <c r="A923" s="26" t="n">
        <v>45915</v>
      </c>
      <c r="B923" s="14" t="inlineStr">
        <is>
          <t>NB-0009</t>
        </is>
      </c>
      <c r="C923" s="14" t="n">
        <v>26</v>
      </c>
      <c r="D923" s="14">
        <f>IF(A923&gt;LastWeek-364,1,0)</f>
        <v/>
      </c>
      <c r="E923" s="14">
        <f>C923^2*D923</f>
        <v/>
      </c>
    </row>
    <row r="924">
      <c r="A924" s="26" t="n">
        <v>45922</v>
      </c>
      <c r="B924" s="14" t="inlineStr">
        <is>
          <t>NB-0009</t>
        </is>
      </c>
      <c r="C924" s="14" t="n">
        <v>35</v>
      </c>
      <c r="D924" s="14">
        <f>IF(A924&gt;LastWeek-364,1,0)</f>
        <v/>
      </c>
      <c r="E924" s="14">
        <f>C924^2*D924</f>
        <v/>
      </c>
    </row>
    <row r="925">
      <c r="A925" s="26" t="n">
        <v>45929</v>
      </c>
      <c r="B925" s="14" t="inlineStr">
        <is>
          <t>NB-0009</t>
        </is>
      </c>
      <c r="C925" s="14" t="n">
        <v>42</v>
      </c>
      <c r="D925" s="14">
        <f>IF(A925&gt;LastWeek-364,1,0)</f>
        <v/>
      </c>
      <c r="E925" s="14">
        <f>C925^2*D925</f>
        <v/>
      </c>
    </row>
    <row r="926">
      <c r="A926" s="26" t="n">
        <v>45936</v>
      </c>
      <c r="B926" s="14" t="inlineStr">
        <is>
          <t>NB-0009</t>
        </is>
      </c>
      <c r="C926" s="14" t="n">
        <v>46</v>
      </c>
      <c r="D926" s="14">
        <f>IF(A926&gt;LastWeek-364,1,0)</f>
        <v/>
      </c>
      <c r="E926" s="14">
        <f>C926^2*D926</f>
        <v/>
      </c>
    </row>
    <row r="927">
      <c r="A927" s="26" t="n">
        <v>45943</v>
      </c>
      <c r="B927" s="14" t="inlineStr">
        <is>
          <t>NB-0009</t>
        </is>
      </c>
      <c r="C927" s="14" t="n">
        <v>43</v>
      </c>
      <c r="D927" s="14">
        <f>IF(A927&gt;LastWeek-364,1,0)</f>
        <v/>
      </c>
      <c r="E927" s="14">
        <f>C927^2*D927</f>
        <v/>
      </c>
    </row>
    <row r="928">
      <c r="A928" s="26" t="n">
        <v>45950</v>
      </c>
      <c r="B928" s="14" t="inlineStr">
        <is>
          <t>NB-0009</t>
        </is>
      </c>
      <c r="C928" s="14" t="n">
        <v>60</v>
      </c>
      <c r="D928" s="14">
        <f>IF(A928&gt;LastWeek-364,1,0)</f>
        <v/>
      </c>
      <c r="E928" s="14">
        <f>C928^2*D928</f>
        <v/>
      </c>
    </row>
    <row r="929">
      <c r="A929" s="26" t="n">
        <v>45957</v>
      </c>
      <c r="B929" s="14" t="inlineStr">
        <is>
          <t>NB-0009</t>
        </is>
      </c>
      <c r="C929" s="14" t="n">
        <v>58</v>
      </c>
      <c r="D929" s="14">
        <f>IF(A929&gt;LastWeek-364,1,0)</f>
        <v/>
      </c>
      <c r="E929" s="14">
        <f>C929^2*D929</f>
        <v/>
      </c>
    </row>
    <row r="930">
      <c r="A930" s="26" t="n">
        <v>45964</v>
      </c>
      <c r="B930" s="14" t="inlineStr">
        <is>
          <t>NB-0009</t>
        </is>
      </c>
      <c r="C930" s="14" t="n">
        <v>48</v>
      </c>
      <c r="D930" s="14">
        <f>IF(A930&gt;LastWeek-364,1,0)</f>
        <v/>
      </c>
      <c r="E930" s="14">
        <f>C930^2*D930</f>
        <v/>
      </c>
    </row>
    <row r="931">
      <c r="A931" s="26" t="n">
        <v>45971</v>
      </c>
      <c r="B931" s="14" t="inlineStr">
        <is>
          <t>NB-0009</t>
        </is>
      </c>
      <c r="C931" s="14" t="n">
        <v>60</v>
      </c>
      <c r="D931" s="14">
        <f>IF(A931&gt;LastWeek-364,1,0)</f>
        <v/>
      </c>
      <c r="E931" s="14">
        <f>C931^2*D931</f>
        <v/>
      </c>
    </row>
    <row r="932">
      <c r="A932" s="26" t="n">
        <v>45978</v>
      </c>
      <c r="B932" s="14" t="inlineStr">
        <is>
          <t>NB-0009</t>
        </is>
      </c>
      <c r="C932" s="14" t="n">
        <v>75</v>
      </c>
      <c r="D932" s="14">
        <f>IF(A932&gt;LastWeek-364,1,0)</f>
        <v/>
      </c>
      <c r="E932" s="14">
        <f>C932^2*D932</f>
        <v/>
      </c>
    </row>
    <row r="933">
      <c r="A933" s="26" t="n">
        <v>45985</v>
      </c>
      <c r="B933" s="14" t="inlineStr">
        <is>
          <t>NB-0009</t>
        </is>
      </c>
      <c r="C933" s="14" t="n">
        <v>77</v>
      </c>
      <c r="D933" s="14">
        <f>IF(A933&gt;LastWeek-364,1,0)</f>
        <v/>
      </c>
      <c r="E933" s="14">
        <f>C933^2*D933</f>
        <v/>
      </c>
    </row>
    <row r="934">
      <c r="A934" s="26" t="n">
        <v>45992</v>
      </c>
      <c r="B934" s="14" t="inlineStr">
        <is>
          <t>NB-0009</t>
        </is>
      </c>
      <c r="C934" s="14" t="n">
        <v>45</v>
      </c>
      <c r="D934" s="14">
        <f>IF(A934&gt;LastWeek-364,1,0)</f>
        <v/>
      </c>
      <c r="E934" s="14">
        <f>C934^2*D934</f>
        <v/>
      </c>
    </row>
    <row r="935">
      <c r="A935" s="26" t="n">
        <v>45999</v>
      </c>
      <c r="B935" s="14" t="inlineStr">
        <is>
          <t>NB-0009</t>
        </is>
      </c>
      <c r="C935" s="14" t="n">
        <v>49</v>
      </c>
      <c r="D935" s="14">
        <f>IF(A935&gt;LastWeek-364,1,0)</f>
        <v/>
      </c>
      <c r="E935" s="14">
        <f>C935^2*D935</f>
        <v/>
      </c>
    </row>
    <row r="936">
      <c r="A936" s="26" t="n">
        <v>46006</v>
      </c>
      <c r="B936" s="14" t="inlineStr">
        <is>
          <t>NB-0009</t>
        </is>
      </c>
      <c r="C936" s="14" t="n">
        <v>77</v>
      </c>
      <c r="D936" s="14">
        <f>IF(A936&gt;LastWeek-364,1,0)</f>
        <v/>
      </c>
      <c r="E936" s="14">
        <f>C936^2*D936</f>
        <v/>
      </c>
    </row>
    <row r="937">
      <c r="A937" s="26" t="n">
        <v>46013</v>
      </c>
      <c r="B937" s="14" t="inlineStr">
        <is>
          <t>NB-0009</t>
        </is>
      </c>
      <c r="C937" s="14" t="n">
        <v>49</v>
      </c>
      <c r="D937" s="14">
        <f>IF(A937&gt;LastWeek-364,1,0)</f>
        <v/>
      </c>
      <c r="E937" s="14">
        <f>C937^2*D937</f>
        <v/>
      </c>
    </row>
    <row r="938">
      <c r="A938" s="26" t="n">
        <v>45292</v>
      </c>
      <c r="B938" s="14" t="inlineStr">
        <is>
          <t>NB-0010</t>
        </is>
      </c>
      <c r="C938" s="14" t="n">
        <v>24</v>
      </c>
      <c r="D938" s="14">
        <f>IF(A938&gt;LastWeek-364,1,0)</f>
        <v/>
      </c>
      <c r="E938" s="14">
        <f>C938^2*D938</f>
        <v/>
      </c>
    </row>
    <row r="939">
      <c r="A939" s="26" t="n">
        <v>45299</v>
      </c>
      <c r="B939" s="14" t="inlineStr">
        <is>
          <t>NB-0010</t>
        </is>
      </c>
      <c r="C939" s="14" t="n">
        <v>39</v>
      </c>
      <c r="D939" s="14">
        <f>IF(A939&gt;LastWeek-364,1,0)</f>
        <v/>
      </c>
      <c r="E939" s="14">
        <f>C939^2*D939</f>
        <v/>
      </c>
    </row>
    <row r="940">
      <c r="A940" s="26" t="n">
        <v>45306</v>
      </c>
      <c r="B940" s="14" t="inlineStr">
        <is>
          <t>NB-0010</t>
        </is>
      </c>
      <c r="C940" s="14" t="n">
        <v>55</v>
      </c>
      <c r="D940" s="14">
        <f>IF(A940&gt;LastWeek-364,1,0)</f>
        <v/>
      </c>
      <c r="E940" s="14">
        <f>C940^2*D940</f>
        <v/>
      </c>
    </row>
    <row r="941">
      <c r="A941" s="26" t="n">
        <v>45313</v>
      </c>
      <c r="B941" s="14" t="inlineStr">
        <is>
          <t>NB-0010</t>
        </is>
      </c>
      <c r="C941" s="14" t="n">
        <v>45</v>
      </c>
      <c r="D941" s="14">
        <f>IF(A941&gt;LastWeek-364,1,0)</f>
        <v/>
      </c>
      <c r="E941" s="14">
        <f>C941^2*D941</f>
        <v/>
      </c>
    </row>
    <row r="942">
      <c r="A942" s="26" t="n">
        <v>45320</v>
      </c>
      <c r="B942" s="14" t="inlineStr">
        <is>
          <t>NB-0010</t>
        </is>
      </c>
      <c r="C942" s="14" t="n">
        <v>35</v>
      </c>
      <c r="D942" s="14">
        <f>IF(A942&gt;LastWeek-364,1,0)</f>
        <v/>
      </c>
      <c r="E942" s="14">
        <f>C942^2*D942</f>
        <v/>
      </c>
    </row>
    <row r="943">
      <c r="A943" s="26" t="n">
        <v>45327</v>
      </c>
      <c r="B943" s="14" t="inlineStr">
        <is>
          <t>NB-0010</t>
        </is>
      </c>
      <c r="C943" s="14" t="n">
        <v>34</v>
      </c>
      <c r="D943" s="14">
        <f>IF(A943&gt;LastWeek-364,1,0)</f>
        <v/>
      </c>
      <c r="E943" s="14">
        <f>C943^2*D943</f>
        <v/>
      </c>
    </row>
    <row r="944">
      <c r="A944" s="26" t="n">
        <v>45334</v>
      </c>
      <c r="B944" s="14" t="inlineStr">
        <is>
          <t>NB-0010</t>
        </is>
      </c>
      <c r="C944" s="14" t="n">
        <v>33</v>
      </c>
      <c r="D944" s="14">
        <f>IF(A944&gt;LastWeek-364,1,0)</f>
        <v/>
      </c>
      <c r="E944" s="14">
        <f>C944^2*D944</f>
        <v/>
      </c>
    </row>
    <row r="945">
      <c r="A945" s="26" t="n">
        <v>45341</v>
      </c>
      <c r="B945" s="14" t="inlineStr">
        <is>
          <t>NB-0010</t>
        </is>
      </c>
      <c r="C945" s="14" t="n">
        <v>29</v>
      </c>
      <c r="D945" s="14">
        <f>IF(A945&gt;LastWeek-364,1,0)</f>
        <v/>
      </c>
      <c r="E945" s="14">
        <f>C945^2*D945</f>
        <v/>
      </c>
    </row>
    <row r="946">
      <c r="A946" s="26" t="n">
        <v>45348</v>
      </c>
      <c r="B946" s="14" t="inlineStr">
        <is>
          <t>NB-0010</t>
        </is>
      </c>
      <c r="C946" s="14" t="n">
        <v>78</v>
      </c>
      <c r="D946" s="14">
        <f>IF(A946&gt;LastWeek-364,1,0)</f>
        <v/>
      </c>
      <c r="E946" s="14">
        <f>C946^2*D946</f>
        <v/>
      </c>
    </row>
    <row r="947">
      <c r="A947" s="26" t="n">
        <v>45355</v>
      </c>
      <c r="B947" s="14" t="inlineStr">
        <is>
          <t>NB-0010</t>
        </is>
      </c>
      <c r="C947" s="14" t="n">
        <v>45</v>
      </c>
      <c r="D947" s="14">
        <f>IF(A947&gt;LastWeek-364,1,0)</f>
        <v/>
      </c>
      <c r="E947" s="14">
        <f>C947^2*D947</f>
        <v/>
      </c>
    </row>
    <row r="948">
      <c r="A948" s="26" t="n">
        <v>45362</v>
      </c>
      <c r="B948" s="14" t="inlineStr">
        <is>
          <t>NB-0010</t>
        </is>
      </c>
      <c r="C948" s="14" t="n">
        <v>52</v>
      </c>
      <c r="D948" s="14">
        <f>IF(A948&gt;LastWeek-364,1,0)</f>
        <v/>
      </c>
      <c r="E948" s="14">
        <f>C948^2*D948</f>
        <v/>
      </c>
    </row>
    <row r="949">
      <c r="A949" s="26" t="n">
        <v>45369</v>
      </c>
      <c r="B949" s="14" t="inlineStr">
        <is>
          <t>NB-0010</t>
        </is>
      </c>
      <c r="C949" s="14" t="n">
        <v>31</v>
      </c>
      <c r="D949" s="14">
        <f>IF(A949&gt;LastWeek-364,1,0)</f>
        <v/>
      </c>
      <c r="E949" s="14">
        <f>C949^2*D949</f>
        <v/>
      </c>
    </row>
    <row r="950">
      <c r="A950" s="26" t="n">
        <v>45376</v>
      </c>
      <c r="B950" s="14" t="inlineStr">
        <is>
          <t>NB-0010</t>
        </is>
      </c>
      <c r="C950" s="14" t="n">
        <v>33</v>
      </c>
      <c r="D950" s="14">
        <f>IF(A950&gt;LastWeek-364,1,0)</f>
        <v/>
      </c>
      <c r="E950" s="14">
        <f>C950^2*D950</f>
        <v/>
      </c>
    </row>
    <row r="951">
      <c r="A951" s="26" t="n">
        <v>45383</v>
      </c>
      <c r="B951" s="14" t="inlineStr">
        <is>
          <t>NB-0010</t>
        </is>
      </c>
      <c r="C951" s="14" t="n">
        <v>25</v>
      </c>
      <c r="D951" s="14">
        <f>IF(A951&gt;LastWeek-364,1,0)</f>
        <v/>
      </c>
      <c r="E951" s="14">
        <f>C951^2*D951</f>
        <v/>
      </c>
    </row>
    <row r="952">
      <c r="A952" s="26" t="n">
        <v>45390</v>
      </c>
      <c r="B952" s="14" t="inlineStr">
        <is>
          <t>NB-0010</t>
        </is>
      </c>
      <c r="C952" s="14" t="n">
        <v>1</v>
      </c>
      <c r="D952" s="14">
        <f>IF(A952&gt;LastWeek-364,1,0)</f>
        <v/>
      </c>
      <c r="E952" s="14">
        <f>C952^2*D952</f>
        <v/>
      </c>
    </row>
    <row r="953">
      <c r="A953" s="26" t="n">
        <v>45397</v>
      </c>
      <c r="B953" s="14" t="inlineStr">
        <is>
          <t>NB-0010</t>
        </is>
      </c>
      <c r="C953" s="14" t="n">
        <v>15</v>
      </c>
      <c r="D953" s="14">
        <f>IF(A953&gt;LastWeek-364,1,0)</f>
        <v/>
      </c>
      <c r="E953" s="14">
        <f>C953^2*D953</f>
        <v/>
      </c>
    </row>
    <row r="954">
      <c r="A954" s="26" t="n">
        <v>45404</v>
      </c>
      <c r="B954" s="14" t="inlineStr">
        <is>
          <t>NB-0010</t>
        </is>
      </c>
      <c r="C954" s="14" t="n">
        <v>9</v>
      </c>
      <c r="D954" s="14">
        <f>IF(A954&gt;LastWeek-364,1,0)</f>
        <v/>
      </c>
      <c r="E954" s="14">
        <f>C954^2*D954</f>
        <v/>
      </c>
    </row>
    <row r="955">
      <c r="A955" s="26" t="n">
        <v>45411</v>
      </c>
      <c r="B955" s="14" t="inlineStr">
        <is>
          <t>NB-0010</t>
        </is>
      </c>
      <c r="C955" s="14" t="n">
        <v>4</v>
      </c>
      <c r="D955" s="14">
        <f>IF(A955&gt;LastWeek-364,1,0)</f>
        <v/>
      </c>
      <c r="E955" s="14">
        <f>C955^2*D955</f>
        <v/>
      </c>
    </row>
    <row r="956">
      <c r="A956" s="26" t="n">
        <v>45418</v>
      </c>
      <c r="B956" s="14" t="inlineStr">
        <is>
          <t>NB-0010</t>
        </is>
      </c>
      <c r="C956" s="14" t="n">
        <v>14</v>
      </c>
      <c r="D956" s="14">
        <f>IF(A956&gt;LastWeek-364,1,0)</f>
        <v/>
      </c>
      <c r="E956" s="14">
        <f>C956^2*D956</f>
        <v/>
      </c>
    </row>
    <row r="957">
      <c r="A957" s="26" t="n">
        <v>45425</v>
      </c>
      <c r="B957" s="14" t="inlineStr">
        <is>
          <t>NB-0010</t>
        </is>
      </c>
      <c r="C957" s="14" t="n">
        <v>35</v>
      </c>
      <c r="D957" s="14">
        <f>IF(A957&gt;LastWeek-364,1,0)</f>
        <v/>
      </c>
      <c r="E957" s="14">
        <f>C957^2*D957</f>
        <v/>
      </c>
    </row>
    <row r="958">
      <c r="A958" s="26" t="n">
        <v>45432</v>
      </c>
      <c r="B958" s="14" t="inlineStr">
        <is>
          <t>NB-0010</t>
        </is>
      </c>
      <c r="C958" s="14" t="n">
        <v>22</v>
      </c>
      <c r="D958" s="14">
        <f>IF(A958&gt;LastWeek-364,1,0)</f>
        <v/>
      </c>
      <c r="E958" s="14">
        <f>C958^2*D958</f>
        <v/>
      </c>
    </row>
    <row r="959">
      <c r="A959" s="26" t="n">
        <v>45439</v>
      </c>
      <c r="B959" s="14" t="inlineStr">
        <is>
          <t>NB-0010</t>
        </is>
      </c>
      <c r="C959" s="14" t="n">
        <v>31</v>
      </c>
      <c r="D959" s="14">
        <f>IF(A959&gt;LastWeek-364,1,0)</f>
        <v/>
      </c>
      <c r="E959" s="14">
        <f>C959^2*D959</f>
        <v/>
      </c>
    </row>
    <row r="960">
      <c r="A960" s="26" t="n">
        <v>45446</v>
      </c>
      <c r="B960" s="14" t="inlineStr">
        <is>
          <t>NB-0010</t>
        </is>
      </c>
      <c r="C960" s="14" t="n">
        <v>23</v>
      </c>
      <c r="D960" s="14">
        <f>IF(A960&gt;LastWeek-364,1,0)</f>
        <v/>
      </c>
      <c r="E960" s="14">
        <f>C960^2*D960</f>
        <v/>
      </c>
    </row>
    <row r="961">
      <c r="A961" s="26" t="n">
        <v>45453</v>
      </c>
      <c r="B961" s="14" t="inlineStr">
        <is>
          <t>NB-0010</t>
        </is>
      </c>
      <c r="C961" s="14" t="n">
        <v>25</v>
      </c>
      <c r="D961" s="14">
        <f>IF(A961&gt;LastWeek-364,1,0)</f>
        <v/>
      </c>
      <c r="E961" s="14">
        <f>C961^2*D961</f>
        <v/>
      </c>
    </row>
    <row r="962">
      <c r="A962" s="26" t="n">
        <v>45460</v>
      </c>
      <c r="B962" s="14" t="inlineStr">
        <is>
          <t>NB-0010</t>
        </is>
      </c>
      <c r="C962" s="14" t="n">
        <v>12</v>
      </c>
      <c r="D962" s="14">
        <f>IF(A962&gt;LastWeek-364,1,0)</f>
        <v/>
      </c>
      <c r="E962" s="14">
        <f>C962^2*D962</f>
        <v/>
      </c>
    </row>
    <row r="963">
      <c r="A963" s="26" t="n">
        <v>45467</v>
      </c>
      <c r="B963" s="14" t="inlineStr">
        <is>
          <t>NB-0010</t>
        </is>
      </c>
      <c r="C963" s="14" t="n">
        <v>21</v>
      </c>
      <c r="D963" s="14">
        <f>IF(A963&gt;LastWeek-364,1,0)</f>
        <v/>
      </c>
      <c r="E963" s="14">
        <f>C963^2*D963</f>
        <v/>
      </c>
    </row>
    <row r="964">
      <c r="A964" s="26" t="n">
        <v>45474</v>
      </c>
      <c r="B964" s="14" t="inlineStr">
        <is>
          <t>NB-0010</t>
        </is>
      </c>
      <c r="C964" s="14" t="n">
        <v>22</v>
      </c>
      <c r="D964" s="14">
        <f>IF(A964&gt;LastWeek-364,1,0)</f>
        <v/>
      </c>
      <c r="E964" s="14">
        <f>C964^2*D964</f>
        <v/>
      </c>
    </row>
    <row r="965">
      <c r="A965" s="26" t="n">
        <v>45481</v>
      </c>
      <c r="B965" s="14" t="inlineStr">
        <is>
          <t>NB-0010</t>
        </is>
      </c>
      <c r="C965" s="14" t="n">
        <v>14</v>
      </c>
      <c r="D965" s="14">
        <f>IF(A965&gt;LastWeek-364,1,0)</f>
        <v/>
      </c>
      <c r="E965" s="14">
        <f>C965^2*D965</f>
        <v/>
      </c>
    </row>
    <row r="966">
      <c r="A966" s="26" t="n">
        <v>45488</v>
      </c>
      <c r="B966" s="14" t="inlineStr">
        <is>
          <t>NB-0010</t>
        </is>
      </c>
      <c r="C966" s="14" t="n">
        <v>21</v>
      </c>
      <c r="D966" s="14">
        <f>IF(A966&gt;LastWeek-364,1,0)</f>
        <v/>
      </c>
      <c r="E966" s="14">
        <f>C966^2*D966</f>
        <v/>
      </c>
    </row>
    <row r="967">
      <c r="A967" s="26" t="n">
        <v>45495</v>
      </c>
      <c r="B967" s="14" t="inlineStr">
        <is>
          <t>NB-0010</t>
        </is>
      </c>
      <c r="C967" s="14" t="n">
        <v>21</v>
      </c>
      <c r="D967" s="14">
        <f>IF(A967&gt;LastWeek-364,1,0)</f>
        <v/>
      </c>
      <c r="E967" s="14">
        <f>C967^2*D967</f>
        <v/>
      </c>
    </row>
    <row r="968">
      <c r="A968" s="26" t="n">
        <v>45502</v>
      </c>
      <c r="B968" s="14" t="inlineStr">
        <is>
          <t>NB-0010</t>
        </is>
      </c>
      <c r="C968" s="14" t="n">
        <v>14</v>
      </c>
      <c r="D968" s="14">
        <f>IF(A968&gt;LastWeek-364,1,0)</f>
        <v/>
      </c>
      <c r="E968" s="14">
        <f>C968^2*D968</f>
        <v/>
      </c>
    </row>
    <row r="969">
      <c r="A969" s="26" t="n">
        <v>45509</v>
      </c>
      <c r="B969" s="14" t="inlineStr">
        <is>
          <t>NB-0010</t>
        </is>
      </c>
      <c r="C969" s="14" t="n">
        <v>11</v>
      </c>
      <c r="D969" s="14">
        <f>IF(A969&gt;LastWeek-364,1,0)</f>
        <v/>
      </c>
      <c r="E969" s="14">
        <f>C969^2*D969</f>
        <v/>
      </c>
    </row>
    <row r="970">
      <c r="A970" s="26" t="n">
        <v>45516</v>
      </c>
      <c r="B970" s="14" t="inlineStr">
        <is>
          <t>NB-0010</t>
        </is>
      </c>
      <c r="C970" s="14" t="n">
        <v>11</v>
      </c>
      <c r="D970" s="14">
        <f>IF(A970&gt;LastWeek-364,1,0)</f>
        <v/>
      </c>
      <c r="E970" s="14">
        <f>C970^2*D970</f>
        <v/>
      </c>
    </row>
    <row r="971">
      <c r="A971" s="26" t="n">
        <v>45523</v>
      </c>
      <c r="B971" s="14" t="inlineStr">
        <is>
          <t>NB-0010</t>
        </is>
      </c>
      <c r="C971" s="14" t="n">
        <v>21</v>
      </c>
      <c r="D971" s="14">
        <f>IF(A971&gt;LastWeek-364,1,0)</f>
        <v/>
      </c>
      <c r="E971" s="14">
        <f>C971^2*D971</f>
        <v/>
      </c>
    </row>
    <row r="972">
      <c r="A972" s="26" t="n">
        <v>45530</v>
      </c>
      <c r="B972" s="14" t="inlineStr">
        <is>
          <t>NB-0010</t>
        </is>
      </c>
      <c r="C972" s="14" t="n">
        <v>25</v>
      </c>
      <c r="D972" s="14">
        <f>IF(A972&gt;LastWeek-364,1,0)</f>
        <v/>
      </c>
      <c r="E972" s="14">
        <f>C972^2*D972</f>
        <v/>
      </c>
    </row>
    <row r="973">
      <c r="A973" s="26" t="n">
        <v>45537</v>
      </c>
      <c r="B973" s="14" t="inlineStr">
        <is>
          <t>NB-0010</t>
        </is>
      </c>
      <c r="C973" s="14" t="n">
        <v>16</v>
      </c>
      <c r="D973" s="14">
        <f>IF(A973&gt;LastWeek-364,1,0)</f>
        <v/>
      </c>
      <c r="E973" s="14">
        <f>C973^2*D973</f>
        <v/>
      </c>
    </row>
    <row r="974">
      <c r="A974" s="26" t="n">
        <v>45544</v>
      </c>
      <c r="B974" s="14" t="inlineStr">
        <is>
          <t>NB-0010</t>
        </is>
      </c>
      <c r="C974" s="14" t="n">
        <v>25</v>
      </c>
      <c r="D974" s="14">
        <f>IF(A974&gt;LastWeek-364,1,0)</f>
        <v/>
      </c>
      <c r="E974" s="14">
        <f>C974^2*D974</f>
        <v/>
      </c>
    </row>
    <row r="975">
      <c r="A975" s="26" t="n">
        <v>45551</v>
      </c>
      <c r="B975" s="14" t="inlineStr">
        <is>
          <t>NB-0010</t>
        </is>
      </c>
      <c r="C975" s="14" t="n">
        <v>32</v>
      </c>
      <c r="D975" s="14">
        <f>IF(A975&gt;LastWeek-364,1,0)</f>
        <v/>
      </c>
      <c r="E975" s="14">
        <f>C975^2*D975</f>
        <v/>
      </c>
    </row>
    <row r="976">
      <c r="A976" s="26" t="n">
        <v>45558</v>
      </c>
      <c r="B976" s="14" t="inlineStr">
        <is>
          <t>NB-0010</t>
        </is>
      </c>
      <c r="C976" s="14" t="n">
        <v>34</v>
      </c>
      <c r="D976" s="14">
        <f>IF(A976&gt;LastWeek-364,1,0)</f>
        <v/>
      </c>
      <c r="E976" s="14">
        <f>C976^2*D976</f>
        <v/>
      </c>
    </row>
    <row r="977">
      <c r="A977" s="26" t="n">
        <v>45565</v>
      </c>
      <c r="B977" s="14" t="inlineStr">
        <is>
          <t>NB-0010</t>
        </is>
      </c>
      <c r="C977" s="14" t="n">
        <v>46</v>
      </c>
      <c r="D977" s="14">
        <f>IF(A977&gt;LastWeek-364,1,0)</f>
        <v/>
      </c>
      <c r="E977" s="14">
        <f>C977^2*D977</f>
        <v/>
      </c>
    </row>
    <row r="978">
      <c r="A978" s="26" t="n">
        <v>45572</v>
      </c>
      <c r="B978" s="14" t="inlineStr">
        <is>
          <t>NB-0010</t>
        </is>
      </c>
      <c r="C978" s="14" t="n">
        <v>46</v>
      </c>
      <c r="D978" s="14">
        <f>IF(A978&gt;LastWeek-364,1,0)</f>
        <v/>
      </c>
      <c r="E978" s="14">
        <f>C978^2*D978</f>
        <v/>
      </c>
    </row>
    <row r="979">
      <c r="A979" s="26" t="n">
        <v>45579</v>
      </c>
      <c r="B979" s="14" t="inlineStr">
        <is>
          <t>NB-0010</t>
        </is>
      </c>
      <c r="C979" s="14" t="n">
        <v>20</v>
      </c>
      <c r="D979" s="14">
        <f>IF(A979&gt;LastWeek-364,1,0)</f>
        <v/>
      </c>
      <c r="E979" s="14">
        <f>C979^2*D979</f>
        <v/>
      </c>
    </row>
    <row r="980">
      <c r="A980" s="26" t="n">
        <v>45586</v>
      </c>
      <c r="B980" s="14" t="inlineStr">
        <is>
          <t>NB-0010</t>
        </is>
      </c>
      <c r="C980" s="14" t="n">
        <v>55</v>
      </c>
      <c r="D980" s="14">
        <f>IF(A980&gt;LastWeek-364,1,0)</f>
        <v/>
      </c>
      <c r="E980" s="14">
        <f>C980^2*D980</f>
        <v/>
      </c>
    </row>
    <row r="981">
      <c r="A981" s="26" t="n">
        <v>45593</v>
      </c>
      <c r="B981" s="14" t="inlineStr">
        <is>
          <t>NB-0010</t>
        </is>
      </c>
      <c r="C981" s="14" t="n">
        <v>29</v>
      </c>
      <c r="D981" s="14">
        <f>IF(A981&gt;LastWeek-364,1,0)</f>
        <v/>
      </c>
      <c r="E981" s="14">
        <f>C981^2*D981</f>
        <v/>
      </c>
    </row>
    <row r="982">
      <c r="A982" s="26" t="n">
        <v>45600</v>
      </c>
      <c r="B982" s="14" t="inlineStr">
        <is>
          <t>NB-0010</t>
        </is>
      </c>
      <c r="C982" s="14" t="n">
        <v>52</v>
      </c>
      <c r="D982" s="14">
        <f>IF(A982&gt;LastWeek-364,1,0)</f>
        <v/>
      </c>
      <c r="E982" s="14">
        <f>C982^2*D982</f>
        <v/>
      </c>
    </row>
    <row r="983">
      <c r="A983" s="26" t="n">
        <v>45607</v>
      </c>
      <c r="B983" s="14" t="inlineStr">
        <is>
          <t>NB-0010</t>
        </is>
      </c>
      <c r="C983" s="14" t="n">
        <v>40</v>
      </c>
      <c r="D983" s="14">
        <f>IF(A983&gt;LastWeek-364,1,0)</f>
        <v/>
      </c>
      <c r="E983" s="14">
        <f>C983^2*D983</f>
        <v/>
      </c>
    </row>
    <row r="984">
      <c r="A984" s="26" t="n">
        <v>45614</v>
      </c>
      <c r="B984" s="14" t="inlineStr">
        <is>
          <t>NB-0010</t>
        </is>
      </c>
      <c r="C984" s="14" t="n">
        <v>34</v>
      </c>
      <c r="D984" s="14">
        <f>IF(A984&gt;LastWeek-364,1,0)</f>
        <v/>
      </c>
      <c r="E984" s="14">
        <f>C984^2*D984</f>
        <v/>
      </c>
    </row>
    <row r="985">
      <c r="A985" s="26" t="n">
        <v>45621</v>
      </c>
      <c r="B985" s="14" t="inlineStr">
        <is>
          <t>NB-0010</t>
        </is>
      </c>
      <c r="C985" s="14" t="n">
        <v>13</v>
      </c>
      <c r="D985" s="14">
        <f>IF(A985&gt;LastWeek-364,1,0)</f>
        <v/>
      </c>
      <c r="E985" s="14">
        <f>C985^2*D985</f>
        <v/>
      </c>
    </row>
    <row r="986">
      <c r="A986" s="26" t="n">
        <v>45628</v>
      </c>
      <c r="B986" s="14" t="inlineStr">
        <is>
          <t>NB-0010</t>
        </is>
      </c>
      <c r="C986" s="14" t="n">
        <v>39</v>
      </c>
      <c r="D986" s="14">
        <f>IF(A986&gt;LastWeek-364,1,0)</f>
        <v/>
      </c>
      <c r="E986" s="14">
        <f>C986^2*D986</f>
        <v/>
      </c>
    </row>
    <row r="987">
      <c r="A987" s="26" t="n">
        <v>45635</v>
      </c>
      <c r="B987" s="14" t="inlineStr">
        <is>
          <t>NB-0010</t>
        </is>
      </c>
      <c r="C987" s="14" t="n">
        <v>18</v>
      </c>
      <c r="D987" s="14">
        <f>IF(A987&gt;LastWeek-364,1,0)</f>
        <v/>
      </c>
      <c r="E987" s="14">
        <f>C987^2*D987</f>
        <v/>
      </c>
    </row>
    <row r="988">
      <c r="A988" s="26" t="n">
        <v>45642</v>
      </c>
      <c r="B988" s="14" t="inlineStr">
        <is>
          <t>NB-0010</t>
        </is>
      </c>
      <c r="C988" s="14" t="n">
        <v>59</v>
      </c>
      <c r="D988" s="14">
        <f>IF(A988&gt;LastWeek-364,1,0)</f>
        <v/>
      </c>
      <c r="E988" s="14">
        <f>C988^2*D988</f>
        <v/>
      </c>
    </row>
    <row r="989">
      <c r="A989" s="26" t="n">
        <v>45649</v>
      </c>
      <c r="B989" s="14" t="inlineStr">
        <is>
          <t>NB-0010</t>
        </is>
      </c>
      <c r="C989" s="14" t="n">
        <v>68</v>
      </c>
      <c r="D989" s="14">
        <f>IF(A989&gt;LastWeek-364,1,0)</f>
        <v/>
      </c>
      <c r="E989" s="14">
        <f>C989^2*D989</f>
        <v/>
      </c>
    </row>
    <row r="990">
      <c r="A990" s="26" t="n">
        <v>45656</v>
      </c>
      <c r="B990" s="14" t="inlineStr">
        <is>
          <t>NB-0010</t>
        </is>
      </c>
      <c r="C990" s="14" t="n">
        <v>31</v>
      </c>
      <c r="D990" s="14">
        <f>IF(A990&gt;LastWeek-364,1,0)</f>
        <v/>
      </c>
      <c r="E990" s="14">
        <f>C990^2*D990</f>
        <v/>
      </c>
    </row>
    <row r="991">
      <c r="A991" s="26" t="n">
        <v>45663</v>
      </c>
      <c r="B991" s="14" t="inlineStr">
        <is>
          <t>NB-0010</t>
        </is>
      </c>
      <c r="C991" s="14" t="n">
        <v>49</v>
      </c>
      <c r="D991" s="14">
        <f>IF(A991&gt;LastWeek-364,1,0)</f>
        <v/>
      </c>
      <c r="E991" s="14">
        <f>C991^2*D991</f>
        <v/>
      </c>
    </row>
    <row r="992">
      <c r="A992" s="26" t="n">
        <v>45670</v>
      </c>
      <c r="B992" s="14" t="inlineStr">
        <is>
          <t>NB-0010</t>
        </is>
      </c>
      <c r="C992" s="14" t="n">
        <v>32</v>
      </c>
      <c r="D992" s="14">
        <f>IF(A992&gt;LastWeek-364,1,0)</f>
        <v/>
      </c>
      <c r="E992" s="14">
        <f>C992^2*D992</f>
        <v/>
      </c>
    </row>
    <row r="993">
      <c r="A993" s="26" t="n">
        <v>45677</v>
      </c>
      <c r="B993" s="14" t="inlineStr">
        <is>
          <t>NB-0010</t>
        </is>
      </c>
      <c r="C993" s="14" t="n">
        <v>33</v>
      </c>
      <c r="D993" s="14">
        <f>IF(A993&gt;LastWeek-364,1,0)</f>
        <v/>
      </c>
      <c r="E993" s="14">
        <f>C993^2*D993</f>
        <v/>
      </c>
    </row>
    <row r="994">
      <c r="A994" s="26" t="n">
        <v>45684</v>
      </c>
      <c r="B994" s="14" t="inlineStr">
        <is>
          <t>NB-0010</t>
        </is>
      </c>
      <c r="C994" s="14" t="n">
        <v>55</v>
      </c>
      <c r="D994" s="14">
        <f>IF(A994&gt;LastWeek-364,1,0)</f>
        <v/>
      </c>
      <c r="E994" s="14">
        <f>C994^2*D994</f>
        <v/>
      </c>
    </row>
    <row r="995">
      <c r="A995" s="26" t="n">
        <v>45691</v>
      </c>
      <c r="B995" s="14" t="inlineStr">
        <is>
          <t>NB-0010</t>
        </is>
      </c>
      <c r="C995" s="14" t="n">
        <v>42</v>
      </c>
      <c r="D995" s="14">
        <f>IF(A995&gt;LastWeek-364,1,0)</f>
        <v/>
      </c>
      <c r="E995" s="14">
        <f>C995^2*D995</f>
        <v/>
      </c>
    </row>
    <row r="996">
      <c r="A996" s="26" t="n">
        <v>45698</v>
      </c>
      <c r="B996" s="14" t="inlineStr">
        <is>
          <t>NB-0010</t>
        </is>
      </c>
      <c r="C996" s="14" t="n">
        <v>68</v>
      </c>
      <c r="D996" s="14">
        <f>IF(A996&gt;LastWeek-364,1,0)</f>
        <v/>
      </c>
      <c r="E996" s="14">
        <f>C996^2*D996</f>
        <v/>
      </c>
    </row>
    <row r="997">
      <c r="A997" s="26" t="n">
        <v>45705</v>
      </c>
      <c r="B997" s="14" t="inlineStr">
        <is>
          <t>NB-0010</t>
        </is>
      </c>
      <c r="C997" s="14" t="n">
        <v>33</v>
      </c>
      <c r="D997" s="14">
        <f>IF(A997&gt;LastWeek-364,1,0)</f>
        <v/>
      </c>
      <c r="E997" s="14">
        <f>C997^2*D997</f>
        <v/>
      </c>
    </row>
    <row r="998">
      <c r="A998" s="26" t="n">
        <v>45712</v>
      </c>
      <c r="B998" s="14" t="inlineStr">
        <is>
          <t>NB-0010</t>
        </is>
      </c>
      <c r="C998" s="14" t="n">
        <v>53</v>
      </c>
      <c r="D998" s="14">
        <f>IF(A998&gt;LastWeek-364,1,0)</f>
        <v/>
      </c>
      <c r="E998" s="14">
        <f>C998^2*D998</f>
        <v/>
      </c>
    </row>
    <row r="999">
      <c r="A999" s="26" t="n">
        <v>45719</v>
      </c>
      <c r="B999" s="14" t="inlineStr">
        <is>
          <t>NB-0010</t>
        </is>
      </c>
      <c r="C999" s="14" t="n">
        <v>39</v>
      </c>
      <c r="D999" s="14">
        <f>IF(A999&gt;LastWeek-364,1,0)</f>
        <v/>
      </c>
      <c r="E999" s="14">
        <f>C999^2*D999</f>
        <v/>
      </c>
    </row>
    <row r="1000">
      <c r="A1000" s="26" t="n">
        <v>45726</v>
      </c>
      <c r="B1000" s="14" t="inlineStr">
        <is>
          <t>NB-0010</t>
        </is>
      </c>
      <c r="C1000" s="14" t="n">
        <v>47</v>
      </c>
      <c r="D1000" s="14">
        <f>IF(A1000&gt;LastWeek-364,1,0)</f>
        <v/>
      </c>
      <c r="E1000" s="14">
        <f>C1000^2*D1000</f>
        <v/>
      </c>
    </row>
    <row r="1001">
      <c r="A1001" s="26" t="n">
        <v>45733</v>
      </c>
      <c r="B1001" s="14" t="inlineStr">
        <is>
          <t>NB-0010</t>
        </is>
      </c>
      <c r="C1001" s="14" t="n">
        <v>29</v>
      </c>
      <c r="D1001" s="14">
        <f>IF(A1001&gt;LastWeek-364,1,0)</f>
        <v/>
      </c>
      <c r="E1001" s="14">
        <f>C1001^2*D1001</f>
        <v/>
      </c>
    </row>
    <row r="1002">
      <c r="A1002" s="26" t="n">
        <v>45740</v>
      </c>
      <c r="B1002" s="14" t="inlineStr">
        <is>
          <t>NB-0010</t>
        </is>
      </c>
      <c r="C1002" s="14" t="n">
        <v>32</v>
      </c>
      <c r="D1002" s="14">
        <f>IF(A1002&gt;LastWeek-364,1,0)</f>
        <v/>
      </c>
      <c r="E1002" s="14">
        <f>C1002^2*D1002</f>
        <v/>
      </c>
    </row>
    <row r="1003">
      <c r="A1003" s="26" t="n">
        <v>45747</v>
      </c>
      <c r="B1003" s="14" t="inlineStr">
        <is>
          <t>NB-0010</t>
        </is>
      </c>
      <c r="C1003" s="14" t="n">
        <v>30</v>
      </c>
      <c r="D1003" s="14">
        <f>IF(A1003&gt;LastWeek-364,1,0)</f>
        <v/>
      </c>
      <c r="E1003" s="14">
        <f>C1003^2*D1003</f>
        <v/>
      </c>
    </row>
    <row r="1004">
      <c r="A1004" s="26" t="n">
        <v>45754</v>
      </c>
      <c r="B1004" s="14" t="inlineStr">
        <is>
          <t>NB-0010</t>
        </is>
      </c>
      <c r="C1004" s="14" t="n">
        <v>21</v>
      </c>
      <c r="D1004" s="14">
        <f>IF(A1004&gt;LastWeek-364,1,0)</f>
        <v/>
      </c>
      <c r="E1004" s="14">
        <f>C1004^2*D1004</f>
        <v/>
      </c>
    </row>
    <row r="1005">
      <c r="A1005" s="26" t="n">
        <v>45761</v>
      </c>
      <c r="B1005" s="14" t="inlineStr">
        <is>
          <t>NB-0010</t>
        </is>
      </c>
      <c r="C1005" s="14" t="n">
        <v>35</v>
      </c>
      <c r="D1005" s="14">
        <f>IF(A1005&gt;LastWeek-364,1,0)</f>
        <v/>
      </c>
      <c r="E1005" s="14">
        <f>C1005^2*D1005</f>
        <v/>
      </c>
    </row>
    <row r="1006">
      <c r="A1006" s="26" t="n">
        <v>45768</v>
      </c>
      <c r="B1006" s="14" t="inlineStr">
        <is>
          <t>NB-0010</t>
        </is>
      </c>
      <c r="C1006" s="14" t="n">
        <v>33</v>
      </c>
      <c r="D1006" s="14">
        <f>IF(A1006&gt;LastWeek-364,1,0)</f>
        <v/>
      </c>
      <c r="E1006" s="14">
        <f>C1006^2*D1006</f>
        <v/>
      </c>
    </row>
    <row r="1007">
      <c r="A1007" s="26" t="n">
        <v>45775</v>
      </c>
      <c r="B1007" s="14" t="inlineStr">
        <is>
          <t>NB-0010</t>
        </is>
      </c>
      <c r="C1007" s="14" t="n">
        <v>30</v>
      </c>
      <c r="D1007" s="14">
        <f>IF(A1007&gt;LastWeek-364,1,0)</f>
        <v/>
      </c>
      <c r="E1007" s="14">
        <f>C1007^2*D1007</f>
        <v/>
      </c>
    </row>
    <row r="1008">
      <c r="A1008" s="26" t="n">
        <v>45782</v>
      </c>
      <c r="B1008" s="14" t="inlineStr">
        <is>
          <t>NB-0010</t>
        </is>
      </c>
      <c r="C1008" s="14" t="n">
        <v>37</v>
      </c>
      <c r="D1008" s="14">
        <f>IF(A1008&gt;LastWeek-364,1,0)</f>
        <v/>
      </c>
      <c r="E1008" s="14">
        <f>C1008^2*D1008</f>
        <v/>
      </c>
    </row>
    <row r="1009">
      <c r="A1009" s="26" t="n">
        <v>45789</v>
      </c>
      <c r="B1009" s="14" t="inlineStr">
        <is>
          <t>NB-0010</t>
        </is>
      </c>
      <c r="C1009" s="14" t="n">
        <v>34</v>
      </c>
      <c r="D1009" s="14">
        <f>IF(A1009&gt;LastWeek-364,1,0)</f>
        <v/>
      </c>
      <c r="E1009" s="14">
        <f>C1009^2*D1009</f>
        <v/>
      </c>
    </row>
    <row r="1010">
      <c r="A1010" s="26" t="n">
        <v>45796</v>
      </c>
      <c r="B1010" s="14" t="inlineStr">
        <is>
          <t>NB-0010</t>
        </is>
      </c>
      <c r="C1010" s="14" t="n">
        <v>18</v>
      </c>
      <c r="D1010" s="14">
        <f>IF(A1010&gt;LastWeek-364,1,0)</f>
        <v/>
      </c>
      <c r="E1010" s="14">
        <f>C1010^2*D1010</f>
        <v/>
      </c>
    </row>
    <row r="1011">
      <c r="A1011" s="26" t="n">
        <v>45803</v>
      </c>
      <c r="B1011" s="14" t="inlineStr">
        <is>
          <t>NB-0010</t>
        </is>
      </c>
      <c r="C1011" s="14" t="n">
        <v>22</v>
      </c>
      <c r="D1011" s="14">
        <f>IF(A1011&gt;LastWeek-364,1,0)</f>
        <v/>
      </c>
      <c r="E1011" s="14">
        <f>C1011^2*D1011</f>
        <v/>
      </c>
    </row>
    <row r="1012">
      <c r="A1012" s="26" t="n">
        <v>45810</v>
      </c>
      <c r="B1012" s="14" t="inlineStr">
        <is>
          <t>NB-0010</t>
        </is>
      </c>
      <c r="C1012" s="14" t="n">
        <v>14</v>
      </c>
      <c r="D1012" s="14">
        <f>IF(A1012&gt;LastWeek-364,1,0)</f>
        <v/>
      </c>
      <c r="E1012" s="14">
        <f>C1012^2*D1012</f>
        <v/>
      </c>
    </row>
    <row r="1013">
      <c r="A1013" s="26" t="n">
        <v>45817</v>
      </c>
      <c r="B1013" s="14" t="inlineStr">
        <is>
          <t>NB-0010</t>
        </is>
      </c>
      <c r="C1013" s="14" t="n">
        <v>18</v>
      </c>
      <c r="D1013" s="14">
        <f>IF(A1013&gt;LastWeek-364,1,0)</f>
        <v/>
      </c>
      <c r="E1013" s="14">
        <f>C1013^2*D1013</f>
        <v/>
      </c>
    </row>
    <row r="1014">
      <c r="A1014" s="26" t="n">
        <v>45824</v>
      </c>
      <c r="B1014" s="14" t="inlineStr">
        <is>
          <t>NB-0010</t>
        </is>
      </c>
      <c r="C1014" s="14" t="n">
        <v>13</v>
      </c>
      <c r="D1014" s="14">
        <f>IF(A1014&gt;LastWeek-364,1,0)</f>
        <v/>
      </c>
      <c r="E1014" s="14">
        <f>C1014^2*D1014</f>
        <v/>
      </c>
    </row>
    <row r="1015">
      <c r="A1015" s="26" t="n">
        <v>45831</v>
      </c>
      <c r="B1015" s="14" t="inlineStr">
        <is>
          <t>NB-0010</t>
        </is>
      </c>
      <c r="C1015" s="14" t="n">
        <v>26</v>
      </c>
      <c r="D1015" s="14">
        <f>IF(A1015&gt;LastWeek-364,1,0)</f>
        <v/>
      </c>
      <c r="E1015" s="14">
        <f>C1015^2*D1015</f>
        <v/>
      </c>
    </row>
    <row r="1016">
      <c r="A1016" s="26" t="n">
        <v>45838</v>
      </c>
      <c r="B1016" s="14" t="inlineStr">
        <is>
          <t>NB-0010</t>
        </is>
      </c>
      <c r="C1016" s="14" t="n">
        <v>18</v>
      </c>
      <c r="D1016" s="14">
        <f>IF(A1016&gt;LastWeek-364,1,0)</f>
        <v/>
      </c>
      <c r="E1016" s="14">
        <f>C1016^2*D1016</f>
        <v/>
      </c>
    </row>
    <row r="1017">
      <c r="A1017" s="26" t="n">
        <v>45845</v>
      </c>
      <c r="B1017" s="14" t="inlineStr">
        <is>
          <t>NB-0010</t>
        </is>
      </c>
      <c r="C1017" s="14" t="n">
        <v>15</v>
      </c>
      <c r="D1017" s="14">
        <f>IF(A1017&gt;LastWeek-364,1,0)</f>
        <v/>
      </c>
      <c r="E1017" s="14">
        <f>C1017^2*D1017</f>
        <v/>
      </c>
    </row>
    <row r="1018">
      <c r="A1018" s="26" t="n">
        <v>45852</v>
      </c>
      <c r="B1018" s="14" t="inlineStr">
        <is>
          <t>NB-0010</t>
        </is>
      </c>
      <c r="C1018" s="14" t="n">
        <v>23</v>
      </c>
      <c r="D1018" s="14">
        <f>IF(A1018&gt;LastWeek-364,1,0)</f>
        <v/>
      </c>
      <c r="E1018" s="14">
        <f>C1018^2*D1018</f>
        <v/>
      </c>
    </row>
    <row r="1019">
      <c r="A1019" s="26" t="n">
        <v>45859</v>
      </c>
      <c r="B1019" s="14" t="inlineStr">
        <is>
          <t>NB-0010</t>
        </is>
      </c>
      <c r="C1019" s="14" t="n">
        <v>3</v>
      </c>
      <c r="D1019" s="14">
        <f>IF(A1019&gt;LastWeek-364,1,0)</f>
        <v/>
      </c>
      <c r="E1019" s="14">
        <f>C1019^2*D1019</f>
        <v/>
      </c>
    </row>
    <row r="1020">
      <c r="A1020" s="26" t="n">
        <v>45866</v>
      </c>
      <c r="B1020" s="14" t="inlineStr">
        <is>
          <t>NB-0010</t>
        </is>
      </c>
      <c r="C1020" s="14" t="n">
        <v>4</v>
      </c>
      <c r="D1020" s="14">
        <f>IF(A1020&gt;LastWeek-364,1,0)</f>
        <v/>
      </c>
      <c r="E1020" s="14">
        <f>C1020^2*D1020</f>
        <v/>
      </c>
    </row>
    <row r="1021">
      <c r="A1021" s="26" t="n">
        <v>45873</v>
      </c>
      <c r="B1021" s="14" t="inlineStr">
        <is>
          <t>NB-0010</t>
        </is>
      </c>
      <c r="C1021" s="14" t="n">
        <v>23</v>
      </c>
      <c r="D1021" s="14">
        <f>IF(A1021&gt;LastWeek-364,1,0)</f>
        <v/>
      </c>
      <c r="E1021" s="14">
        <f>C1021^2*D1021</f>
        <v/>
      </c>
    </row>
    <row r="1022">
      <c r="A1022" s="26" t="n">
        <v>45880</v>
      </c>
      <c r="B1022" s="14" t="inlineStr">
        <is>
          <t>NB-0010</t>
        </is>
      </c>
      <c r="C1022" s="14" t="n">
        <v>19</v>
      </c>
      <c r="D1022" s="14">
        <f>IF(A1022&gt;LastWeek-364,1,0)</f>
        <v/>
      </c>
      <c r="E1022" s="14">
        <f>C1022^2*D1022</f>
        <v/>
      </c>
    </row>
    <row r="1023">
      <c r="A1023" s="26" t="n">
        <v>45887</v>
      </c>
      <c r="B1023" s="14" t="inlineStr">
        <is>
          <t>NB-0010</t>
        </is>
      </c>
      <c r="C1023" s="14" t="n">
        <v>21</v>
      </c>
      <c r="D1023" s="14">
        <f>IF(A1023&gt;LastWeek-364,1,0)</f>
        <v/>
      </c>
      <c r="E1023" s="14">
        <f>C1023^2*D1023</f>
        <v/>
      </c>
    </row>
    <row r="1024">
      <c r="A1024" s="26" t="n">
        <v>45894</v>
      </c>
      <c r="B1024" s="14" t="inlineStr">
        <is>
          <t>NB-0010</t>
        </is>
      </c>
      <c r="C1024" s="14" t="n">
        <v>10</v>
      </c>
      <c r="D1024" s="14">
        <f>IF(A1024&gt;LastWeek-364,1,0)</f>
        <v/>
      </c>
      <c r="E1024" s="14">
        <f>C1024^2*D1024</f>
        <v/>
      </c>
    </row>
    <row r="1025">
      <c r="A1025" s="26" t="n">
        <v>45901</v>
      </c>
      <c r="B1025" s="14" t="inlineStr">
        <is>
          <t>NB-0010</t>
        </is>
      </c>
      <c r="C1025" s="14" t="n">
        <v>21</v>
      </c>
      <c r="D1025" s="14">
        <f>IF(A1025&gt;LastWeek-364,1,0)</f>
        <v/>
      </c>
      <c r="E1025" s="14">
        <f>C1025^2*D1025</f>
        <v/>
      </c>
    </row>
    <row r="1026">
      <c r="A1026" s="26" t="n">
        <v>45908</v>
      </c>
      <c r="B1026" s="14" t="inlineStr">
        <is>
          <t>NB-0010</t>
        </is>
      </c>
      <c r="C1026" s="14" t="n">
        <v>40</v>
      </c>
      <c r="D1026" s="14">
        <f>IF(A1026&gt;LastWeek-364,1,0)</f>
        <v/>
      </c>
      <c r="E1026" s="14">
        <f>C1026^2*D1026</f>
        <v/>
      </c>
    </row>
    <row r="1027">
      <c r="A1027" s="26" t="n">
        <v>45915</v>
      </c>
      <c r="B1027" s="14" t="inlineStr">
        <is>
          <t>NB-0010</t>
        </is>
      </c>
      <c r="C1027" s="14" t="n">
        <v>32</v>
      </c>
      <c r="D1027" s="14">
        <f>IF(A1027&gt;LastWeek-364,1,0)</f>
        <v/>
      </c>
      <c r="E1027" s="14">
        <f>C1027^2*D1027</f>
        <v/>
      </c>
    </row>
    <row r="1028">
      <c r="A1028" s="26" t="n">
        <v>45922</v>
      </c>
      <c r="B1028" s="14" t="inlineStr">
        <is>
          <t>NB-0010</t>
        </is>
      </c>
      <c r="C1028" s="14" t="n">
        <v>27</v>
      </c>
      <c r="D1028" s="14">
        <f>IF(A1028&gt;LastWeek-364,1,0)</f>
        <v/>
      </c>
      <c r="E1028" s="14">
        <f>C1028^2*D1028</f>
        <v/>
      </c>
    </row>
    <row r="1029">
      <c r="A1029" s="26" t="n">
        <v>45929</v>
      </c>
      <c r="B1029" s="14" t="inlineStr">
        <is>
          <t>NB-0010</t>
        </is>
      </c>
      <c r="C1029" s="14" t="n">
        <v>23</v>
      </c>
      <c r="D1029" s="14">
        <f>IF(A1029&gt;LastWeek-364,1,0)</f>
        <v/>
      </c>
      <c r="E1029" s="14">
        <f>C1029^2*D1029</f>
        <v/>
      </c>
    </row>
    <row r="1030">
      <c r="A1030" s="26" t="n">
        <v>45936</v>
      </c>
      <c r="B1030" s="14" t="inlineStr">
        <is>
          <t>NB-0010</t>
        </is>
      </c>
      <c r="C1030" s="14" t="n">
        <v>25</v>
      </c>
      <c r="D1030" s="14">
        <f>IF(A1030&gt;LastWeek-364,1,0)</f>
        <v/>
      </c>
      <c r="E1030" s="14">
        <f>C1030^2*D1030</f>
        <v/>
      </c>
    </row>
    <row r="1031">
      <c r="A1031" s="26" t="n">
        <v>45943</v>
      </c>
      <c r="B1031" s="14" t="inlineStr">
        <is>
          <t>NB-0010</t>
        </is>
      </c>
      <c r="C1031" s="14" t="n">
        <v>6</v>
      </c>
      <c r="D1031" s="14">
        <f>IF(A1031&gt;LastWeek-364,1,0)</f>
        <v/>
      </c>
      <c r="E1031" s="14">
        <f>C1031^2*D1031</f>
        <v/>
      </c>
    </row>
    <row r="1032">
      <c r="A1032" s="26" t="n">
        <v>45950</v>
      </c>
      <c r="B1032" s="14" t="inlineStr">
        <is>
          <t>NB-0010</t>
        </is>
      </c>
      <c r="C1032" s="14" t="n">
        <v>35</v>
      </c>
      <c r="D1032" s="14">
        <f>IF(A1032&gt;LastWeek-364,1,0)</f>
        <v/>
      </c>
      <c r="E1032" s="14">
        <f>C1032^2*D1032</f>
        <v/>
      </c>
    </row>
    <row r="1033">
      <c r="A1033" s="26" t="n">
        <v>45957</v>
      </c>
      <c r="B1033" s="14" t="inlineStr">
        <is>
          <t>NB-0010</t>
        </is>
      </c>
      <c r="C1033" s="14" t="n">
        <v>44</v>
      </c>
      <c r="D1033" s="14">
        <f>IF(A1033&gt;LastWeek-364,1,0)</f>
        <v/>
      </c>
      <c r="E1033" s="14">
        <f>C1033^2*D1033</f>
        <v/>
      </c>
    </row>
    <row r="1034">
      <c r="A1034" s="26" t="n">
        <v>45964</v>
      </c>
      <c r="B1034" s="14" t="inlineStr">
        <is>
          <t>NB-0010</t>
        </is>
      </c>
      <c r="C1034" s="14" t="n">
        <v>14</v>
      </c>
      <c r="D1034" s="14">
        <f>IF(A1034&gt;LastWeek-364,1,0)</f>
        <v/>
      </c>
      <c r="E1034" s="14">
        <f>C1034^2*D1034</f>
        <v/>
      </c>
    </row>
    <row r="1035">
      <c r="A1035" s="26" t="n">
        <v>45971</v>
      </c>
      <c r="B1035" s="14" t="inlineStr">
        <is>
          <t>NB-0010</t>
        </is>
      </c>
      <c r="C1035" s="14" t="n">
        <v>27</v>
      </c>
      <c r="D1035" s="14">
        <f>IF(A1035&gt;LastWeek-364,1,0)</f>
        <v/>
      </c>
      <c r="E1035" s="14">
        <f>C1035^2*D1035</f>
        <v/>
      </c>
    </row>
    <row r="1036">
      <c r="A1036" s="26" t="n">
        <v>45978</v>
      </c>
      <c r="B1036" s="14" t="inlineStr">
        <is>
          <t>NB-0010</t>
        </is>
      </c>
      <c r="C1036" s="14" t="n">
        <v>21</v>
      </c>
      <c r="D1036" s="14">
        <f>IF(A1036&gt;LastWeek-364,1,0)</f>
        <v/>
      </c>
      <c r="E1036" s="14">
        <f>C1036^2*D1036</f>
        <v/>
      </c>
    </row>
    <row r="1037">
      <c r="A1037" s="26" t="n">
        <v>45985</v>
      </c>
      <c r="B1037" s="14" t="inlineStr">
        <is>
          <t>NB-0010</t>
        </is>
      </c>
      <c r="C1037" s="14" t="n">
        <v>24</v>
      </c>
      <c r="D1037" s="14">
        <f>IF(A1037&gt;LastWeek-364,1,0)</f>
        <v/>
      </c>
      <c r="E1037" s="14">
        <f>C1037^2*D1037</f>
        <v/>
      </c>
    </row>
    <row r="1038">
      <c r="A1038" s="26" t="n">
        <v>45992</v>
      </c>
      <c r="B1038" s="14" t="inlineStr">
        <is>
          <t>NB-0010</t>
        </is>
      </c>
      <c r="C1038" s="14" t="n">
        <v>40</v>
      </c>
      <c r="D1038" s="14">
        <f>IF(A1038&gt;LastWeek-364,1,0)</f>
        <v/>
      </c>
      <c r="E1038" s="14">
        <f>C1038^2*D1038</f>
        <v/>
      </c>
    </row>
    <row r="1039">
      <c r="A1039" s="26" t="n">
        <v>45999</v>
      </c>
      <c r="B1039" s="14" t="inlineStr">
        <is>
          <t>NB-0010</t>
        </is>
      </c>
      <c r="C1039" s="14" t="n">
        <v>9</v>
      </c>
      <c r="D1039" s="14">
        <f>IF(A1039&gt;LastWeek-364,1,0)</f>
        <v/>
      </c>
      <c r="E1039" s="14">
        <f>C1039^2*D1039</f>
        <v/>
      </c>
    </row>
    <row r="1040">
      <c r="A1040" s="26" t="n">
        <v>46006</v>
      </c>
      <c r="B1040" s="14" t="inlineStr">
        <is>
          <t>NB-0010</t>
        </is>
      </c>
      <c r="C1040" s="14" t="n">
        <v>49</v>
      </c>
      <c r="D1040" s="14">
        <f>IF(A1040&gt;LastWeek-364,1,0)</f>
        <v/>
      </c>
      <c r="E1040" s="14">
        <f>C1040^2*D1040</f>
        <v/>
      </c>
    </row>
    <row r="1041">
      <c r="A1041" s="26" t="n">
        <v>46013</v>
      </c>
      <c r="B1041" s="14" t="inlineStr">
        <is>
          <t>NB-0010</t>
        </is>
      </c>
      <c r="C1041" s="14" t="n">
        <v>52</v>
      </c>
      <c r="D1041" s="14">
        <f>IF(A1041&gt;LastWeek-364,1,0)</f>
        <v/>
      </c>
      <c r="E1041" s="14">
        <f>C1041^2*D1041</f>
        <v/>
      </c>
    </row>
    <row r="1042">
      <c r="A1042" s="26" t="n">
        <v>45292</v>
      </c>
      <c r="B1042" s="14" t="inlineStr">
        <is>
          <t>NB-0011</t>
        </is>
      </c>
      <c r="C1042" s="14" t="n">
        <v>13</v>
      </c>
      <c r="D1042" s="14">
        <f>IF(A1042&gt;LastWeek-364,1,0)</f>
        <v/>
      </c>
      <c r="E1042" s="14">
        <f>C1042^2*D1042</f>
        <v/>
      </c>
    </row>
    <row r="1043">
      <c r="A1043" s="26" t="n">
        <v>45299</v>
      </c>
      <c r="B1043" s="14" t="inlineStr">
        <is>
          <t>NB-0011</t>
        </is>
      </c>
      <c r="C1043" s="14" t="n">
        <v>9</v>
      </c>
      <c r="D1043" s="14">
        <f>IF(A1043&gt;LastWeek-364,1,0)</f>
        <v/>
      </c>
      <c r="E1043" s="14">
        <f>C1043^2*D1043</f>
        <v/>
      </c>
    </row>
    <row r="1044">
      <c r="A1044" s="26" t="n">
        <v>45306</v>
      </c>
      <c r="B1044" s="14" t="inlineStr">
        <is>
          <t>NB-0011</t>
        </is>
      </c>
      <c r="C1044" s="14" t="n">
        <v>12</v>
      </c>
      <c r="D1044" s="14">
        <f>IF(A1044&gt;LastWeek-364,1,0)</f>
        <v/>
      </c>
      <c r="E1044" s="14">
        <f>C1044^2*D1044</f>
        <v/>
      </c>
    </row>
    <row r="1045">
      <c r="A1045" s="26" t="n">
        <v>45313</v>
      </c>
      <c r="B1045" s="14" t="inlineStr">
        <is>
          <t>NB-0011</t>
        </is>
      </c>
      <c r="C1045" s="14" t="n">
        <v>16</v>
      </c>
      <c r="D1045" s="14">
        <f>IF(A1045&gt;LastWeek-364,1,0)</f>
        <v/>
      </c>
      <c r="E1045" s="14">
        <f>C1045^2*D1045</f>
        <v/>
      </c>
    </row>
    <row r="1046">
      <c r="A1046" s="26" t="n">
        <v>45320</v>
      </c>
      <c r="B1046" s="14" t="inlineStr">
        <is>
          <t>NB-0011</t>
        </is>
      </c>
      <c r="C1046" s="14" t="n">
        <v>9</v>
      </c>
      <c r="D1046" s="14">
        <f>IF(A1046&gt;LastWeek-364,1,0)</f>
        <v/>
      </c>
      <c r="E1046" s="14">
        <f>C1046^2*D1046</f>
        <v/>
      </c>
    </row>
    <row r="1047">
      <c r="A1047" s="26" t="n">
        <v>45327</v>
      </c>
      <c r="B1047" s="14" t="inlineStr">
        <is>
          <t>NB-0011</t>
        </is>
      </c>
      <c r="C1047" s="14" t="n">
        <v>13</v>
      </c>
      <c r="D1047" s="14">
        <f>IF(A1047&gt;LastWeek-364,1,0)</f>
        <v/>
      </c>
      <c r="E1047" s="14">
        <f>C1047^2*D1047</f>
        <v/>
      </c>
    </row>
    <row r="1048">
      <c r="A1048" s="26" t="n">
        <v>45334</v>
      </c>
      <c r="B1048" s="14" t="inlineStr">
        <is>
          <t>NB-0011</t>
        </is>
      </c>
      <c r="C1048" s="14" t="n">
        <v>11</v>
      </c>
      <c r="D1048" s="14">
        <f>IF(A1048&gt;LastWeek-364,1,0)</f>
        <v/>
      </c>
      <c r="E1048" s="14">
        <f>C1048^2*D1048</f>
        <v/>
      </c>
    </row>
    <row r="1049">
      <c r="A1049" s="26" t="n">
        <v>45341</v>
      </c>
      <c r="B1049" s="14" t="inlineStr">
        <is>
          <t>NB-0011</t>
        </is>
      </c>
      <c r="C1049" s="14" t="n">
        <v>15</v>
      </c>
      <c r="D1049" s="14">
        <f>IF(A1049&gt;LastWeek-364,1,0)</f>
        <v/>
      </c>
      <c r="E1049" s="14">
        <f>C1049^2*D1049</f>
        <v/>
      </c>
    </row>
    <row r="1050">
      <c r="A1050" s="26" t="n">
        <v>45348</v>
      </c>
      <c r="B1050" s="14" t="inlineStr">
        <is>
          <t>NB-0011</t>
        </is>
      </c>
      <c r="C1050" s="14" t="n">
        <v>12</v>
      </c>
      <c r="D1050" s="14">
        <f>IF(A1050&gt;LastWeek-364,1,0)</f>
        <v/>
      </c>
      <c r="E1050" s="14">
        <f>C1050^2*D1050</f>
        <v/>
      </c>
    </row>
    <row r="1051">
      <c r="A1051" s="26" t="n">
        <v>45355</v>
      </c>
      <c r="B1051" s="14" t="inlineStr">
        <is>
          <t>NB-0011</t>
        </is>
      </c>
      <c r="C1051" s="14" t="n">
        <v>14</v>
      </c>
      <c r="D1051" s="14">
        <f>IF(A1051&gt;LastWeek-364,1,0)</f>
        <v/>
      </c>
      <c r="E1051" s="14">
        <f>C1051^2*D1051</f>
        <v/>
      </c>
    </row>
    <row r="1052">
      <c r="A1052" s="26" t="n">
        <v>45362</v>
      </c>
      <c r="B1052" s="14" t="inlineStr">
        <is>
          <t>NB-0011</t>
        </is>
      </c>
      <c r="C1052" s="14" t="n">
        <v>14</v>
      </c>
      <c r="D1052" s="14">
        <f>IF(A1052&gt;LastWeek-364,1,0)</f>
        <v/>
      </c>
      <c r="E1052" s="14">
        <f>C1052^2*D1052</f>
        <v/>
      </c>
    </row>
    <row r="1053">
      <c r="A1053" s="26" t="n">
        <v>45369</v>
      </c>
      <c r="B1053" s="14" t="inlineStr">
        <is>
          <t>NB-0011</t>
        </is>
      </c>
      <c r="C1053" s="14" t="n">
        <v>16</v>
      </c>
      <c r="D1053" s="14">
        <f>IF(A1053&gt;LastWeek-364,1,0)</f>
        <v/>
      </c>
      <c r="E1053" s="14">
        <f>C1053^2*D1053</f>
        <v/>
      </c>
    </row>
    <row r="1054">
      <c r="A1054" s="26" t="n">
        <v>45376</v>
      </c>
      <c r="B1054" s="14" t="inlineStr">
        <is>
          <t>NB-0011</t>
        </is>
      </c>
      <c r="C1054" s="14" t="n">
        <v>13</v>
      </c>
      <c r="D1054" s="14">
        <f>IF(A1054&gt;LastWeek-364,1,0)</f>
        <v/>
      </c>
      <c r="E1054" s="14">
        <f>C1054^2*D1054</f>
        <v/>
      </c>
    </row>
    <row r="1055">
      <c r="A1055" s="26" t="n">
        <v>45383</v>
      </c>
      <c r="B1055" s="14" t="inlineStr">
        <is>
          <t>NB-0011</t>
        </is>
      </c>
      <c r="C1055" s="14" t="n">
        <v>14</v>
      </c>
      <c r="D1055" s="14">
        <f>IF(A1055&gt;LastWeek-364,1,0)</f>
        <v/>
      </c>
      <c r="E1055" s="14">
        <f>C1055^2*D1055</f>
        <v/>
      </c>
    </row>
    <row r="1056">
      <c r="A1056" s="26" t="n">
        <v>45390</v>
      </c>
      <c r="B1056" s="14" t="inlineStr">
        <is>
          <t>NB-0011</t>
        </is>
      </c>
      <c r="C1056" s="14" t="n">
        <v>10</v>
      </c>
      <c r="D1056" s="14">
        <f>IF(A1056&gt;LastWeek-364,1,0)</f>
        <v/>
      </c>
      <c r="E1056" s="14">
        <f>C1056^2*D1056</f>
        <v/>
      </c>
    </row>
    <row r="1057">
      <c r="A1057" s="26" t="n">
        <v>45397</v>
      </c>
      <c r="B1057" s="14" t="inlineStr">
        <is>
          <t>NB-0011</t>
        </is>
      </c>
      <c r="C1057" s="14" t="n">
        <v>15</v>
      </c>
      <c r="D1057" s="14">
        <f>IF(A1057&gt;LastWeek-364,1,0)</f>
        <v/>
      </c>
      <c r="E1057" s="14">
        <f>C1057^2*D1057</f>
        <v/>
      </c>
    </row>
    <row r="1058">
      <c r="A1058" s="26" t="n">
        <v>45404</v>
      </c>
      <c r="B1058" s="14" t="inlineStr">
        <is>
          <t>NB-0011</t>
        </is>
      </c>
      <c r="C1058" s="14" t="n">
        <v>12</v>
      </c>
      <c r="D1058" s="14">
        <f>IF(A1058&gt;LastWeek-364,1,0)</f>
        <v/>
      </c>
      <c r="E1058" s="14">
        <f>C1058^2*D1058</f>
        <v/>
      </c>
    </row>
    <row r="1059">
      <c r="A1059" s="26" t="n">
        <v>45411</v>
      </c>
      <c r="B1059" s="14" t="inlineStr">
        <is>
          <t>NB-0011</t>
        </is>
      </c>
      <c r="C1059" s="14" t="n">
        <v>12</v>
      </c>
      <c r="D1059" s="14">
        <f>IF(A1059&gt;LastWeek-364,1,0)</f>
        <v/>
      </c>
      <c r="E1059" s="14">
        <f>C1059^2*D1059</f>
        <v/>
      </c>
    </row>
    <row r="1060">
      <c r="A1060" s="26" t="n">
        <v>45418</v>
      </c>
      <c r="B1060" s="14" t="inlineStr">
        <is>
          <t>NB-0011</t>
        </is>
      </c>
      <c r="C1060" s="14" t="n">
        <v>13</v>
      </c>
      <c r="D1060" s="14">
        <f>IF(A1060&gt;LastWeek-364,1,0)</f>
        <v/>
      </c>
      <c r="E1060" s="14">
        <f>C1060^2*D1060</f>
        <v/>
      </c>
    </row>
    <row r="1061">
      <c r="A1061" s="26" t="n">
        <v>45425</v>
      </c>
      <c r="B1061" s="14" t="inlineStr">
        <is>
          <t>NB-0011</t>
        </is>
      </c>
      <c r="C1061" s="14" t="n">
        <v>10</v>
      </c>
      <c r="D1061" s="14">
        <f>IF(A1061&gt;LastWeek-364,1,0)</f>
        <v/>
      </c>
      <c r="E1061" s="14">
        <f>C1061^2*D1061</f>
        <v/>
      </c>
    </row>
    <row r="1062">
      <c r="A1062" s="26" t="n">
        <v>45432</v>
      </c>
      <c r="B1062" s="14" t="inlineStr">
        <is>
          <t>NB-0011</t>
        </is>
      </c>
      <c r="C1062" s="14" t="n">
        <v>13</v>
      </c>
      <c r="D1062" s="14">
        <f>IF(A1062&gt;LastWeek-364,1,0)</f>
        <v/>
      </c>
      <c r="E1062" s="14">
        <f>C1062^2*D1062</f>
        <v/>
      </c>
    </row>
    <row r="1063">
      <c r="A1063" s="26" t="n">
        <v>45439</v>
      </c>
      <c r="B1063" s="14" t="inlineStr">
        <is>
          <t>NB-0011</t>
        </is>
      </c>
      <c r="C1063" s="14" t="n">
        <v>14</v>
      </c>
      <c r="D1063" s="14">
        <f>IF(A1063&gt;LastWeek-364,1,0)</f>
        <v/>
      </c>
      <c r="E1063" s="14">
        <f>C1063^2*D1063</f>
        <v/>
      </c>
    </row>
    <row r="1064">
      <c r="A1064" s="26" t="n">
        <v>45446</v>
      </c>
      <c r="B1064" s="14" t="inlineStr">
        <is>
          <t>NB-0011</t>
        </is>
      </c>
      <c r="C1064" s="14" t="n">
        <v>13</v>
      </c>
      <c r="D1064" s="14">
        <f>IF(A1064&gt;LastWeek-364,1,0)</f>
        <v/>
      </c>
      <c r="E1064" s="14">
        <f>C1064^2*D1064</f>
        <v/>
      </c>
    </row>
    <row r="1065">
      <c r="A1065" s="26" t="n">
        <v>45453</v>
      </c>
      <c r="B1065" s="14" t="inlineStr">
        <is>
          <t>NB-0011</t>
        </is>
      </c>
      <c r="C1065" s="14" t="n">
        <v>10</v>
      </c>
      <c r="D1065" s="14">
        <f>IF(A1065&gt;LastWeek-364,1,0)</f>
        <v/>
      </c>
      <c r="E1065" s="14">
        <f>C1065^2*D1065</f>
        <v/>
      </c>
    </row>
    <row r="1066">
      <c r="A1066" s="26" t="n">
        <v>45460</v>
      </c>
      <c r="B1066" s="14" t="inlineStr">
        <is>
          <t>NB-0011</t>
        </is>
      </c>
      <c r="C1066" s="14" t="n">
        <v>12</v>
      </c>
      <c r="D1066" s="14">
        <f>IF(A1066&gt;LastWeek-364,1,0)</f>
        <v/>
      </c>
      <c r="E1066" s="14">
        <f>C1066^2*D1066</f>
        <v/>
      </c>
    </row>
    <row r="1067">
      <c r="A1067" s="26" t="n">
        <v>45467</v>
      </c>
      <c r="B1067" s="14" t="inlineStr">
        <is>
          <t>NB-0011</t>
        </is>
      </c>
      <c r="C1067" s="14" t="n">
        <v>14</v>
      </c>
      <c r="D1067" s="14">
        <f>IF(A1067&gt;LastWeek-364,1,0)</f>
        <v/>
      </c>
      <c r="E1067" s="14">
        <f>C1067^2*D1067</f>
        <v/>
      </c>
    </row>
    <row r="1068">
      <c r="A1068" s="26" t="n">
        <v>45474</v>
      </c>
      <c r="B1068" s="14" t="inlineStr">
        <is>
          <t>NB-0011</t>
        </is>
      </c>
      <c r="C1068" s="14" t="n">
        <v>9</v>
      </c>
      <c r="D1068" s="14">
        <f>IF(A1068&gt;LastWeek-364,1,0)</f>
        <v/>
      </c>
      <c r="E1068" s="14">
        <f>C1068^2*D1068</f>
        <v/>
      </c>
    </row>
    <row r="1069">
      <c r="A1069" s="26" t="n">
        <v>45481</v>
      </c>
      <c r="B1069" s="14" t="inlineStr">
        <is>
          <t>NB-0011</t>
        </is>
      </c>
      <c r="C1069" s="14" t="n">
        <v>11</v>
      </c>
      <c r="D1069" s="14">
        <f>IF(A1069&gt;LastWeek-364,1,0)</f>
        <v/>
      </c>
      <c r="E1069" s="14">
        <f>C1069^2*D1069</f>
        <v/>
      </c>
    </row>
    <row r="1070">
      <c r="A1070" s="26" t="n">
        <v>45488</v>
      </c>
      <c r="B1070" s="14" t="inlineStr">
        <is>
          <t>NB-0011</t>
        </is>
      </c>
      <c r="C1070" s="14" t="n">
        <v>14</v>
      </c>
      <c r="D1070" s="14">
        <f>IF(A1070&gt;LastWeek-364,1,0)</f>
        <v/>
      </c>
      <c r="E1070" s="14">
        <f>C1070^2*D1070</f>
        <v/>
      </c>
    </row>
    <row r="1071">
      <c r="A1071" s="26" t="n">
        <v>45495</v>
      </c>
      <c r="B1071" s="14" t="inlineStr">
        <is>
          <t>NB-0011</t>
        </is>
      </c>
      <c r="C1071" s="14" t="n">
        <v>13</v>
      </c>
      <c r="D1071" s="14">
        <f>IF(A1071&gt;LastWeek-364,1,0)</f>
        <v/>
      </c>
      <c r="E1071" s="14">
        <f>C1071^2*D1071</f>
        <v/>
      </c>
    </row>
    <row r="1072">
      <c r="A1072" s="26" t="n">
        <v>45502</v>
      </c>
      <c r="B1072" s="14" t="inlineStr">
        <is>
          <t>NB-0011</t>
        </is>
      </c>
      <c r="C1072" s="14" t="n">
        <v>13</v>
      </c>
      <c r="D1072" s="14">
        <f>IF(A1072&gt;LastWeek-364,1,0)</f>
        <v/>
      </c>
      <c r="E1072" s="14">
        <f>C1072^2*D1072</f>
        <v/>
      </c>
    </row>
    <row r="1073">
      <c r="A1073" s="26" t="n">
        <v>45509</v>
      </c>
      <c r="B1073" s="14" t="inlineStr">
        <is>
          <t>NB-0011</t>
        </is>
      </c>
      <c r="C1073" s="14" t="n">
        <v>16</v>
      </c>
      <c r="D1073" s="14">
        <f>IF(A1073&gt;LastWeek-364,1,0)</f>
        <v/>
      </c>
      <c r="E1073" s="14">
        <f>C1073^2*D1073</f>
        <v/>
      </c>
    </row>
    <row r="1074">
      <c r="A1074" s="26" t="n">
        <v>45516</v>
      </c>
      <c r="B1074" s="14" t="inlineStr">
        <is>
          <t>NB-0011</t>
        </is>
      </c>
      <c r="C1074" s="14" t="n">
        <v>13</v>
      </c>
      <c r="D1074" s="14">
        <f>IF(A1074&gt;LastWeek-364,1,0)</f>
        <v/>
      </c>
      <c r="E1074" s="14">
        <f>C1074^2*D1074</f>
        <v/>
      </c>
    </row>
    <row r="1075">
      <c r="A1075" s="26" t="n">
        <v>45523</v>
      </c>
      <c r="B1075" s="14" t="inlineStr">
        <is>
          <t>NB-0011</t>
        </is>
      </c>
      <c r="C1075" s="14" t="n">
        <v>14</v>
      </c>
      <c r="D1075" s="14">
        <f>IF(A1075&gt;LastWeek-364,1,0)</f>
        <v/>
      </c>
      <c r="E1075" s="14">
        <f>C1075^2*D1075</f>
        <v/>
      </c>
    </row>
    <row r="1076">
      <c r="A1076" s="26" t="n">
        <v>45530</v>
      </c>
      <c r="B1076" s="14" t="inlineStr">
        <is>
          <t>NB-0011</t>
        </is>
      </c>
      <c r="C1076" s="14" t="n">
        <v>17</v>
      </c>
      <c r="D1076" s="14">
        <f>IF(A1076&gt;LastWeek-364,1,0)</f>
        <v/>
      </c>
      <c r="E1076" s="14">
        <f>C1076^2*D1076</f>
        <v/>
      </c>
    </row>
    <row r="1077">
      <c r="A1077" s="26" t="n">
        <v>45537</v>
      </c>
      <c r="B1077" s="14" t="inlineStr">
        <is>
          <t>NB-0011</t>
        </is>
      </c>
      <c r="C1077" s="14" t="n">
        <v>12</v>
      </c>
      <c r="D1077" s="14">
        <f>IF(A1077&gt;LastWeek-364,1,0)</f>
        <v/>
      </c>
      <c r="E1077" s="14">
        <f>C1077^2*D1077</f>
        <v/>
      </c>
    </row>
    <row r="1078">
      <c r="A1078" s="26" t="n">
        <v>45544</v>
      </c>
      <c r="B1078" s="14" t="inlineStr">
        <is>
          <t>NB-0011</t>
        </is>
      </c>
      <c r="C1078" s="14" t="n">
        <v>11</v>
      </c>
      <c r="D1078" s="14">
        <f>IF(A1078&gt;LastWeek-364,1,0)</f>
        <v/>
      </c>
      <c r="E1078" s="14">
        <f>C1078^2*D1078</f>
        <v/>
      </c>
    </row>
    <row r="1079">
      <c r="A1079" s="26" t="n">
        <v>45551</v>
      </c>
      <c r="B1079" s="14" t="inlineStr">
        <is>
          <t>NB-0011</t>
        </is>
      </c>
      <c r="C1079" s="14" t="n">
        <v>14</v>
      </c>
      <c r="D1079" s="14">
        <f>IF(A1079&gt;LastWeek-364,1,0)</f>
        <v/>
      </c>
      <c r="E1079" s="14">
        <f>C1079^2*D1079</f>
        <v/>
      </c>
    </row>
    <row r="1080">
      <c r="A1080" s="26" t="n">
        <v>45558</v>
      </c>
      <c r="B1080" s="14" t="inlineStr">
        <is>
          <t>NB-0011</t>
        </is>
      </c>
      <c r="C1080" s="14" t="n">
        <v>14</v>
      </c>
      <c r="D1080" s="14">
        <f>IF(A1080&gt;LastWeek-364,1,0)</f>
        <v/>
      </c>
      <c r="E1080" s="14">
        <f>C1080^2*D1080</f>
        <v/>
      </c>
    </row>
    <row r="1081">
      <c r="A1081" s="26" t="n">
        <v>45565</v>
      </c>
      <c r="B1081" s="14" t="inlineStr">
        <is>
          <t>NB-0011</t>
        </is>
      </c>
      <c r="C1081" s="14" t="n">
        <v>12</v>
      </c>
      <c r="D1081" s="14">
        <f>IF(A1081&gt;LastWeek-364,1,0)</f>
        <v/>
      </c>
      <c r="E1081" s="14">
        <f>C1081^2*D1081</f>
        <v/>
      </c>
    </row>
    <row r="1082">
      <c r="A1082" s="26" t="n">
        <v>45572</v>
      </c>
      <c r="B1082" s="14" t="inlineStr">
        <is>
          <t>NB-0011</t>
        </is>
      </c>
      <c r="C1082" s="14" t="n">
        <v>11</v>
      </c>
      <c r="D1082" s="14">
        <f>IF(A1082&gt;LastWeek-364,1,0)</f>
        <v/>
      </c>
      <c r="E1082" s="14">
        <f>C1082^2*D1082</f>
        <v/>
      </c>
    </row>
    <row r="1083">
      <c r="A1083" s="26" t="n">
        <v>45579</v>
      </c>
      <c r="B1083" s="14" t="inlineStr">
        <is>
          <t>NB-0011</t>
        </is>
      </c>
      <c r="C1083" s="14" t="n">
        <v>17</v>
      </c>
      <c r="D1083" s="14">
        <f>IF(A1083&gt;LastWeek-364,1,0)</f>
        <v/>
      </c>
      <c r="E1083" s="14">
        <f>C1083^2*D1083</f>
        <v/>
      </c>
    </row>
    <row r="1084">
      <c r="A1084" s="26" t="n">
        <v>45586</v>
      </c>
      <c r="B1084" s="14" t="inlineStr">
        <is>
          <t>NB-0011</t>
        </is>
      </c>
      <c r="C1084" s="14" t="n">
        <v>14</v>
      </c>
      <c r="D1084" s="14">
        <f>IF(A1084&gt;LastWeek-364,1,0)</f>
        <v/>
      </c>
      <c r="E1084" s="14">
        <f>C1084^2*D1084</f>
        <v/>
      </c>
    </row>
    <row r="1085">
      <c r="A1085" s="26" t="n">
        <v>45593</v>
      </c>
      <c r="B1085" s="14" t="inlineStr">
        <is>
          <t>NB-0011</t>
        </is>
      </c>
      <c r="C1085" s="14" t="n">
        <v>12</v>
      </c>
      <c r="D1085" s="14">
        <f>IF(A1085&gt;LastWeek-364,1,0)</f>
        <v/>
      </c>
      <c r="E1085" s="14">
        <f>C1085^2*D1085</f>
        <v/>
      </c>
    </row>
    <row r="1086">
      <c r="A1086" s="26" t="n">
        <v>45600</v>
      </c>
      <c r="B1086" s="14" t="inlineStr">
        <is>
          <t>NB-0011</t>
        </is>
      </c>
      <c r="C1086" s="14" t="n">
        <v>15</v>
      </c>
      <c r="D1086" s="14">
        <f>IF(A1086&gt;LastWeek-364,1,0)</f>
        <v/>
      </c>
      <c r="E1086" s="14">
        <f>C1086^2*D1086</f>
        <v/>
      </c>
    </row>
    <row r="1087">
      <c r="A1087" s="26" t="n">
        <v>45607</v>
      </c>
      <c r="B1087" s="14" t="inlineStr">
        <is>
          <t>NB-0011</t>
        </is>
      </c>
      <c r="C1087" s="14" t="n">
        <v>13</v>
      </c>
      <c r="D1087" s="14">
        <f>IF(A1087&gt;LastWeek-364,1,0)</f>
        <v/>
      </c>
      <c r="E1087" s="14">
        <f>C1087^2*D1087</f>
        <v/>
      </c>
    </row>
    <row r="1088">
      <c r="A1088" s="26" t="n">
        <v>45614</v>
      </c>
      <c r="B1088" s="14" t="inlineStr">
        <is>
          <t>NB-0011</t>
        </is>
      </c>
      <c r="C1088" s="14" t="n">
        <v>13</v>
      </c>
      <c r="D1088" s="14">
        <f>IF(A1088&gt;LastWeek-364,1,0)</f>
        <v/>
      </c>
      <c r="E1088" s="14">
        <f>C1088^2*D1088</f>
        <v/>
      </c>
    </row>
    <row r="1089">
      <c r="A1089" s="26" t="n">
        <v>45621</v>
      </c>
      <c r="B1089" s="14" t="inlineStr">
        <is>
          <t>NB-0011</t>
        </is>
      </c>
      <c r="C1089" s="14" t="n">
        <v>14</v>
      </c>
      <c r="D1089" s="14">
        <f>IF(A1089&gt;LastWeek-364,1,0)</f>
        <v/>
      </c>
      <c r="E1089" s="14">
        <f>C1089^2*D1089</f>
        <v/>
      </c>
    </row>
    <row r="1090">
      <c r="A1090" s="26" t="n">
        <v>45628</v>
      </c>
      <c r="B1090" s="14" t="inlineStr">
        <is>
          <t>NB-0011</t>
        </is>
      </c>
      <c r="C1090" s="14" t="n">
        <v>11</v>
      </c>
      <c r="D1090" s="14">
        <f>IF(A1090&gt;LastWeek-364,1,0)</f>
        <v/>
      </c>
      <c r="E1090" s="14">
        <f>C1090^2*D1090</f>
        <v/>
      </c>
    </row>
    <row r="1091">
      <c r="A1091" s="26" t="n">
        <v>45635</v>
      </c>
      <c r="B1091" s="14" t="inlineStr">
        <is>
          <t>NB-0011</t>
        </is>
      </c>
      <c r="C1091" s="14" t="n">
        <v>14</v>
      </c>
      <c r="D1091" s="14">
        <f>IF(A1091&gt;LastWeek-364,1,0)</f>
        <v/>
      </c>
      <c r="E1091" s="14">
        <f>C1091^2*D1091</f>
        <v/>
      </c>
    </row>
    <row r="1092">
      <c r="A1092" s="26" t="n">
        <v>45642</v>
      </c>
      <c r="B1092" s="14" t="inlineStr">
        <is>
          <t>NB-0011</t>
        </is>
      </c>
      <c r="C1092" s="14" t="n">
        <v>17</v>
      </c>
      <c r="D1092" s="14">
        <f>IF(A1092&gt;LastWeek-364,1,0)</f>
        <v/>
      </c>
      <c r="E1092" s="14">
        <f>C1092^2*D1092</f>
        <v/>
      </c>
    </row>
    <row r="1093">
      <c r="A1093" s="26" t="n">
        <v>45649</v>
      </c>
      <c r="B1093" s="14" t="inlineStr">
        <is>
          <t>NB-0011</t>
        </is>
      </c>
      <c r="C1093" s="14" t="n">
        <v>14</v>
      </c>
      <c r="D1093" s="14">
        <f>IF(A1093&gt;LastWeek-364,1,0)</f>
        <v/>
      </c>
      <c r="E1093" s="14">
        <f>C1093^2*D1093</f>
        <v/>
      </c>
    </row>
    <row r="1094">
      <c r="A1094" s="26" t="n">
        <v>45656</v>
      </c>
      <c r="B1094" s="14" t="inlineStr">
        <is>
          <t>NB-0011</t>
        </is>
      </c>
      <c r="C1094" s="14" t="n">
        <v>13</v>
      </c>
      <c r="D1094" s="14">
        <f>IF(A1094&gt;LastWeek-364,1,0)</f>
        <v/>
      </c>
      <c r="E1094" s="14">
        <f>C1094^2*D1094</f>
        <v/>
      </c>
    </row>
    <row r="1095">
      <c r="A1095" s="26" t="n">
        <v>45663</v>
      </c>
      <c r="B1095" s="14" t="inlineStr">
        <is>
          <t>NB-0011</t>
        </is>
      </c>
      <c r="C1095" s="14" t="n">
        <v>12</v>
      </c>
      <c r="D1095" s="14">
        <f>IF(A1095&gt;LastWeek-364,1,0)</f>
        <v/>
      </c>
      <c r="E1095" s="14">
        <f>C1095^2*D1095</f>
        <v/>
      </c>
    </row>
    <row r="1096">
      <c r="A1096" s="26" t="n">
        <v>45670</v>
      </c>
      <c r="B1096" s="14" t="inlineStr">
        <is>
          <t>NB-0011</t>
        </is>
      </c>
      <c r="C1096" s="14" t="n">
        <v>13</v>
      </c>
      <c r="D1096" s="14">
        <f>IF(A1096&gt;LastWeek-364,1,0)</f>
        <v/>
      </c>
      <c r="E1096" s="14">
        <f>C1096^2*D1096</f>
        <v/>
      </c>
    </row>
    <row r="1097">
      <c r="A1097" s="26" t="n">
        <v>45677</v>
      </c>
      <c r="B1097" s="14" t="inlineStr">
        <is>
          <t>NB-0011</t>
        </is>
      </c>
      <c r="C1097" s="14" t="n">
        <v>13</v>
      </c>
      <c r="D1097" s="14">
        <f>IF(A1097&gt;LastWeek-364,1,0)</f>
        <v/>
      </c>
      <c r="E1097" s="14">
        <f>C1097^2*D1097</f>
        <v/>
      </c>
    </row>
    <row r="1098">
      <c r="A1098" s="26" t="n">
        <v>45684</v>
      </c>
      <c r="B1098" s="14" t="inlineStr">
        <is>
          <t>NB-0011</t>
        </is>
      </c>
      <c r="C1098" s="14" t="n">
        <v>13</v>
      </c>
      <c r="D1098" s="14">
        <f>IF(A1098&gt;LastWeek-364,1,0)</f>
        <v/>
      </c>
      <c r="E1098" s="14">
        <f>C1098^2*D1098</f>
        <v/>
      </c>
    </row>
    <row r="1099">
      <c r="A1099" s="26" t="n">
        <v>45691</v>
      </c>
      <c r="B1099" s="14" t="inlineStr">
        <is>
          <t>NB-0011</t>
        </is>
      </c>
      <c r="C1099" s="14" t="n">
        <v>15</v>
      </c>
      <c r="D1099" s="14">
        <f>IF(A1099&gt;LastWeek-364,1,0)</f>
        <v/>
      </c>
      <c r="E1099" s="14">
        <f>C1099^2*D1099</f>
        <v/>
      </c>
    </row>
    <row r="1100">
      <c r="A1100" s="26" t="n">
        <v>45698</v>
      </c>
      <c r="B1100" s="14" t="inlineStr">
        <is>
          <t>NB-0011</t>
        </is>
      </c>
      <c r="C1100" s="14" t="n">
        <v>10</v>
      </c>
      <c r="D1100" s="14">
        <f>IF(A1100&gt;LastWeek-364,1,0)</f>
        <v/>
      </c>
      <c r="E1100" s="14">
        <f>C1100^2*D1100</f>
        <v/>
      </c>
    </row>
    <row r="1101">
      <c r="A1101" s="26" t="n">
        <v>45705</v>
      </c>
      <c r="B1101" s="14" t="inlineStr">
        <is>
          <t>NB-0011</t>
        </is>
      </c>
      <c r="C1101" s="14" t="n">
        <v>15</v>
      </c>
      <c r="D1101" s="14">
        <f>IF(A1101&gt;LastWeek-364,1,0)</f>
        <v/>
      </c>
      <c r="E1101" s="14">
        <f>C1101^2*D1101</f>
        <v/>
      </c>
    </row>
    <row r="1102">
      <c r="A1102" s="26" t="n">
        <v>45712</v>
      </c>
      <c r="B1102" s="14" t="inlineStr">
        <is>
          <t>NB-0011</t>
        </is>
      </c>
      <c r="C1102" s="14" t="n">
        <v>13</v>
      </c>
      <c r="D1102" s="14">
        <f>IF(A1102&gt;LastWeek-364,1,0)</f>
        <v/>
      </c>
      <c r="E1102" s="14">
        <f>C1102^2*D1102</f>
        <v/>
      </c>
    </row>
    <row r="1103">
      <c r="A1103" s="26" t="n">
        <v>45719</v>
      </c>
      <c r="B1103" s="14" t="inlineStr">
        <is>
          <t>NB-0011</t>
        </is>
      </c>
      <c r="C1103" s="14" t="n">
        <v>14</v>
      </c>
      <c r="D1103" s="14">
        <f>IF(A1103&gt;LastWeek-364,1,0)</f>
        <v/>
      </c>
      <c r="E1103" s="14">
        <f>C1103^2*D1103</f>
        <v/>
      </c>
    </row>
    <row r="1104">
      <c r="A1104" s="26" t="n">
        <v>45726</v>
      </c>
      <c r="B1104" s="14" t="inlineStr">
        <is>
          <t>NB-0011</t>
        </is>
      </c>
      <c r="C1104" s="14" t="n">
        <v>11</v>
      </c>
      <c r="D1104" s="14">
        <f>IF(A1104&gt;LastWeek-364,1,0)</f>
        <v/>
      </c>
      <c r="E1104" s="14">
        <f>C1104^2*D1104</f>
        <v/>
      </c>
    </row>
    <row r="1105">
      <c r="A1105" s="26" t="n">
        <v>45733</v>
      </c>
      <c r="B1105" s="14" t="inlineStr">
        <is>
          <t>NB-0011</t>
        </is>
      </c>
      <c r="C1105" s="14" t="n">
        <v>15</v>
      </c>
      <c r="D1105" s="14">
        <f>IF(A1105&gt;LastWeek-364,1,0)</f>
        <v/>
      </c>
      <c r="E1105" s="14">
        <f>C1105^2*D1105</f>
        <v/>
      </c>
    </row>
    <row r="1106">
      <c r="A1106" s="26" t="n">
        <v>45740</v>
      </c>
      <c r="B1106" s="14" t="inlineStr">
        <is>
          <t>NB-0011</t>
        </is>
      </c>
      <c r="C1106" s="14" t="n">
        <v>15</v>
      </c>
      <c r="D1106" s="14">
        <f>IF(A1106&gt;LastWeek-364,1,0)</f>
        <v/>
      </c>
      <c r="E1106" s="14">
        <f>C1106^2*D1106</f>
        <v/>
      </c>
    </row>
    <row r="1107">
      <c r="A1107" s="26" t="n">
        <v>45747</v>
      </c>
      <c r="B1107" s="14" t="inlineStr">
        <is>
          <t>NB-0011</t>
        </is>
      </c>
      <c r="C1107" s="14" t="n">
        <v>15</v>
      </c>
      <c r="D1107" s="14">
        <f>IF(A1107&gt;LastWeek-364,1,0)</f>
        <v/>
      </c>
      <c r="E1107" s="14">
        <f>C1107^2*D1107</f>
        <v/>
      </c>
    </row>
    <row r="1108">
      <c r="A1108" s="26" t="n">
        <v>45754</v>
      </c>
      <c r="B1108" s="14" t="inlineStr">
        <is>
          <t>NB-0011</t>
        </is>
      </c>
      <c r="C1108" s="14" t="n">
        <v>10</v>
      </c>
      <c r="D1108" s="14">
        <f>IF(A1108&gt;LastWeek-364,1,0)</f>
        <v/>
      </c>
      <c r="E1108" s="14">
        <f>C1108^2*D1108</f>
        <v/>
      </c>
    </row>
    <row r="1109">
      <c r="A1109" s="26" t="n">
        <v>45761</v>
      </c>
      <c r="B1109" s="14" t="inlineStr">
        <is>
          <t>NB-0011</t>
        </is>
      </c>
      <c r="C1109" s="14" t="n">
        <v>14</v>
      </c>
      <c r="D1109" s="14">
        <f>IF(A1109&gt;LastWeek-364,1,0)</f>
        <v/>
      </c>
      <c r="E1109" s="14">
        <f>C1109^2*D1109</f>
        <v/>
      </c>
    </row>
    <row r="1110">
      <c r="A1110" s="26" t="n">
        <v>45768</v>
      </c>
      <c r="B1110" s="14" t="inlineStr">
        <is>
          <t>NB-0011</t>
        </is>
      </c>
      <c r="C1110" s="14" t="n">
        <v>13</v>
      </c>
      <c r="D1110" s="14">
        <f>IF(A1110&gt;LastWeek-364,1,0)</f>
        <v/>
      </c>
      <c r="E1110" s="14">
        <f>C1110^2*D1110</f>
        <v/>
      </c>
    </row>
    <row r="1111">
      <c r="A1111" s="26" t="n">
        <v>45775</v>
      </c>
      <c r="B1111" s="14" t="inlineStr">
        <is>
          <t>NB-0011</t>
        </is>
      </c>
      <c r="C1111" s="14" t="n">
        <v>10</v>
      </c>
      <c r="D1111" s="14">
        <f>IF(A1111&gt;LastWeek-364,1,0)</f>
        <v/>
      </c>
      <c r="E1111" s="14">
        <f>C1111^2*D1111</f>
        <v/>
      </c>
    </row>
    <row r="1112">
      <c r="A1112" s="26" t="n">
        <v>45782</v>
      </c>
      <c r="B1112" s="14" t="inlineStr">
        <is>
          <t>NB-0011</t>
        </is>
      </c>
      <c r="C1112" s="14" t="n">
        <v>13</v>
      </c>
      <c r="D1112" s="14">
        <f>IF(A1112&gt;LastWeek-364,1,0)</f>
        <v/>
      </c>
      <c r="E1112" s="14">
        <f>C1112^2*D1112</f>
        <v/>
      </c>
    </row>
    <row r="1113">
      <c r="A1113" s="26" t="n">
        <v>45789</v>
      </c>
      <c r="B1113" s="14" t="inlineStr">
        <is>
          <t>NB-0011</t>
        </is>
      </c>
      <c r="C1113" s="14" t="n">
        <v>13</v>
      </c>
      <c r="D1113" s="14">
        <f>IF(A1113&gt;LastWeek-364,1,0)</f>
        <v/>
      </c>
      <c r="E1113" s="14">
        <f>C1113^2*D1113</f>
        <v/>
      </c>
    </row>
    <row r="1114">
      <c r="A1114" s="26" t="n">
        <v>45796</v>
      </c>
      <c r="B1114" s="14" t="inlineStr">
        <is>
          <t>NB-0011</t>
        </is>
      </c>
      <c r="C1114" s="14" t="n">
        <v>13</v>
      </c>
      <c r="D1114" s="14">
        <f>IF(A1114&gt;LastWeek-364,1,0)</f>
        <v/>
      </c>
      <c r="E1114" s="14">
        <f>C1114^2*D1114</f>
        <v/>
      </c>
    </row>
    <row r="1115">
      <c r="A1115" s="26" t="n">
        <v>45803</v>
      </c>
      <c r="B1115" s="14" t="inlineStr">
        <is>
          <t>NB-0011</t>
        </is>
      </c>
      <c r="C1115" s="14" t="n">
        <v>13</v>
      </c>
      <c r="D1115" s="14">
        <f>IF(A1115&gt;LastWeek-364,1,0)</f>
        <v/>
      </c>
      <c r="E1115" s="14">
        <f>C1115^2*D1115</f>
        <v/>
      </c>
    </row>
    <row r="1116">
      <c r="A1116" s="26" t="n">
        <v>45810</v>
      </c>
      <c r="B1116" s="14" t="inlineStr">
        <is>
          <t>NB-0011</t>
        </is>
      </c>
      <c r="C1116" s="14" t="n">
        <v>13</v>
      </c>
      <c r="D1116" s="14">
        <f>IF(A1116&gt;LastWeek-364,1,0)</f>
        <v/>
      </c>
      <c r="E1116" s="14">
        <f>C1116^2*D1116</f>
        <v/>
      </c>
    </row>
    <row r="1117">
      <c r="A1117" s="26" t="n">
        <v>45817</v>
      </c>
      <c r="B1117" s="14" t="inlineStr">
        <is>
          <t>NB-0011</t>
        </is>
      </c>
      <c r="C1117" s="14" t="n">
        <v>15</v>
      </c>
      <c r="D1117" s="14">
        <f>IF(A1117&gt;LastWeek-364,1,0)</f>
        <v/>
      </c>
      <c r="E1117" s="14">
        <f>C1117^2*D1117</f>
        <v/>
      </c>
    </row>
    <row r="1118">
      <c r="A1118" s="26" t="n">
        <v>45824</v>
      </c>
      <c r="B1118" s="14" t="inlineStr">
        <is>
          <t>NB-0011</t>
        </is>
      </c>
      <c r="C1118" s="14" t="n">
        <v>14</v>
      </c>
      <c r="D1118" s="14">
        <f>IF(A1118&gt;LastWeek-364,1,0)</f>
        <v/>
      </c>
      <c r="E1118" s="14">
        <f>C1118^2*D1118</f>
        <v/>
      </c>
    </row>
    <row r="1119">
      <c r="A1119" s="26" t="n">
        <v>45831</v>
      </c>
      <c r="B1119" s="14" t="inlineStr">
        <is>
          <t>NB-0011</t>
        </is>
      </c>
      <c r="C1119" s="14" t="n">
        <v>8</v>
      </c>
      <c r="D1119" s="14">
        <f>IF(A1119&gt;LastWeek-364,1,0)</f>
        <v/>
      </c>
      <c r="E1119" s="14">
        <f>C1119^2*D1119</f>
        <v/>
      </c>
    </row>
    <row r="1120">
      <c r="A1120" s="26" t="n">
        <v>45838</v>
      </c>
      <c r="B1120" s="14" t="inlineStr">
        <is>
          <t>NB-0011</t>
        </is>
      </c>
      <c r="C1120" s="14" t="n">
        <v>12</v>
      </c>
      <c r="D1120" s="14">
        <f>IF(A1120&gt;LastWeek-364,1,0)</f>
        <v/>
      </c>
      <c r="E1120" s="14">
        <f>C1120^2*D1120</f>
        <v/>
      </c>
    </row>
    <row r="1121">
      <c r="A1121" s="26" t="n">
        <v>45845</v>
      </c>
      <c r="B1121" s="14" t="inlineStr">
        <is>
          <t>NB-0011</t>
        </is>
      </c>
      <c r="C1121" s="14" t="n">
        <v>12</v>
      </c>
      <c r="D1121" s="14">
        <f>IF(A1121&gt;LastWeek-364,1,0)</f>
        <v/>
      </c>
      <c r="E1121" s="14">
        <f>C1121^2*D1121</f>
        <v/>
      </c>
    </row>
    <row r="1122">
      <c r="A1122" s="26" t="n">
        <v>45852</v>
      </c>
      <c r="B1122" s="14" t="inlineStr">
        <is>
          <t>NB-0011</t>
        </is>
      </c>
      <c r="C1122" s="14" t="n">
        <v>10</v>
      </c>
      <c r="D1122" s="14">
        <f>IF(A1122&gt;LastWeek-364,1,0)</f>
        <v/>
      </c>
      <c r="E1122" s="14">
        <f>C1122^2*D1122</f>
        <v/>
      </c>
    </row>
    <row r="1123">
      <c r="A1123" s="26" t="n">
        <v>45859</v>
      </c>
      <c r="B1123" s="14" t="inlineStr">
        <is>
          <t>NB-0011</t>
        </is>
      </c>
      <c r="C1123" s="14" t="n">
        <v>13</v>
      </c>
      <c r="D1123" s="14">
        <f>IF(A1123&gt;LastWeek-364,1,0)</f>
        <v/>
      </c>
      <c r="E1123" s="14">
        <f>C1123^2*D1123</f>
        <v/>
      </c>
    </row>
    <row r="1124">
      <c r="A1124" s="26" t="n">
        <v>45866</v>
      </c>
      <c r="B1124" s="14" t="inlineStr">
        <is>
          <t>NB-0011</t>
        </is>
      </c>
      <c r="C1124" s="14" t="n">
        <v>14</v>
      </c>
      <c r="D1124" s="14">
        <f>IF(A1124&gt;LastWeek-364,1,0)</f>
        <v/>
      </c>
      <c r="E1124" s="14">
        <f>C1124^2*D1124</f>
        <v/>
      </c>
    </row>
    <row r="1125">
      <c r="A1125" s="26" t="n">
        <v>45873</v>
      </c>
      <c r="B1125" s="14" t="inlineStr">
        <is>
          <t>NB-0011</t>
        </is>
      </c>
      <c r="C1125" s="14" t="n">
        <v>11</v>
      </c>
      <c r="D1125" s="14">
        <f>IF(A1125&gt;LastWeek-364,1,0)</f>
        <v/>
      </c>
      <c r="E1125" s="14">
        <f>C1125^2*D1125</f>
        <v/>
      </c>
    </row>
    <row r="1126">
      <c r="A1126" s="26" t="n">
        <v>45880</v>
      </c>
      <c r="B1126" s="14" t="inlineStr">
        <is>
          <t>NB-0011</t>
        </is>
      </c>
      <c r="C1126" s="14" t="n">
        <v>13</v>
      </c>
      <c r="D1126" s="14">
        <f>IF(A1126&gt;LastWeek-364,1,0)</f>
        <v/>
      </c>
      <c r="E1126" s="14">
        <f>C1126^2*D1126</f>
        <v/>
      </c>
    </row>
    <row r="1127">
      <c r="A1127" s="26" t="n">
        <v>45887</v>
      </c>
      <c r="B1127" s="14" t="inlineStr">
        <is>
          <t>NB-0011</t>
        </is>
      </c>
      <c r="C1127" s="14" t="n">
        <v>11</v>
      </c>
      <c r="D1127" s="14">
        <f>IF(A1127&gt;LastWeek-364,1,0)</f>
        <v/>
      </c>
      <c r="E1127" s="14">
        <f>C1127^2*D1127</f>
        <v/>
      </c>
    </row>
    <row r="1128">
      <c r="A1128" s="26" t="n">
        <v>45894</v>
      </c>
      <c r="B1128" s="14" t="inlineStr">
        <is>
          <t>NB-0011</t>
        </is>
      </c>
      <c r="C1128" s="14" t="n">
        <v>11</v>
      </c>
      <c r="D1128" s="14">
        <f>IF(A1128&gt;LastWeek-364,1,0)</f>
        <v/>
      </c>
      <c r="E1128" s="14">
        <f>C1128^2*D1128</f>
        <v/>
      </c>
    </row>
    <row r="1129">
      <c r="A1129" s="26" t="n">
        <v>45901</v>
      </c>
      <c r="B1129" s="14" t="inlineStr">
        <is>
          <t>NB-0011</t>
        </is>
      </c>
      <c r="C1129" s="14" t="n">
        <v>15</v>
      </c>
      <c r="D1129" s="14">
        <f>IF(A1129&gt;LastWeek-364,1,0)</f>
        <v/>
      </c>
      <c r="E1129" s="14">
        <f>C1129^2*D1129</f>
        <v/>
      </c>
    </row>
    <row r="1130">
      <c r="A1130" s="26" t="n">
        <v>45908</v>
      </c>
      <c r="B1130" s="14" t="inlineStr">
        <is>
          <t>NB-0011</t>
        </is>
      </c>
      <c r="C1130" s="14" t="n">
        <v>12</v>
      </c>
      <c r="D1130" s="14">
        <f>IF(A1130&gt;LastWeek-364,1,0)</f>
        <v/>
      </c>
      <c r="E1130" s="14">
        <f>C1130^2*D1130</f>
        <v/>
      </c>
    </row>
    <row r="1131">
      <c r="A1131" s="26" t="n">
        <v>45915</v>
      </c>
      <c r="B1131" s="14" t="inlineStr">
        <is>
          <t>NB-0011</t>
        </is>
      </c>
      <c r="C1131" s="14" t="n">
        <v>13</v>
      </c>
      <c r="D1131" s="14">
        <f>IF(A1131&gt;LastWeek-364,1,0)</f>
        <v/>
      </c>
      <c r="E1131" s="14">
        <f>C1131^2*D1131</f>
        <v/>
      </c>
    </row>
    <row r="1132">
      <c r="A1132" s="26" t="n">
        <v>45922</v>
      </c>
      <c r="B1132" s="14" t="inlineStr">
        <is>
          <t>NB-0011</t>
        </is>
      </c>
      <c r="C1132" s="14" t="n">
        <v>10</v>
      </c>
      <c r="D1132" s="14">
        <f>IF(A1132&gt;LastWeek-364,1,0)</f>
        <v/>
      </c>
      <c r="E1132" s="14">
        <f>C1132^2*D1132</f>
        <v/>
      </c>
    </row>
    <row r="1133">
      <c r="A1133" s="26" t="n">
        <v>45929</v>
      </c>
      <c r="B1133" s="14" t="inlineStr">
        <is>
          <t>NB-0011</t>
        </is>
      </c>
      <c r="C1133" s="14" t="n">
        <v>16</v>
      </c>
      <c r="D1133" s="14">
        <f>IF(A1133&gt;LastWeek-364,1,0)</f>
        <v/>
      </c>
      <c r="E1133" s="14">
        <f>C1133^2*D1133</f>
        <v/>
      </c>
    </row>
    <row r="1134">
      <c r="A1134" s="26" t="n">
        <v>45936</v>
      </c>
      <c r="B1134" s="14" t="inlineStr">
        <is>
          <t>NB-0011</t>
        </is>
      </c>
      <c r="C1134" s="14" t="n">
        <v>14</v>
      </c>
      <c r="D1134" s="14">
        <f>IF(A1134&gt;LastWeek-364,1,0)</f>
        <v/>
      </c>
      <c r="E1134" s="14">
        <f>C1134^2*D1134</f>
        <v/>
      </c>
    </row>
    <row r="1135">
      <c r="A1135" s="26" t="n">
        <v>45943</v>
      </c>
      <c r="B1135" s="14" t="inlineStr">
        <is>
          <t>NB-0011</t>
        </is>
      </c>
      <c r="C1135" s="14" t="n">
        <v>13</v>
      </c>
      <c r="D1135" s="14">
        <f>IF(A1135&gt;LastWeek-364,1,0)</f>
        <v/>
      </c>
      <c r="E1135" s="14">
        <f>C1135^2*D1135</f>
        <v/>
      </c>
    </row>
    <row r="1136">
      <c r="A1136" s="26" t="n">
        <v>45950</v>
      </c>
      <c r="B1136" s="14" t="inlineStr">
        <is>
          <t>NB-0011</t>
        </is>
      </c>
      <c r="C1136" s="14" t="n">
        <v>14</v>
      </c>
      <c r="D1136" s="14">
        <f>IF(A1136&gt;LastWeek-364,1,0)</f>
        <v/>
      </c>
      <c r="E1136" s="14">
        <f>C1136^2*D1136</f>
        <v/>
      </c>
    </row>
    <row r="1137">
      <c r="A1137" s="26" t="n">
        <v>45957</v>
      </c>
      <c r="B1137" s="14" t="inlineStr">
        <is>
          <t>NB-0011</t>
        </is>
      </c>
      <c r="C1137" s="14" t="n">
        <v>11</v>
      </c>
      <c r="D1137" s="14">
        <f>IF(A1137&gt;LastWeek-364,1,0)</f>
        <v/>
      </c>
      <c r="E1137" s="14">
        <f>C1137^2*D1137</f>
        <v/>
      </c>
    </row>
    <row r="1138">
      <c r="A1138" s="26" t="n">
        <v>45964</v>
      </c>
      <c r="B1138" s="14" t="inlineStr">
        <is>
          <t>NB-0011</t>
        </is>
      </c>
      <c r="C1138" s="14" t="n">
        <v>15</v>
      </c>
      <c r="D1138" s="14">
        <f>IF(A1138&gt;LastWeek-364,1,0)</f>
        <v/>
      </c>
      <c r="E1138" s="14">
        <f>C1138^2*D1138</f>
        <v/>
      </c>
    </row>
    <row r="1139">
      <c r="A1139" s="26" t="n">
        <v>45971</v>
      </c>
      <c r="B1139" s="14" t="inlineStr">
        <is>
          <t>NB-0011</t>
        </is>
      </c>
      <c r="C1139" s="14" t="n">
        <v>12</v>
      </c>
      <c r="D1139" s="14">
        <f>IF(A1139&gt;LastWeek-364,1,0)</f>
        <v/>
      </c>
      <c r="E1139" s="14">
        <f>C1139^2*D1139</f>
        <v/>
      </c>
    </row>
    <row r="1140">
      <c r="A1140" s="26" t="n">
        <v>45978</v>
      </c>
      <c r="B1140" s="14" t="inlineStr">
        <is>
          <t>NB-0011</t>
        </is>
      </c>
      <c r="C1140" s="14" t="n">
        <v>13</v>
      </c>
      <c r="D1140" s="14">
        <f>IF(A1140&gt;LastWeek-364,1,0)</f>
        <v/>
      </c>
      <c r="E1140" s="14">
        <f>C1140^2*D1140</f>
        <v/>
      </c>
    </row>
    <row r="1141">
      <c r="A1141" s="26" t="n">
        <v>45985</v>
      </c>
      <c r="B1141" s="14" t="inlineStr">
        <is>
          <t>NB-0011</t>
        </is>
      </c>
      <c r="C1141" s="14" t="n">
        <v>12</v>
      </c>
      <c r="D1141" s="14">
        <f>IF(A1141&gt;LastWeek-364,1,0)</f>
        <v/>
      </c>
      <c r="E1141" s="14">
        <f>C1141^2*D1141</f>
        <v/>
      </c>
    </row>
    <row r="1142">
      <c r="A1142" s="26" t="n">
        <v>45992</v>
      </c>
      <c r="B1142" s="14" t="inlineStr">
        <is>
          <t>NB-0011</t>
        </is>
      </c>
      <c r="C1142" s="14" t="n">
        <v>12</v>
      </c>
      <c r="D1142" s="14">
        <f>IF(A1142&gt;LastWeek-364,1,0)</f>
        <v/>
      </c>
      <c r="E1142" s="14">
        <f>C1142^2*D1142</f>
        <v/>
      </c>
    </row>
    <row r="1143">
      <c r="A1143" s="26" t="n">
        <v>45999</v>
      </c>
      <c r="B1143" s="14" t="inlineStr">
        <is>
          <t>NB-0011</t>
        </is>
      </c>
      <c r="C1143" s="14" t="n">
        <v>14</v>
      </c>
      <c r="D1143" s="14">
        <f>IF(A1143&gt;LastWeek-364,1,0)</f>
        <v/>
      </c>
      <c r="E1143" s="14">
        <f>C1143^2*D1143</f>
        <v/>
      </c>
    </row>
    <row r="1144">
      <c r="A1144" s="26" t="n">
        <v>46006</v>
      </c>
      <c r="B1144" s="14" t="inlineStr">
        <is>
          <t>NB-0011</t>
        </is>
      </c>
      <c r="C1144" s="14" t="n">
        <v>14</v>
      </c>
      <c r="D1144" s="14">
        <f>IF(A1144&gt;LastWeek-364,1,0)</f>
        <v/>
      </c>
      <c r="E1144" s="14">
        <f>C1144^2*D1144</f>
        <v/>
      </c>
    </row>
    <row r="1145">
      <c r="A1145" s="26" t="n">
        <v>46013</v>
      </c>
      <c r="B1145" s="14" t="inlineStr">
        <is>
          <t>NB-0011</t>
        </is>
      </c>
      <c r="C1145" s="14" t="n">
        <v>14</v>
      </c>
      <c r="D1145" s="14">
        <f>IF(A1145&gt;LastWeek-364,1,0)</f>
        <v/>
      </c>
      <c r="E1145" s="14">
        <f>C1145^2*D1145</f>
        <v/>
      </c>
    </row>
    <row r="1146">
      <c r="A1146" s="26" t="n">
        <v>45292</v>
      </c>
      <c r="B1146" s="14" t="inlineStr">
        <is>
          <t>NB-0012</t>
        </is>
      </c>
      <c r="C1146" s="14" t="n">
        <v>4</v>
      </c>
      <c r="D1146" s="14">
        <f>IF(A1146&gt;LastWeek-364,1,0)</f>
        <v/>
      </c>
      <c r="E1146" s="14">
        <f>C1146^2*D1146</f>
        <v/>
      </c>
    </row>
    <row r="1147">
      <c r="A1147" s="26" t="n">
        <v>45299</v>
      </c>
      <c r="B1147" s="14" t="inlineStr">
        <is>
          <t>NB-0012</t>
        </is>
      </c>
      <c r="C1147" s="14" t="n">
        <v>4</v>
      </c>
      <c r="D1147" s="14">
        <f>IF(A1147&gt;LastWeek-364,1,0)</f>
        <v/>
      </c>
      <c r="E1147" s="14">
        <f>C1147^2*D1147</f>
        <v/>
      </c>
    </row>
    <row r="1148">
      <c r="A1148" s="26" t="n">
        <v>45306</v>
      </c>
      <c r="B1148" s="14" t="inlineStr">
        <is>
          <t>NB-0012</t>
        </is>
      </c>
      <c r="C1148" s="14" t="n">
        <v>3</v>
      </c>
      <c r="D1148" s="14">
        <f>IF(A1148&gt;LastWeek-364,1,0)</f>
        <v/>
      </c>
      <c r="E1148" s="14">
        <f>C1148^2*D1148</f>
        <v/>
      </c>
    </row>
    <row r="1149">
      <c r="A1149" s="26" t="n">
        <v>45313</v>
      </c>
      <c r="B1149" s="14" t="inlineStr">
        <is>
          <t>NB-0012</t>
        </is>
      </c>
      <c r="C1149" s="14" t="n">
        <v>6</v>
      </c>
      <c r="D1149" s="14">
        <f>IF(A1149&gt;LastWeek-364,1,0)</f>
        <v/>
      </c>
      <c r="E1149" s="14">
        <f>C1149^2*D1149</f>
        <v/>
      </c>
    </row>
    <row r="1150">
      <c r="A1150" s="26" t="n">
        <v>45320</v>
      </c>
      <c r="B1150" s="14" t="inlineStr">
        <is>
          <t>NB-0012</t>
        </is>
      </c>
      <c r="C1150" s="14" t="n">
        <v>2</v>
      </c>
      <c r="D1150" s="14">
        <f>IF(A1150&gt;LastWeek-364,1,0)</f>
        <v/>
      </c>
      <c r="E1150" s="14">
        <f>C1150^2*D1150</f>
        <v/>
      </c>
    </row>
    <row r="1151">
      <c r="A1151" s="26" t="n">
        <v>45327</v>
      </c>
      <c r="B1151" s="14" t="inlineStr">
        <is>
          <t>NB-0012</t>
        </is>
      </c>
      <c r="C1151" s="14" t="n">
        <v>5</v>
      </c>
      <c r="D1151" s="14">
        <f>IF(A1151&gt;LastWeek-364,1,0)</f>
        <v/>
      </c>
      <c r="E1151" s="14">
        <f>C1151^2*D1151</f>
        <v/>
      </c>
    </row>
    <row r="1152">
      <c r="A1152" s="26" t="n">
        <v>45334</v>
      </c>
      <c r="B1152" s="14" t="inlineStr">
        <is>
          <t>NB-0012</t>
        </is>
      </c>
      <c r="C1152" s="14" t="n">
        <v>5</v>
      </c>
      <c r="D1152" s="14">
        <f>IF(A1152&gt;LastWeek-364,1,0)</f>
        <v/>
      </c>
      <c r="E1152" s="14">
        <f>C1152^2*D1152</f>
        <v/>
      </c>
    </row>
    <row r="1153">
      <c r="A1153" s="26" t="n">
        <v>45341</v>
      </c>
      <c r="B1153" s="14" t="inlineStr">
        <is>
          <t>NB-0012</t>
        </is>
      </c>
      <c r="C1153" s="14" t="n">
        <v>2</v>
      </c>
      <c r="D1153" s="14">
        <f>IF(A1153&gt;LastWeek-364,1,0)</f>
        <v/>
      </c>
      <c r="E1153" s="14">
        <f>C1153^2*D1153</f>
        <v/>
      </c>
    </row>
    <row r="1154">
      <c r="A1154" s="26" t="n">
        <v>45348</v>
      </c>
      <c r="B1154" s="14" t="inlineStr">
        <is>
          <t>NB-0012</t>
        </is>
      </c>
      <c r="C1154" s="14" t="n">
        <v>6</v>
      </c>
      <c r="D1154" s="14">
        <f>IF(A1154&gt;LastWeek-364,1,0)</f>
        <v/>
      </c>
      <c r="E1154" s="14">
        <f>C1154^2*D1154</f>
        <v/>
      </c>
    </row>
    <row r="1155">
      <c r="A1155" s="26" t="n">
        <v>45355</v>
      </c>
      <c r="B1155" s="14" t="inlineStr">
        <is>
          <t>NB-0012</t>
        </is>
      </c>
      <c r="C1155" s="14" t="n">
        <v>5</v>
      </c>
      <c r="D1155" s="14">
        <f>IF(A1155&gt;LastWeek-364,1,0)</f>
        <v/>
      </c>
      <c r="E1155" s="14">
        <f>C1155^2*D1155</f>
        <v/>
      </c>
    </row>
    <row r="1156">
      <c r="A1156" s="26" t="n">
        <v>45362</v>
      </c>
      <c r="B1156" s="14" t="inlineStr">
        <is>
          <t>NB-0012</t>
        </is>
      </c>
      <c r="C1156" s="14" t="n">
        <v>5</v>
      </c>
      <c r="D1156" s="14">
        <f>IF(A1156&gt;LastWeek-364,1,0)</f>
        <v/>
      </c>
      <c r="E1156" s="14">
        <f>C1156^2*D1156</f>
        <v/>
      </c>
    </row>
    <row r="1157">
      <c r="A1157" s="26" t="n">
        <v>45369</v>
      </c>
      <c r="B1157" s="14" t="inlineStr">
        <is>
          <t>NB-0012</t>
        </is>
      </c>
      <c r="C1157" s="14" t="n">
        <v>4</v>
      </c>
      <c r="D1157" s="14">
        <f>IF(A1157&gt;LastWeek-364,1,0)</f>
        <v/>
      </c>
      <c r="E1157" s="14">
        <f>C1157^2*D1157</f>
        <v/>
      </c>
    </row>
    <row r="1158">
      <c r="A1158" s="26" t="n">
        <v>45376</v>
      </c>
      <c r="B1158" s="14" t="inlineStr">
        <is>
          <t>NB-0012</t>
        </is>
      </c>
      <c r="C1158" s="14" t="n">
        <v>3</v>
      </c>
      <c r="D1158" s="14">
        <f>IF(A1158&gt;LastWeek-364,1,0)</f>
        <v/>
      </c>
      <c r="E1158" s="14">
        <f>C1158^2*D1158</f>
        <v/>
      </c>
    </row>
    <row r="1159">
      <c r="A1159" s="26" t="n">
        <v>45383</v>
      </c>
      <c r="B1159" s="14" t="inlineStr">
        <is>
          <t>NB-0012</t>
        </is>
      </c>
      <c r="C1159" s="14" t="n">
        <v>3</v>
      </c>
      <c r="D1159" s="14">
        <f>IF(A1159&gt;LastWeek-364,1,0)</f>
        <v/>
      </c>
      <c r="E1159" s="14">
        <f>C1159^2*D1159</f>
        <v/>
      </c>
    </row>
    <row r="1160">
      <c r="A1160" s="26" t="n">
        <v>45390</v>
      </c>
      <c r="B1160" s="14" t="inlineStr">
        <is>
          <t>NB-0012</t>
        </is>
      </c>
      <c r="C1160" s="14" t="n">
        <v>4</v>
      </c>
      <c r="D1160" s="14">
        <f>IF(A1160&gt;LastWeek-364,1,0)</f>
        <v/>
      </c>
      <c r="E1160" s="14">
        <f>C1160^2*D1160</f>
        <v/>
      </c>
    </row>
    <row r="1161">
      <c r="A1161" s="26" t="n">
        <v>45397</v>
      </c>
      <c r="B1161" s="14" t="inlineStr">
        <is>
          <t>NB-0012</t>
        </is>
      </c>
      <c r="C1161" s="14" t="n">
        <v>5</v>
      </c>
      <c r="D1161" s="14">
        <f>IF(A1161&gt;LastWeek-364,1,0)</f>
        <v/>
      </c>
      <c r="E1161" s="14">
        <f>C1161^2*D1161</f>
        <v/>
      </c>
    </row>
    <row r="1162">
      <c r="A1162" s="26" t="n">
        <v>45404</v>
      </c>
      <c r="B1162" s="14" t="inlineStr">
        <is>
          <t>NB-0012</t>
        </is>
      </c>
      <c r="C1162" s="14" t="n">
        <v>4</v>
      </c>
      <c r="D1162" s="14">
        <f>IF(A1162&gt;LastWeek-364,1,0)</f>
        <v/>
      </c>
      <c r="E1162" s="14">
        <f>C1162^2*D1162</f>
        <v/>
      </c>
    </row>
    <row r="1163">
      <c r="A1163" s="26" t="n">
        <v>45411</v>
      </c>
      <c r="B1163" s="14" t="inlineStr">
        <is>
          <t>NB-0012</t>
        </is>
      </c>
      <c r="C1163" s="14" t="n">
        <v>2</v>
      </c>
      <c r="D1163" s="14">
        <f>IF(A1163&gt;LastWeek-364,1,0)</f>
        <v/>
      </c>
      <c r="E1163" s="14">
        <f>C1163^2*D1163</f>
        <v/>
      </c>
    </row>
    <row r="1164">
      <c r="A1164" s="26" t="n">
        <v>45418</v>
      </c>
      <c r="B1164" s="14" t="inlineStr">
        <is>
          <t>NB-0012</t>
        </is>
      </c>
      <c r="C1164" s="14" t="n">
        <v>4</v>
      </c>
      <c r="D1164" s="14">
        <f>IF(A1164&gt;LastWeek-364,1,0)</f>
        <v/>
      </c>
      <c r="E1164" s="14">
        <f>C1164^2*D1164</f>
        <v/>
      </c>
    </row>
    <row r="1165">
      <c r="A1165" s="26" t="n">
        <v>45425</v>
      </c>
      <c r="B1165" s="14" t="inlineStr">
        <is>
          <t>NB-0012</t>
        </is>
      </c>
      <c r="C1165" s="14" t="n">
        <v>5</v>
      </c>
      <c r="D1165" s="14">
        <f>IF(A1165&gt;LastWeek-364,1,0)</f>
        <v/>
      </c>
      <c r="E1165" s="14">
        <f>C1165^2*D1165</f>
        <v/>
      </c>
    </row>
    <row r="1166">
      <c r="A1166" s="26" t="n">
        <v>45432</v>
      </c>
      <c r="B1166" s="14" t="inlineStr">
        <is>
          <t>NB-0012</t>
        </is>
      </c>
      <c r="C1166" s="14" t="n">
        <v>4</v>
      </c>
      <c r="D1166" s="14">
        <f>IF(A1166&gt;LastWeek-364,1,0)</f>
        <v/>
      </c>
      <c r="E1166" s="14">
        <f>C1166^2*D1166</f>
        <v/>
      </c>
    </row>
    <row r="1167">
      <c r="A1167" s="26" t="n">
        <v>45439</v>
      </c>
      <c r="B1167" s="14" t="inlineStr">
        <is>
          <t>NB-0012</t>
        </is>
      </c>
      <c r="C1167" s="14" t="n">
        <v>4</v>
      </c>
      <c r="D1167" s="14">
        <f>IF(A1167&gt;LastWeek-364,1,0)</f>
        <v/>
      </c>
      <c r="E1167" s="14">
        <f>C1167^2*D1167</f>
        <v/>
      </c>
    </row>
    <row r="1168">
      <c r="A1168" s="26" t="n">
        <v>45446</v>
      </c>
      <c r="B1168" s="14" t="inlineStr">
        <is>
          <t>NB-0012</t>
        </is>
      </c>
      <c r="C1168" s="14" t="n">
        <v>3</v>
      </c>
      <c r="D1168" s="14">
        <f>IF(A1168&gt;LastWeek-364,1,0)</f>
        <v/>
      </c>
      <c r="E1168" s="14">
        <f>C1168^2*D1168</f>
        <v/>
      </c>
    </row>
    <row r="1169">
      <c r="A1169" s="26" t="n">
        <v>45453</v>
      </c>
      <c r="B1169" s="14" t="inlineStr">
        <is>
          <t>NB-0012</t>
        </is>
      </c>
      <c r="C1169" s="14" t="n">
        <v>2</v>
      </c>
      <c r="D1169" s="14">
        <f>IF(A1169&gt;LastWeek-364,1,0)</f>
        <v/>
      </c>
      <c r="E1169" s="14">
        <f>C1169^2*D1169</f>
        <v/>
      </c>
    </row>
    <row r="1170">
      <c r="A1170" s="26" t="n">
        <v>45460</v>
      </c>
      <c r="B1170" s="14" t="inlineStr">
        <is>
          <t>NB-0012</t>
        </is>
      </c>
      <c r="C1170" s="14" t="n">
        <v>2</v>
      </c>
      <c r="D1170" s="14">
        <f>IF(A1170&gt;LastWeek-364,1,0)</f>
        <v/>
      </c>
      <c r="E1170" s="14">
        <f>C1170^2*D1170</f>
        <v/>
      </c>
    </row>
    <row r="1171">
      <c r="A1171" s="26" t="n">
        <v>45467</v>
      </c>
      <c r="B1171" s="14" t="inlineStr">
        <is>
          <t>NB-0012</t>
        </is>
      </c>
      <c r="C1171" s="14" t="n">
        <v>1</v>
      </c>
      <c r="D1171" s="14">
        <f>IF(A1171&gt;LastWeek-364,1,0)</f>
        <v/>
      </c>
      <c r="E1171" s="14">
        <f>C1171^2*D1171</f>
        <v/>
      </c>
    </row>
    <row r="1172">
      <c r="A1172" s="26" t="n">
        <v>45474</v>
      </c>
      <c r="B1172" s="14" t="inlineStr">
        <is>
          <t>NB-0012</t>
        </is>
      </c>
      <c r="C1172" s="14" t="n">
        <v>4</v>
      </c>
      <c r="D1172" s="14">
        <f>IF(A1172&gt;LastWeek-364,1,0)</f>
        <v/>
      </c>
      <c r="E1172" s="14">
        <f>C1172^2*D1172</f>
        <v/>
      </c>
    </row>
    <row r="1173">
      <c r="A1173" s="26" t="n">
        <v>45481</v>
      </c>
      <c r="B1173" s="14" t="inlineStr">
        <is>
          <t>NB-0012</t>
        </is>
      </c>
      <c r="C1173" s="14" t="n">
        <v>3</v>
      </c>
      <c r="D1173" s="14">
        <f>IF(A1173&gt;LastWeek-364,1,0)</f>
        <v/>
      </c>
      <c r="E1173" s="14">
        <f>C1173^2*D1173</f>
        <v/>
      </c>
    </row>
    <row r="1174">
      <c r="A1174" s="26" t="n">
        <v>45488</v>
      </c>
      <c r="B1174" s="14" t="inlineStr">
        <is>
          <t>NB-0012</t>
        </is>
      </c>
      <c r="C1174" s="14" t="n">
        <v>3</v>
      </c>
      <c r="D1174" s="14">
        <f>IF(A1174&gt;LastWeek-364,1,0)</f>
        <v/>
      </c>
      <c r="E1174" s="14">
        <f>C1174^2*D1174</f>
        <v/>
      </c>
    </row>
    <row r="1175">
      <c r="A1175" s="26" t="n">
        <v>45495</v>
      </c>
      <c r="B1175" s="14" t="inlineStr">
        <is>
          <t>NB-0012</t>
        </is>
      </c>
      <c r="C1175" s="14" t="n">
        <v>0</v>
      </c>
      <c r="D1175" s="14">
        <f>IF(A1175&gt;LastWeek-364,1,0)</f>
        <v/>
      </c>
      <c r="E1175" s="14">
        <f>C1175^2*D1175</f>
        <v/>
      </c>
    </row>
    <row r="1176">
      <c r="A1176" s="26" t="n">
        <v>45502</v>
      </c>
      <c r="B1176" s="14" t="inlineStr">
        <is>
          <t>NB-0012</t>
        </is>
      </c>
      <c r="C1176" s="14" t="n">
        <v>2</v>
      </c>
      <c r="D1176" s="14">
        <f>IF(A1176&gt;LastWeek-364,1,0)</f>
        <v/>
      </c>
      <c r="E1176" s="14">
        <f>C1176^2*D1176</f>
        <v/>
      </c>
    </row>
    <row r="1177">
      <c r="A1177" s="26" t="n">
        <v>45509</v>
      </c>
      <c r="B1177" s="14" t="inlineStr">
        <is>
          <t>NB-0012</t>
        </is>
      </c>
      <c r="C1177" s="14" t="n">
        <v>5</v>
      </c>
      <c r="D1177" s="14">
        <f>IF(A1177&gt;LastWeek-364,1,0)</f>
        <v/>
      </c>
      <c r="E1177" s="14">
        <f>C1177^2*D1177</f>
        <v/>
      </c>
    </row>
    <row r="1178">
      <c r="A1178" s="26" t="n">
        <v>45516</v>
      </c>
      <c r="B1178" s="14" t="inlineStr">
        <is>
          <t>NB-0012</t>
        </is>
      </c>
      <c r="C1178" s="14" t="n">
        <v>3</v>
      </c>
      <c r="D1178" s="14">
        <f>IF(A1178&gt;LastWeek-364,1,0)</f>
        <v/>
      </c>
      <c r="E1178" s="14">
        <f>C1178^2*D1178</f>
        <v/>
      </c>
    </row>
    <row r="1179">
      <c r="A1179" s="26" t="n">
        <v>45523</v>
      </c>
      <c r="B1179" s="14" t="inlineStr">
        <is>
          <t>NB-0012</t>
        </is>
      </c>
      <c r="C1179" s="14" t="n">
        <v>4</v>
      </c>
      <c r="D1179" s="14">
        <f>IF(A1179&gt;LastWeek-364,1,0)</f>
        <v/>
      </c>
      <c r="E1179" s="14">
        <f>C1179^2*D1179</f>
        <v/>
      </c>
    </row>
    <row r="1180">
      <c r="A1180" s="26" t="n">
        <v>45530</v>
      </c>
      <c r="B1180" s="14" t="inlineStr">
        <is>
          <t>NB-0012</t>
        </is>
      </c>
      <c r="C1180" s="14" t="n">
        <v>2</v>
      </c>
      <c r="D1180" s="14">
        <f>IF(A1180&gt;LastWeek-364,1,0)</f>
        <v/>
      </c>
      <c r="E1180" s="14">
        <f>C1180^2*D1180</f>
        <v/>
      </c>
    </row>
    <row r="1181">
      <c r="A1181" s="26" t="n">
        <v>45537</v>
      </c>
      <c r="B1181" s="14" t="inlineStr">
        <is>
          <t>NB-0012</t>
        </is>
      </c>
      <c r="C1181" s="14" t="n">
        <v>5</v>
      </c>
      <c r="D1181" s="14">
        <f>IF(A1181&gt;LastWeek-364,1,0)</f>
        <v/>
      </c>
      <c r="E1181" s="14">
        <f>C1181^2*D1181</f>
        <v/>
      </c>
    </row>
    <row r="1182">
      <c r="A1182" s="26" t="n">
        <v>45544</v>
      </c>
      <c r="B1182" s="14" t="inlineStr">
        <is>
          <t>NB-0012</t>
        </is>
      </c>
      <c r="C1182" s="14" t="n">
        <v>3</v>
      </c>
      <c r="D1182" s="14">
        <f>IF(A1182&gt;LastWeek-364,1,0)</f>
        <v/>
      </c>
      <c r="E1182" s="14">
        <f>C1182^2*D1182</f>
        <v/>
      </c>
    </row>
    <row r="1183">
      <c r="A1183" s="26" t="n">
        <v>45551</v>
      </c>
      <c r="B1183" s="14" t="inlineStr">
        <is>
          <t>NB-0012</t>
        </is>
      </c>
      <c r="C1183" s="14" t="n">
        <v>4</v>
      </c>
      <c r="D1183" s="14">
        <f>IF(A1183&gt;LastWeek-364,1,0)</f>
        <v/>
      </c>
      <c r="E1183" s="14">
        <f>C1183^2*D1183</f>
        <v/>
      </c>
    </row>
    <row r="1184">
      <c r="A1184" s="26" t="n">
        <v>45558</v>
      </c>
      <c r="B1184" s="14" t="inlineStr">
        <is>
          <t>NB-0012</t>
        </is>
      </c>
      <c r="C1184" s="14" t="n">
        <v>7</v>
      </c>
      <c r="D1184" s="14">
        <f>IF(A1184&gt;LastWeek-364,1,0)</f>
        <v/>
      </c>
      <c r="E1184" s="14">
        <f>C1184^2*D1184</f>
        <v/>
      </c>
    </row>
    <row r="1185">
      <c r="A1185" s="26" t="n">
        <v>45565</v>
      </c>
      <c r="B1185" s="14" t="inlineStr">
        <is>
          <t>NB-0012</t>
        </is>
      </c>
      <c r="C1185" s="14" t="n">
        <v>6</v>
      </c>
      <c r="D1185" s="14">
        <f>IF(A1185&gt;LastWeek-364,1,0)</f>
        <v/>
      </c>
      <c r="E1185" s="14">
        <f>C1185^2*D1185</f>
        <v/>
      </c>
    </row>
    <row r="1186">
      <c r="A1186" s="26" t="n">
        <v>45572</v>
      </c>
      <c r="B1186" s="14" t="inlineStr">
        <is>
          <t>NB-0012</t>
        </is>
      </c>
      <c r="C1186" s="14" t="n">
        <v>3</v>
      </c>
      <c r="D1186" s="14">
        <f>IF(A1186&gt;LastWeek-364,1,0)</f>
        <v/>
      </c>
      <c r="E1186" s="14">
        <f>C1186^2*D1186</f>
        <v/>
      </c>
    </row>
    <row r="1187">
      <c r="A1187" s="26" t="n">
        <v>45579</v>
      </c>
      <c r="B1187" s="14" t="inlineStr">
        <is>
          <t>NB-0012</t>
        </is>
      </c>
      <c r="C1187" s="14" t="n">
        <v>3</v>
      </c>
      <c r="D1187" s="14">
        <f>IF(A1187&gt;LastWeek-364,1,0)</f>
        <v/>
      </c>
      <c r="E1187" s="14">
        <f>C1187^2*D1187</f>
        <v/>
      </c>
    </row>
    <row r="1188">
      <c r="A1188" s="26" t="n">
        <v>45586</v>
      </c>
      <c r="B1188" s="14" t="inlineStr">
        <is>
          <t>NB-0012</t>
        </is>
      </c>
      <c r="C1188" s="14" t="n">
        <v>3</v>
      </c>
      <c r="D1188" s="14">
        <f>IF(A1188&gt;LastWeek-364,1,0)</f>
        <v/>
      </c>
      <c r="E1188" s="14">
        <f>C1188^2*D1188</f>
        <v/>
      </c>
    </row>
    <row r="1189">
      <c r="A1189" s="26" t="n">
        <v>45593</v>
      </c>
      <c r="B1189" s="14" t="inlineStr">
        <is>
          <t>NB-0012</t>
        </is>
      </c>
      <c r="C1189" s="14" t="n">
        <v>5</v>
      </c>
      <c r="D1189" s="14">
        <f>IF(A1189&gt;LastWeek-364,1,0)</f>
        <v/>
      </c>
      <c r="E1189" s="14">
        <f>C1189^2*D1189</f>
        <v/>
      </c>
    </row>
    <row r="1190">
      <c r="A1190" s="26" t="n">
        <v>45600</v>
      </c>
      <c r="B1190" s="14" t="inlineStr">
        <is>
          <t>NB-0012</t>
        </is>
      </c>
      <c r="C1190" s="14" t="n">
        <v>4</v>
      </c>
      <c r="D1190" s="14">
        <f>IF(A1190&gt;LastWeek-364,1,0)</f>
        <v/>
      </c>
      <c r="E1190" s="14">
        <f>C1190^2*D1190</f>
        <v/>
      </c>
    </row>
    <row r="1191">
      <c r="A1191" s="26" t="n">
        <v>45607</v>
      </c>
      <c r="B1191" s="14" t="inlineStr">
        <is>
          <t>NB-0012</t>
        </is>
      </c>
      <c r="C1191" s="14" t="n">
        <v>3</v>
      </c>
      <c r="D1191" s="14">
        <f>IF(A1191&gt;LastWeek-364,1,0)</f>
        <v/>
      </c>
      <c r="E1191" s="14">
        <f>C1191^2*D1191</f>
        <v/>
      </c>
    </row>
    <row r="1192">
      <c r="A1192" s="26" t="n">
        <v>45614</v>
      </c>
      <c r="B1192" s="14" t="inlineStr">
        <is>
          <t>NB-0012</t>
        </is>
      </c>
      <c r="C1192" s="14" t="n">
        <v>6</v>
      </c>
      <c r="D1192" s="14">
        <f>IF(A1192&gt;LastWeek-364,1,0)</f>
        <v/>
      </c>
      <c r="E1192" s="14">
        <f>C1192^2*D1192</f>
        <v/>
      </c>
    </row>
    <row r="1193">
      <c r="A1193" s="26" t="n">
        <v>45621</v>
      </c>
      <c r="B1193" s="14" t="inlineStr">
        <is>
          <t>NB-0012</t>
        </is>
      </c>
      <c r="C1193" s="14" t="n">
        <v>4</v>
      </c>
      <c r="D1193" s="14">
        <f>IF(A1193&gt;LastWeek-364,1,0)</f>
        <v/>
      </c>
      <c r="E1193" s="14">
        <f>C1193^2*D1193</f>
        <v/>
      </c>
    </row>
    <row r="1194">
      <c r="A1194" s="26" t="n">
        <v>45628</v>
      </c>
      <c r="B1194" s="14" t="inlineStr">
        <is>
          <t>NB-0012</t>
        </is>
      </c>
      <c r="C1194" s="14" t="n">
        <v>7</v>
      </c>
      <c r="D1194" s="14">
        <f>IF(A1194&gt;LastWeek-364,1,0)</f>
        <v/>
      </c>
      <c r="E1194" s="14">
        <f>C1194^2*D1194</f>
        <v/>
      </c>
    </row>
    <row r="1195">
      <c r="A1195" s="26" t="n">
        <v>45635</v>
      </c>
      <c r="B1195" s="14" t="inlineStr">
        <is>
          <t>NB-0012</t>
        </is>
      </c>
      <c r="C1195" s="14" t="n">
        <v>4</v>
      </c>
      <c r="D1195" s="14">
        <f>IF(A1195&gt;LastWeek-364,1,0)</f>
        <v/>
      </c>
      <c r="E1195" s="14">
        <f>C1195^2*D1195</f>
        <v/>
      </c>
    </row>
    <row r="1196">
      <c r="A1196" s="26" t="n">
        <v>45642</v>
      </c>
      <c r="B1196" s="14" t="inlineStr">
        <is>
          <t>NB-0012</t>
        </is>
      </c>
      <c r="C1196" s="14" t="n">
        <v>7</v>
      </c>
      <c r="D1196" s="14">
        <f>IF(A1196&gt;LastWeek-364,1,0)</f>
        <v/>
      </c>
      <c r="E1196" s="14">
        <f>C1196^2*D1196</f>
        <v/>
      </c>
    </row>
    <row r="1197">
      <c r="A1197" s="26" t="n">
        <v>45649</v>
      </c>
      <c r="B1197" s="14" t="inlineStr">
        <is>
          <t>NB-0012</t>
        </is>
      </c>
      <c r="C1197" s="14" t="n">
        <v>5</v>
      </c>
      <c r="D1197" s="14">
        <f>IF(A1197&gt;LastWeek-364,1,0)</f>
        <v/>
      </c>
      <c r="E1197" s="14">
        <f>C1197^2*D1197</f>
        <v/>
      </c>
    </row>
    <row r="1198">
      <c r="A1198" s="26" t="n">
        <v>45656</v>
      </c>
      <c r="B1198" s="14" t="inlineStr">
        <is>
          <t>NB-0012</t>
        </is>
      </c>
      <c r="C1198" s="14" t="n">
        <v>5</v>
      </c>
      <c r="D1198" s="14">
        <f>IF(A1198&gt;LastWeek-364,1,0)</f>
        <v/>
      </c>
      <c r="E1198" s="14">
        <f>C1198^2*D1198</f>
        <v/>
      </c>
    </row>
    <row r="1199">
      <c r="A1199" s="26" t="n">
        <v>45663</v>
      </c>
      <c r="B1199" s="14" t="inlineStr">
        <is>
          <t>NB-0012</t>
        </is>
      </c>
      <c r="C1199" s="14" t="n">
        <v>3</v>
      </c>
      <c r="D1199" s="14">
        <f>IF(A1199&gt;LastWeek-364,1,0)</f>
        <v/>
      </c>
      <c r="E1199" s="14">
        <f>C1199^2*D1199</f>
        <v/>
      </c>
    </row>
    <row r="1200">
      <c r="A1200" s="26" t="n">
        <v>45670</v>
      </c>
      <c r="B1200" s="14" t="inlineStr">
        <is>
          <t>NB-0012</t>
        </is>
      </c>
      <c r="C1200" s="14" t="n">
        <v>3</v>
      </c>
      <c r="D1200" s="14">
        <f>IF(A1200&gt;LastWeek-364,1,0)</f>
        <v/>
      </c>
      <c r="E1200" s="14">
        <f>C1200^2*D1200</f>
        <v/>
      </c>
    </row>
    <row r="1201">
      <c r="A1201" s="26" t="n">
        <v>45677</v>
      </c>
      <c r="B1201" s="14" t="inlineStr">
        <is>
          <t>NB-0012</t>
        </is>
      </c>
      <c r="C1201" s="14" t="n">
        <v>5</v>
      </c>
      <c r="D1201" s="14">
        <f>IF(A1201&gt;LastWeek-364,1,0)</f>
        <v/>
      </c>
      <c r="E1201" s="14">
        <f>C1201^2*D1201</f>
        <v/>
      </c>
    </row>
    <row r="1202">
      <c r="A1202" s="26" t="n">
        <v>45684</v>
      </c>
      <c r="B1202" s="14" t="inlineStr">
        <is>
          <t>NB-0012</t>
        </is>
      </c>
      <c r="C1202" s="14" t="n">
        <v>6</v>
      </c>
      <c r="D1202" s="14">
        <f>IF(A1202&gt;LastWeek-364,1,0)</f>
        <v/>
      </c>
      <c r="E1202" s="14">
        <f>C1202^2*D1202</f>
        <v/>
      </c>
    </row>
    <row r="1203">
      <c r="A1203" s="26" t="n">
        <v>45691</v>
      </c>
      <c r="B1203" s="14" t="inlineStr">
        <is>
          <t>NB-0012</t>
        </is>
      </c>
      <c r="C1203" s="14" t="n">
        <v>4</v>
      </c>
      <c r="D1203" s="14">
        <f>IF(A1203&gt;LastWeek-364,1,0)</f>
        <v/>
      </c>
      <c r="E1203" s="14">
        <f>C1203^2*D1203</f>
        <v/>
      </c>
    </row>
    <row r="1204">
      <c r="A1204" s="26" t="n">
        <v>45698</v>
      </c>
      <c r="B1204" s="14" t="inlineStr">
        <is>
          <t>NB-0012</t>
        </is>
      </c>
      <c r="C1204" s="14" t="n">
        <v>2</v>
      </c>
      <c r="D1204" s="14">
        <f>IF(A1204&gt;LastWeek-364,1,0)</f>
        <v/>
      </c>
      <c r="E1204" s="14">
        <f>C1204^2*D1204</f>
        <v/>
      </c>
    </row>
    <row r="1205">
      <c r="A1205" s="26" t="n">
        <v>45705</v>
      </c>
      <c r="B1205" s="14" t="inlineStr">
        <is>
          <t>NB-0012</t>
        </is>
      </c>
      <c r="C1205" s="14" t="n">
        <v>2</v>
      </c>
      <c r="D1205" s="14">
        <f>IF(A1205&gt;LastWeek-364,1,0)</f>
        <v/>
      </c>
      <c r="E1205" s="14">
        <f>C1205^2*D1205</f>
        <v/>
      </c>
    </row>
    <row r="1206">
      <c r="A1206" s="26" t="n">
        <v>45712</v>
      </c>
      <c r="B1206" s="14" t="inlineStr">
        <is>
          <t>NB-0012</t>
        </is>
      </c>
      <c r="C1206" s="14" t="n">
        <v>2</v>
      </c>
      <c r="D1206" s="14">
        <f>IF(A1206&gt;LastWeek-364,1,0)</f>
        <v/>
      </c>
      <c r="E1206" s="14">
        <f>C1206^2*D1206</f>
        <v/>
      </c>
    </row>
    <row r="1207">
      <c r="A1207" s="26" t="n">
        <v>45719</v>
      </c>
      <c r="B1207" s="14" t="inlineStr">
        <is>
          <t>NB-0012</t>
        </is>
      </c>
      <c r="C1207" s="14" t="n">
        <v>1</v>
      </c>
      <c r="D1207" s="14">
        <f>IF(A1207&gt;LastWeek-364,1,0)</f>
        <v/>
      </c>
      <c r="E1207" s="14">
        <f>C1207^2*D1207</f>
        <v/>
      </c>
    </row>
    <row r="1208">
      <c r="A1208" s="26" t="n">
        <v>45726</v>
      </c>
      <c r="B1208" s="14" t="inlineStr">
        <is>
          <t>NB-0012</t>
        </is>
      </c>
      <c r="C1208" s="14" t="n">
        <v>4</v>
      </c>
      <c r="D1208" s="14">
        <f>IF(A1208&gt;LastWeek-364,1,0)</f>
        <v/>
      </c>
      <c r="E1208" s="14">
        <f>C1208^2*D1208</f>
        <v/>
      </c>
    </row>
    <row r="1209">
      <c r="A1209" s="26" t="n">
        <v>45733</v>
      </c>
      <c r="B1209" s="14" t="inlineStr">
        <is>
          <t>NB-0012</t>
        </is>
      </c>
      <c r="C1209" s="14" t="n">
        <v>6</v>
      </c>
      <c r="D1209" s="14">
        <f>IF(A1209&gt;LastWeek-364,1,0)</f>
        <v/>
      </c>
      <c r="E1209" s="14">
        <f>C1209^2*D1209</f>
        <v/>
      </c>
    </row>
    <row r="1210">
      <c r="A1210" s="26" t="n">
        <v>45740</v>
      </c>
      <c r="B1210" s="14" t="inlineStr">
        <is>
          <t>NB-0012</t>
        </is>
      </c>
      <c r="C1210" s="14" t="n">
        <v>4</v>
      </c>
      <c r="D1210" s="14">
        <f>IF(A1210&gt;LastWeek-364,1,0)</f>
        <v/>
      </c>
      <c r="E1210" s="14">
        <f>C1210^2*D1210</f>
        <v/>
      </c>
    </row>
    <row r="1211">
      <c r="A1211" s="26" t="n">
        <v>45747</v>
      </c>
      <c r="B1211" s="14" t="inlineStr">
        <is>
          <t>NB-0012</t>
        </is>
      </c>
      <c r="C1211" s="14" t="n">
        <v>1</v>
      </c>
      <c r="D1211" s="14">
        <f>IF(A1211&gt;LastWeek-364,1,0)</f>
        <v/>
      </c>
      <c r="E1211" s="14">
        <f>C1211^2*D1211</f>
        <v/>
      </c>
    </row>
    <row r="1212">
      <c r="A1212" s="26" t="n">
        <v>45754</v>
      </c>
      <c r="B1212" s="14" t="inlineStr">
        <is>
          <t>NB-0012</t>
        </is>
      </c>
      <c r="C1212" s="14" t="n">
        <v>4</v>
      </c>
      <c r="D1212" s="14">
        <f>IF(A1212&gt;LastWeek-364,1,0)</f>
        <v/>
      </c>
      <c r="E1212" s="14">
        <f>C1212^2*D1212</f>
        <v/>
      </c>
    </row>
    <row r="1213">
      <c r="A1213" s="26" t="n">
        <v>45761</v>
      </c>
      <c r="B1213" s="14" t="inlineStr">
        <is>
          <t>NB-0012</t>
        </is>
      </c>
      <c r="C1213" s="14" t="n">
        <v>4</v>
      </c>
      <c r="D1213" s="14">
        <f>IF(A1213&gt;LastWeek-364,1,0)</f>
        <v/>
      </c>
      <c r="E1213" s="14">
        <f>C1213^2*D1213</f>
        <v/>
      </c>
    </row>
    <row r="1214">
      <c r="A1214" s="26" t="n">
        <v>45768</v>
      </c>
      <c r="B1214" s="14" t="inlineStr">
        <is>
          <t>NB-0012</t>
        </is>
      </c>
      <c r="C1214" s="14" t="n">
        <v>7</v>
      </c>
      <c r="D1214" s="14">
        <f>IF(A1214&gt;LastWeek-364,1,0)</f>
        <v/>
      </c>
      <c r="E1214" s="14">
        <f>C1214^2*D1214</f>
        <v/>
      </c>
    </row>
    <row r="1215">
      <c r="A1215" s="26" t="n">
        <v>45775</v>
      </c>
      <c r="B1215" s="14" t="inlineStr">
        <is>
          <t>NB-0012</t>
        </is>
      </c>
      <c r="C1215" s="14" t="n">
        <v>2</v>
      </c>
      <c r="D1215" s="14">
        <f>IF(A1215&gt;LastWeek-364,1,0)</f>
        <v/>
      </c>
      <c r="E1215" s="14">
        <f>C1215^2*D1215</f>
        <v/>
      </c>
    </row>
    <row r="1216">
      <c r="A1216" s="26" t="n">
        <v>45782</v>
      </c>
      <c r="B1216" s="14" t="inlineStr">
        <is>
          <t>NB-0012</t>
        </is>
      </c>
      <c r="C1216" s="14" t="n">
        <v>3</v>
      </c>
      <c r="D1216" s="14">
        <f>IF(A1216&gt;LastWeek-364,1,0)</f>
        <v/>
      </c>
      <c r="E1216" s="14">
        <f>C1216^2*D1216</f>
        <v/>
      </c>
    </row>
    <row r="1217">
      <c r="A1217" s="26" t="n">
        <v>45789</v>
      </c>
      <c r="B1217" s="14" t="inlineStr">
        <is>
          <t>NB-0012</t>
        </is>
      </c>
      <c r="C1217" s="14" t="n">
        <v>6</v>
      </c>
      <c r="D1217" s="14">
        <f>IF(A1217&gt;LastWeek-364,1,0)</f>
        <v/>
      </c>
      <c r="E1217" s="14">
        <f>C1217^2*D1217</f>
        <v/>
      </c>
    </row>
    <row r="1218">
      <c r="A1218" s="26" t="n">
        <v>45796</v>
      </c>
      <c r="B1218" s="14" t="inlineStr">
        <is>
          <t>NB-0012</t>
        </is>
      </c>
      <c r="C1218" s="14" t="n">
        <v>5</v>
      </c>
      <c r="D1218" s="14">
        <f>IF(A1218&gt;LastWeek-364,1,0)</f>
        <v/>
      </c>
      <c r="E1218" s="14">
        <f>C1218^2*D1218</f>
        <v/>
      </c>
    </row>
    <row r="1219">
      <c r="A1219" s="26" t="n">
        <v>45803</v>
      </c>
      <c r="B1219" s="14" t="inlineStr">
        <is>
          <t>NB-0012</t>
        </is>
      </c>
      <c r="C1219" s="14" t="n">
        <v>5</v>
      </c>
      <c r="D1219" s="14">
        <f>IF(A1219&gt;LastWeek-364,1,0)</f>
        <v/>
      </c>
      <c r="E1219" s="14">
        <f>C1219^2*D1219</f>
        <v/>
      </c>
    </row>
    <row r="1220">
      <c r="A1220" s="26" t="n">
        <v>45810</v>
      </c>
      <c r="B1220" s="14" t="inlineStr">
        <is>
          <t>NB-0012</t>
        </is>
      </c>
      <c r="C1220" s="14" t="n">
        <v>4</v>
      </c>
      <c r="D1220" s="14">
        <f>IF(A1220&gt;LastWeek-364,1,0)</f>
        <v/>
      </c>
      <c r="E1220" s="14">
        <f>C1220^2*D1220</f>
        <v/>
      </c>
    </row>
    <row r="1221">
      <c r="A1221" s="26" t="n">
        <v>45817</v>
      </c>
      <c r="B1221" s="14" t="inlineStr">
        <is>
          <t>NB-0012</t>
        </is>
      </c>
      <c r="C1221" s="14" t="n">
        <v>4</v>
      </c>
      <c r="D1221" s="14">
        <f>IF(A1221&gt;LastWeek-364,1,0)</f>
        <v/>
      </c>
      <c r="E1221" s="14">
        <f>C1221^2*D1221</f>
        <v/>
      </c>
    </row>
    <row r="1222">
      <c r="A1222" s="26" t="n">
        <v>45824</v>
      </c>
      <c r="B1222" s="14" t="inlineStr">
        <is>
          <t>NB-0012</t>
        </is>
      </c>
      <c r="C1222" s="14" t="n">
        <v>5</v>
      </c>
      <c r="D1222" s="14">
        <f>IF(A1222&gt;LastWeek-364,1,0)</f>
        <v/>
      </c>
      <c r="E1222" s="14">
        <f>C1222^2*D1222</f>
        <v/>
      </c>
    </row>
    <row r="1223">
      <c r="A1223" s="26" t="n">
        <v>45831</v>
      </c>
      <c r="B1223" s="14" t="inlineStr">
        <is>
          <t>NB-0012</t>
        </is>
      </c>
      <c r="C1223" s="14" t="n">
        <v>3</v>
      </c>
      <c r="D1223" s="14">
        <f>IF(A1223&gt;LastWeek-364,1,0)</f>
        <v/>
      </c>
      <c r="E1223" s="14">
        <f>C1223^2*D1223</f>
        <v/>
      </c>
    </row>
    <row r="1224">
      <c r="A1224" s="26" t="n">
        <v>45838</v>
      </c>
      <c r="B1224" s="14" t="inlineStr">
        <is>
          <t>NB-0012</t>
        </is>
      </c>
      <c r="C1224" s="14" t="n">
        <v>5</v>
      </c>
      <c r="D1224" s="14">
        <f>IF(A1224&gt;LastWeek-364,1,0)</f>
        <v/>
      </c>
      <c r="E1224" s="14">
        <f>C1224^2*D1224</f>
        <v/>
      </c>
    </row>
    <row r="1225">
      <c r="A1225" s="26" t="n">
        <v>45845</v>
      </c>
      <c r="B1225" s="14" t="inlineStr">
        <is>
          <t>NB-0012</t>
        </is>
      </c>
      <c r="C1225" s="14" t="n">
        <v>2</v>
      </c>
      <c r="D1225" s="14">
        <f>IF(A1225&gt;LastWeek-364,1,0)</f>
        <v/>
      </c>
      <c r="E1225" s="14">
        <f>C1225^2*D1225</f>
        <v/>
      </c>
    </row>
    <row r="1226">
      <c r="A1226" s="26" t="n">
        <v>45852</v>
      </c>
      <c r="B1226" s="14" t="inlineStr">
        <is>
          <t>NB-0012</t>
        </is>
      </c>
      <c r="C1226" s="14" t="n">
        <v>4</v>
      </c>
      <c r="D1226" s="14">
        <f>IF(A1226&gt;LastWeek-364,1,0)</f>
        <v/>
      </c>
      <c r="E1226" s="14">
        <f>C1226^2*D1226</f>
        <v/>
      </c>
    </row>
    <row r="1227">
      <c r="A1227" s="26" t="n">
        <v>45859</v>
      </c>
      <c r="B1227" s="14" t="inlineStr">
        <is>
          <t>NB-0012</t>
        </is>
      </c>
      <c r="C1227" s="14" t="n">
        <v>4</v>
      </c>
      <c r="D1227" s="14">
        <f>IF(A1227&gt;LastWeek-364,1,0)</f>
        <v/>
      </c>
      <c r="E1227" s="14">
        <f>C1227^2*D1227</f>
        <v/>
      </c>
    </row>
    <row r="1228">
      <c r="A1228" s="26" t="n">
        <v>45866</v>
      </c>
      <c r="B1228" s="14" t="inlineStr">
        <is>
          <t>NB-0012</t>
        </is>
      </c>
      <c r="C1228" s="14" t="n">
        <v>3</v>
      </c>
      <c r="D1228" s="14">
        <f>IF(A1228&gt;LastWeek-364,1,0)</f>
        <v/>
      </c>
      <c r="E1228" s="14">
        <f>C1228^2*D1228</f>
        <v/>
      </c>
    </row>
    <row r="1229">
      <c r="A1229" s="26" t="n">
        <v>45873</v>
      </c>
      <c r="B1229" s="14" t="inlineStr">
        <is>
          <t>NB-0012</t>
        </is>
      </c>
      <c r="C1229" s="14" t="n">
        <v>4</v>
      </c>
      <c r="D1229" s="14">
        <f>IF(A1229&gt;LastWeek-364,1,0)</f>
        <v/>
      </c>
      <c r="E1229" s="14">
        <f>C1229^2*D1229</f>
        <v/>
      </c>
    </row>
    <row r="1230">
      <c r="A1230" s="26" t="n">
        <v>45880</v>
      </c>
      <c r="B1230" s="14" t="inlineStr">
        <is>
          <t>NB-0012</t>
        </is>
      </c>
      <c r="C1230" s="14" t="n">
        <v>3</v>
      </c>
      <c r="D1230" s="14">
        <f>IF(A1230&gt;LastWeek-364,1,0)</f>
        <v/>
      </c>
      <c r="E1230" s="14">
        <f>C1230^2*D1230</f>
        <v/>
      </c>
    </row>
    <row r="1231">
      <c r="A1231" s="26" t="n">
        <v>45887</v>
      </c>
      <c r="B1231" s="14" t="inlineStr">
        <is>
          <t>NB-0012</t>
        </is>
      </c>
      <c r="C1231" s="14" t="n">
        <v>2</v>
      </c>
      <c r="D1231" s="14">
        <f>IF(A1231&gt;LastWeek-364,1,0)</f>
        <v/>
      </c>
      <c r="E1231" s="14">
        <f>C1231^2*D1231</f>
        <v/>
      </c>
    </row>
    <row r="1232">
      <c r="A1232" s="26" t="n">
        <v>45894</v>
      </c>
      <c r="B1232" s="14" t="inlineStr">
        <is>
          <t>NB-0012</t>
        </is>
      </c>
      <c r="C1232" s="14" t="n">
        <v>4</v>
      </c>
      <c r="D1232" s="14">
        <f>IF(A1232&gt;LastWeek-364,1,0)</f>
        <v/>
      </c>
      <c r="E1232" s="14">
        <f>C1232^2*D1232</f>
        <v/>
      </c>
    </row>
    <row r="1233">
      <c r="A1233" s="26" t="n">
        <v>45901</v>
      </c>
      <c r="B1233" s="14" t="inlineStr">
        <is>
          <t>NB-0012</t>
        </is>
      </c>
      <c r="C1233" s="14" t="n">
        <v>2</v>
      </c>
      <c r="D1233" s="14">
        <f>IF(A1233&gt;LastWeek-364,1,0)</f>
        <v/>
      </c>
      <c r="E1233" s="14">
        <f>C1233^2*D1233</f>
        <v/>
      </c>
    </row>
    <row r="1234">
      <c r="A1234" s="26" t="n">
        <v>45908</v>
      </c>
      <c r="B1234" s="14" t="inlineStr">
        <is>
          <t>NB-0012</t>
        </is>
      </c>
      <c r="C1234" s="14" t="n">
        <v>5</v>
      </c>
      <c r="D1234" s="14">
        <f>IF(A1234&gt;LastWeek-364,1,0)</f>
        <v/>
      </c>
      <c r="E1234" s="14">
        <f>C1234^2*D1234</f>
        <v/>
      </c>
    </row>
    <row r="1235">
      <c r="A1235" s="26" t="n">
        <v>45915</v>
      </c>
      <c r="B1235" s="14" t="inlineStr">
        <is>
          <t>NB-0012</t>
        </is>
      </c>
      <c r="C1235" s="14" t="n">
        <v>2</v>
      </c>
      <c r="D1235" s="14">
        <f>IF(A1235&gt;LastWeek-364,1,0)</f>
        <v/>
      </c>
      <c r="E1235" s="14">
        <f>C1235^2*D1235</f>
        <v/>
      </c>
    </row>
    <row r="1236">
      <c r="A1236" s="26" t="n">
        <v>45922</v>
      </c>
      <c r="B1236" s="14" t="inlineStr">
        <is>
          <t>NB-0012</t>
        </is>
      </c>
      <c r="C1236" s="14" t="n">
        <v>5</v>
      </c>
      <c r="D1236" s="14">
        <f>IF(A1236&gt;LastWeek-364,1,0)</f>
        <v/>
      </c>
      <c r="E1236" s="14">
        <f>C1236^2*D1236</f>
        <v/>
      </c>
    </row>
    <row r="1237">
      <c r="A1237" s="26" t="n">
        <v>45929</v>
      </c>
      <c r="B1237" s="14" t="inlineStr">
        <is>
          <t>NB-0012</t>
        </is>
      </c>
      <c r="C1237" s="14" t="n">
        <v>2</v>
      </c>
      <c r="D1237" s="14">
        <f>IF(A1237&gt;LastWeek-364,1,0)</f>
        <v/>
      </c>
      <c r="E1237" s="14">
        <f>C1237^2*D1237</f>
        <v/>
      </c>
    </row>
    <row r="1238">
      <c r="A1238" s="26" t="n">
        <v>45936</v>
      </c>
      <c r="B1238" s="14" t="inlineStr">
        <is>
          <t>NB-0012</t>
        </is>
      </c>
      <c r="C1238" s="14" t="n">
        <v>3</v>
      </c>
      <c r="D1238" s="14">
        <f>IF(A1238&gt;LastWeek-364,1,0)</f>
        <v/>
      </c>
      <c r="E1238" s="14">
        <f>C1238^2*D1238</f>
        <v/>
      </c>
    </row>
    <row r="1239">
      <c r="A1239" s="26" t="n">
        <v>45943</v>
      </c>
      <c r="B1239" s="14" t="inlineStr">
        <is>
          <t>NB-0012</t>
        </is>
      </c>
      <c r="C1239" s="14" t="n">
        <v>3</v>
      </c>
      <c r="D1239" s="14">
        <f>IF(A1239&gt;LastWeek-364,1,0)</f>
        <v/>
      </c>
      <c r="E1239" s="14">
        <f>C1239^2*D1239</f>
        <v/>
      </c>
    </row>
    <row r="1240">
      <c r="A1240" s="26" t="n">
        <v>45950</v>
      </c>
      <c r="B1240" s="14" t="inlineStr">
        <is>
          <t>NB-0012</t>
        </is>
      </c>
      <c r="C1240" s="14" t="n">
        <v>6</v>
      </c>
      <c r="D1240" s="14">
        <f>IF(A1240&gt;LastWeek-364,1,0)</f>
        <v/>
      </c>
      <c r="E1240" s="14">
        <f>C1240^2*D1240</f>
        <v/>
      </c>
    </row>
    <row r="1241">
      <c r="A1241" s="26" t="n">
        <v>45957</v>
      </c>
      <c r="B1241" s="14" t="inlineStr">
        <is>
          <t>NB-0012</t>
        </is>
      </c>
      <c r="C1241" s="14" t="n">
        <v>5</v>
      </c>
      <c r="D1241" s="14">
        <f>IF(A1241&gt;LastWeek-364,1,0)</f>
        <v/>
      </c>
      <c r="E1241" s="14">
        <f>C1241^2*D1241</f>
        <v/>
      </c>
    </row>
    <row r="1242">
      <c r="A1242" s="26" t="n">
        <v>45964</v>
      </c>
      <c r="B1242" s="14" t="inlineStr">
        <is>
          <t>NB-0012</t>
        </is>
      </c>
      <c r="C1242" s="14" t="n">
        <v>4</v>
      </c>
      <c r="D1242" s="14">
        <f>IF(A1242&gt;LastWeek-364,1,0)</f>
        <v/>
      </c>
      <c r="E1242" s="14">
        <f>C1242^2*D1242</f>
        <v/>
      </c>
    </row>
    <row r="1243">
      <c r="A1243" s="26" t="n">
        <v>45971</v>
      </c>
      <c r="B1243" s="14" t="inlineStr">
        <is>
          <t>NB-0012</t>
        </is>
      </c>
      <c r="C1243" s="14" t="n">
        <v>5</v>
      </c>
      <c r="D1243" s="14">
        <f>IF(A1243&gt;LastWeek-364,1,0)</f>
        <v/>
      </c>
      <c r="E1243" s="14">
        <f>C1243^2*D1243</f>
        <v/>
      </c>
    </row>
    <row r="1244">
      <c r="A1244" s="26" t="n">
        <v>45978</v>
      </c>
      <c r="B1244" s="14" t="inlineStr">
        <is>
          <t>NB-0012</t>
        </is>
      </c>
      <c r="C1244" s="14" t="n">
        <v>1</v>
      </c>
      <c r="D1244" s="14">
        <f>IF(A1244&gt;LastWeek-364,1,0)</f>
        <v/>
      </c>
      <c r="E1244" s="14">
        <f>C1244^2*D1244</f>
        <v/>
      </c>
    </row>
    <row r="1245">
      <c r="A1245" s="26" t="n">
        <v>45985</v>
      </c>
      <c r="B1245" s="14" t="inlineStr">
        <is>
          <t>NB-0012</t>
        </is>
      </c>
      <c r="C1245" s="14" t="n">
        <v>4</v>
      </c>
      <c r="D1245" s="14">
        <f>IF(A1245&gt;LastWeek-364,1,0)</f>
        <v/>
      </c>
      <c r="E1245" s="14">
        <f>C1245^2*D1245</f>
        <v/>
      </c>
    </row>
    <row r="1246">
      <c r="A1246" s="26" t="n">
        <v>45992</v>
      </c>
      <c r="B1246" s="14" t="inlineStr">
        <is>
          <t>NB-0012</t>
        </is>
      </c>
      <c r="C1246" s="14" t="n">
        <v>8</v>
      </c>
      <c r="D1246" s="14">
        <f>IF(A1246&gt;LastWeek-364,1,0)</f>
        <v/>
      </c>
      <c r="E1246" s="14">
        <f>C1246^2*D1246</f>
        <v/>
      </c>
    </row>
    <row r="1247">
      <c r="A1247" s="26" t="n">
        <v>45999</v>
      </c>
      <c r="B1247" s="14" t="inlineStr">
        <is>
          <t>NB-0012</t>
        </is>
      </c>
      <c r="C1247" s="14" t="n">
        <v>5</v>
      </c>
      <c r="D1247" s="14">
        <f>IF(A1247&gt;LastWeek-364,1,0)</f>
        <v/>
      </c>
      <c r="E1247" s="14">
        <f>C1247^2*D1247</f>
        <v/>
      </c>
    </row>
    <row r="1248">
      <c r="A1248" s="26" t="n">
        <v>46006</v>
      </c>
      <c r="B1248" s="14" t="inlineStr">
        <is>
          <t>NB-0012</t>
        </is>
      </c>
      <c r="C1248" s="14" t="n">
        <v>5</v>
      </c>
      <c r="D1248" s="14">
        <f>IF(A1248&gt;LastWeek-364,1,0)</f>
        <v/>
      </c>
      <c r="E1248" s="14">
        <f>C1248^2*D1248</f>
        <v/>
      </c>
    </row>
    <row r="1249">
      <c r="A1249" s="26" t="n">
        <v>46013</v>
      </c>
      <c r="B1249" s="14" t="inlineStr">
        <is>
          <t>NB-0012</t>
        </is>
      </c>
      <c r="C1249" s="14" t="n">
        <v>6</v>
      </c>
      <c r="D1249" s="14">
        <f>IF(A1249&gt;LastWeek-364,1,0)</f>
        <v/>
      </c>
      <c r="E1249" s="14">
        <f>C1249^2*D1249</f>
        <v/>
      </c>
    </row>
    <row r="1250">
      <c r="A1250" s="26" t="n">
        <v>45292</v>
      </c>
      <c r="B1250" s="14" t="inlineStr">
        <is>
          <t>NB-0013</t>
        </is>
      </c>
      <c r="C1250" s="14" t="n">
        <v>24</v>
      </c>
      <c r="D1250" s="14">
        <f>IF(A1250&gt;LastWeek-364,1,0)</f>
        <v/>
      </c>
      <c r="E1250" s="14">
        <f>C1250^2*D1250</f>
        <v/>
      </c>
    </row>
    <row r="1251">
      <c r="A1251" s="26" t="n">
        <v>45299</v>
      </c>
      <c r="B1251" s="14" t="inlineStr">
        <is>
          <t>NB-0013</t>
        </is>
      </c>
      <c r="C1251" s="14" t="n">
        <v>10</v>
      </c>
      <c r="D1251" s="14">
        <f>IF(A1251&gt;LastWeek-364,1,0)</f>
        <v/>
      </c>
      <c r="E1251" s="14">
        <f>C1251^2*D1251</f>
        <v/>
      </c>
    </row>
    <row r="1252">
      <c r="A1252" s="26" t="n">
        <v>45306</v>
      </c>
      <c r="B1252" s="14" t="inlineStr">
        <is>
          <t>NB-0013</t>
        </is>
      </c>
      <c r="C1252" s="14" t="n">
        <v>12</v>
      </c>
      <c r="D1252" s="14">
        <f>IF(A1252&gt;LastWeek-364,1,0)</f>
        <v/>
      </c>
      <c r="E1252" s="14">
        <f>C1252^2*D1252</f>
        <v/>
      </c>
    </row>
    <row r="1253">
      <c r="A1253" s="26" t="n">
        <v>45313</v>
      </c>
      <c r="B1253" s="14" t="inlineStr">
        <is>
          <t>NB-0013</t>
        </is>
      </c>
      <c r="C1253" s="14" t="n">
        <v>21</v>
      </c>
      <c r="D1253" s="14">
        <f>IF(A1253&gt;LastWeek-364,1,0)</f>
        <v/>
      </c>
      <c r="E1253" s="14">
        <f>C1253^2*D1253</f>
        <v/>
      </c>
    </row>
    <row r="1254">
      <c r="A1254" s="26" t="n">
        <v>45320</v>
      </c>
      <c r="B1254" s="14" t="inlineStr">
        <is>
          <t>NB-0013</t>
        </is>
      </c>
      <c r="C1254" s="14" t="n">
        <v>16</v>
      </c>
      <c r="D1254" s="14">
        <f>IF(A1254&gt;LastWeek-364,1,0)</f>
        <v/>
      </c>
      <c r="E1254" s="14">
        <f>C1254^2*D1254</f>
        <v/>
      </c>
    </row>
    <row r="1255">
      <c r="A1255" s="26" t="n">
        <v>45327</v>
      </c>
      <c r="B1255" s="14" t="inlineStr">
        <is>
          <t>NB-0013</t>
        </is>
      </c>
      <c r="C1255" s="14" t="n">
        <v>26</v>
      </c>
      <c r="D1255" s="14">
        <f>IF(A1255&gt;LastWeek-364,1,0)</f>
        <v/>
      </c>
      <c r="E1255" s="14">
        <f>C1255^2*D1255</f>
        <v/>
      </c>
    </row>
    <row r="1256">
      <c r="A1256" s="26" t="n">
        <v>45334</v>
      </c>
      <c r="B1256" s="14" t="inlineStr">
        <is>
          <t>NB-0013</t>
        </is>
      </c>
      <c r="C1256" s="14" t="n">
        <v>18</v>
      </c>
      <c r="D1256" s="14">
        <f>IF(A1256&gt;LastWeek-364,1,0)</f>
        <v/>
      </c>
      <c r="E1256" s="14">
        <f>C1256^2*D1256</f>
        <v/>
      </c>
    </row>
    <row r="1257">
      <c r="A1257" s="26" t="n">
        <v>45341</v>
      </c>
      <c r="B1257" s="14" t="inlineStr">
        <is>
          <t>NB-0013</t>
        </is>
      </c>
      <c r="C1257" s="14" t="n">
        <v>11</v>
      </c>
      <c r="D1257" s="14">
        <f>IF(A1257&gt;LastWeek-364,1,0)</f>
        <v/>
      </c>
      <c r="E1257" s="14">
        <f>C1257^2*D1257</f>
        <v/>
      </c>
    </row>
    <row r="1258">
      <c r="A1258" s="26" t="n">
        <v>45348</v>
      </c>
      <c r="B1258" s="14" t="inlineStr">
        <is>
          <t>NB-0013</t>
        </is>
      </c>
      <c r="C1258" s="14" t="n">
        <v>14</v>
      </c>
      <c r="D1258" s="14">
        <f>IF(A1258&gt;LastWeek-364,1,0)</f>
        <v/>
      </c>
      <c r="E1258" s="14">
        <f>C1258^2*D1258</f>
        <v/>
      </c>
    </row>
    <row r="1259">
      <c r="A1259" s="26" t="n">
        <v>45355</v>
      </c>
      <c r="B1259" s="14" t="inlineStr">
        <is>
          <t>NB-0013</t>
        </is>
      </c>
      <c r="C1259" s="14" t="n">
        <v>7</v>
      </c>
      <c r="D1259" s="14">
        <f>IF(A1259&gt;LastWeek-364,1,0)</f>
        <v/>
      </c>
      <c r="E1259" s="14">
        <f>C1259^2*D1259</f>
        <v/>
      </c>
    </row>
    <row r="1260">
      <c r="A1260" s="26" t="n">
        <v>45362</v>
      </c>
      <c r="B1260" s="14" t="inlineStr">
        <is>
          <t>NB-0013</t>
        </is>
      </c>
      <c r="C1260" s="14" t="n">
        <v>18</v>
      </c>
      <c r="D1260" s="14">
        <f>IF(A1260&gt;LastWeek-364,1,0)</f>
        <v/>
      </c>
      <c r="E1260" s="14">
        <f>C1260^2*D1260</f>
        <v/>
      </c>
    </row>
    <row r="1261">
      <c r="A1261" s="26" t="n">
        <v>45369</v>
      </c>
      <c r="B1261" s="14" t="inlineStr">
        <is>
          <t>NB-0013</t>
        </is>
      </c>
      <c r="C1261" s="14" t="n">
        <v>19</v>
      </c>
      <c r="D1261" s="14">
        <f>IF(A1261&gt;LastWeek-364,1,0)</f>
        <v/>
      </c>
      <c r="E1261" s="14">
        <f>C1261^2*D1261</f>
        <v/>
      </c>
    </row>
    <row r="1262">
      <c r="A1262" s="26" t="n">
        <v>45376</v>
      </c>
      <c r="B1262" s="14" t="inlineStr">
        <is>
          <t>NB-0013</t>
        </is>
      </c>
      <c r="C1262" s="14" t="n">
        <v>17</v>
      </c>
      <c r="D1262" s="14">
        <f>IF(A1262&gt;LastWeek-364,1,0)</f>
        <v/>
      </c>
      <c r="E1262" s="14">
        <f>C1262^2*D1262</f>
        <v/>
      </c>
    </row>
    <row r="1263">
      <c r="A1263" s="26" t="n">
        <v>45383</v>
      </c>
      <c r="B1263" s="14" t="inlineStr">
        <is>
          <t>NB-0013</t>
        </is>
      </c>
      <c r="C1263" s="14" t="n">
        <v>24</v>
      </c>
      <c r="D1263" s="14">
        <f>IF(A1263&gt;LastWeek-364,1,0)</f>
        <v/>
      </c>
      <c r="E1263" s="14">
        <f>C1263^2*D1263</f>
        <v/>
      </c>
    </row>
    <row r="1264">
      <c r="A1264" s="26" t="n">
        <v>45390</v>
      </c>
      <c r="B1264" s="14" t="inlineStr">
        <is>
          <t>NB-0013</t>
        </is>
      </c>
      <c r="C1264" s="14" t="n">
        <v>25</v>
      </c>
      <c r="D1264" s="14">
        <f>IF(A1264&gt;LastWeek-364,1,0)</f>
        <v/>
      </c>
      <c r="E1264" s="14">
        <f>C1264^2*D1264</f>
        <v/>
      </c>
    </row>
    <row r="1265">
      <c r="A1265" s="26" t="n">
        <v>45397</v>
      </c>
      <c r="B1265" s="14" t="inlineStr">
        <is>
          <t>NB-0013</t>
        </is>
      </c>
      <c r="C1265" s="14" t="n">
        <v>18</v>
      </c>
      <c r="D1265" s="14">
        <f>IF(A1265&gt;LastWeek-364,1,0)</f>
        <v/>
      </c>
      <c r="E1265" s="14">
        <f>C1265^2*D1265</f>
        <v/>
      </c>
    </row>
    <row r="1266">
      <c r="A1266" s="26" t="n">
        <v>45404</v>
      </c>
      <c r="B1266" s="14" t="inlineStr">
        <is>
          <t>NB-0013</t>
        </is>
      </c>
      <c r="C1266" s="14" t="n">
        <v>9</v>
      </c>
      <c r="D1266" s="14">
        <f>IF(A1266&gt;LastWeek-364,1,0)</f>
        <v/>
      </c>
      <c r="E1266" s="14">
        <f>C1266^2*D1266</f>
        <v/>
      </c>
    </row>
    <row r="1267">
      <c r="A1267" s="26" t="n">
        <v>45411</v>
      </c>
      <c r="B1267" s="14" t="inlineStr">
        <is>
          <t>NB-0013</t>
        </is>
      </c>
      <c r="C1267" s="14" t="n">
        <v>22</v>
      </c>
      <c r="D1267" s="14">
        <f>IF(A1267&gt;LastWeek-364,1,0)</f>
        <v/>
      </c>
      <c r="E1267" s="14">
        <f>C1267^2*D1267</f>
        <v/>
      </c>
    </row>
    <row r="1268">
      <c r="A1268" s="26" t="n">
        <v>45418</v>
      </c>
      <c r="B1268" s="14" t="inlineStr">
        <is>
          <t>NB-0013</t>
        </is>
      </c>
      <c r="C1268" s="14" t="n">
        <v>22</v>
      </c>
      <c r="D1268" s="14">
        <f>IF(A1268&gt;LastWeek-364,1,0)</f>
        <v/>
      </c>
      <c r="E1268" s="14">
        <f>C1268^2*D1268</f>
        <v/>
      </c>
    </row>
    <row r="1269">
      <c r="A1269" s="26" t="n">
        <v>45425</v>
      </c>
      <c r="B1269" s="14" t="inlineStr">
        <is>
          <t>NB-0013</t>
        </is>
      </c>
      <c r="C1269" s="14" t="n">
        <v>20</v>
      </c>
      <c r="D1269" s="14">
        <f>IF(A1269&gt;LastWeek-364,1,0)</f>
        <v/>
      </c>
      <c r="E1269" s="14">
        <f>C1269^2*D1269</f>
        <v/>
      </c>
    </row>
    <row r="1270">
      <c r="A1270" s="26" t="n">
        <v>45432</v>
      </c>
      <c r="B1270" s="14" t="inlineStr">
        <is>
          <t>NB-0013</t>
        </is>
      </c>
      <c r="C1270" s="14" t="n">
        <v>24</v>
      </c>
      <c r="D1270" s="14">
        <f>IF(A1270&gt;LastWeek-364,1,0)</f>
        <v/>
      </c>
      <c r="E1270" s="14">
        <f>C1270^2*D1270</f>
        <v/>
      </c>
    </row>
    <row r="1271">
      <c r="A1271" s="26" t="n">
        <v>45439</v>
      </c>
      <c r="B1271" s="14" t="inlineStr">
        <is>
          <t>NB-0013</t>
        </is>
      </c>
      <c r="C1271" s="14" t="n">
        <v>14</v>
      </c>
      <c r="D1271" s="14">
        <f>IF(A1271&gt;LastWeek-364,1,0)</f>
        <v/>
      </c>
      <c r="E1271" s="14">
        <f>C1271^2*D1271</f>
        <v/>
      </c>
    </row>
    <row r="1272">
      <c r="A1272" s="26" t="n">
        <v>45446</v>
      </c>
      <c r="B1272" s="14" t="inlineStr">
        <is>
          <t>NB-0013</t>
        </is>
      </c>
      <c r="C1272" s="14" t="n">
        <v>28</v>
      </c>
      <c r="D1272" s="14">
        <f>IF(A1272&gt;LastWeek-364,1,0)</f>
        <v/>
      </c>
      <c r="E1272" s="14">
        <f>C1272^2*D1272</f>
        <v/>
      </c>
    </row>
    <row r="1273">
      <c r="A1273" s="26" t="n">
        <v>45453</v>
      </c>
      <c r="B1273" s="14" t="inlineStr">
        <is>
          <t>NB-0013</t>
        </is>
      </c>
      <c r="C1273" s="14" t="n">
        <v>15</v>
      </c>
      <c r="D1273" s="14">
        <f>IF(A1273&gt;LastWeek-364,1,0)</f>
        <v/>
      </c>
      <c r="E1273" s="14">
        <f>C1273^2*D1273</f>
        <v/>
      </c>
    </row>
    <row r="1274">
      <c r="A1274" s="26" t="n">
        <v>45460</v>
      </c>
      <c r="B1274" s="14" t="inlineStr">
        <is>
          <t>NB-0013</t>
        </is>
      </c>
      <c r="C1274" s="14" t="n">
        <v>22</v>
      </c>
      <c r="D1274" s="14">
        <f>IF(A1274&gt;LastWeek-364,1,0)</f>
        <v/>
      </c>
      <c r="E1274" s="14">
        <f>C1274^2*D1274</f>
        <v/>
      </c>
    </row>
    <row r="1275">
      <c r="A1275" s="26" t="n">
        <v>45467</v>
      </c>
      <c r="B1275" s="14" t="inlineStr">
        <is>
          <t>NB-0013</t>
        </is>
      </c>
      <c r="C1275" s="14" t="n">
        <v>11</v>
      </c>
      <c r="D1275" s="14">
        <f>IF(A1275&gt;LastWeek-364,1,0)</f>
        <v/>
      </c>
      <c r="E1275" s="14">
        <f>C1275^2*D1275</f>
        <v/>
      </c>
    </row>
    <row r="1276">
      <c r="A1276" s="26" t="n">
        <v>45474</v>
      </c>
      <c r="B1276" s="14" t="inlineStr">
        <is>
          <t>NB-0013</t>
        </is>
      </c>
      <c r="C1276" s="14" t="n">
        <v>15</v>
      </c>
      <c r="D1276" s="14">
        <f>IF(A1276&gt;LastWeek-364,1,0)</f>
        <v/>
      </c>
      <c r="E1276" s="14">
        <f>C1276^2*D1276</f>
        <v/>
      </c>
    </row>
    <row r="1277">
      <c r="A1277" s="26" t="n">
        <v>45481</v>
      </c>
      <c r="B1277" s="14" t="inlineStr">
        <is>
          <t>NB-0013</t>
        </is>
      </c>
      <c r="C1277" s="14" t="n">
        <v>26</v>
      </c>
      <c r="D1277" s="14">
        <f>IF(A1277&gt;LastWeek-364,1,0)</f>
        <v/>
      </c>
      <c r="E1277" s="14">
        <f>C1277^2*D1277</f>
        <v/>
      </c>
    </row>
    <row r="1278">
      <c r="A1278" s="26" t="n">
        <v>45488</v>
      </c>
      <c r="B1278" s="14" t="inlineStr">
        <is>
          <t>NB-0013</t>
        </is>
      </c>
      <c r="C1278" s="14" t="n">
        <v>18</v>
      </c>
      <c r="D1278" s="14">
        <f>IF(A1278&gt;LastWeek-364,1,0)</f>
        <v/>
      </c>
      <c r="E1278" s="14">
        <f>C1278^2*D1278</f>
        <v/>
      </c>
    </row>
    <row r="1279">
      <c r="A1279" s="26" t="n">
        <v>45495</v>
      </c>
      <c r="B1279" s="14" t="inlineStr">
        <is>
          <t>NB-0013</t>
        </is>
      </c>
      <c r="C1279" s="14" t="n">
        <v>23</v>
      </c>
      <c r="D1279" s="14">
        <f>IF(A1279&gt;LastWeek-364,1,0)</f>
        <v/>
      </c>
      <c r="E1279" s="14">
        <f>C1279^2*D1279</f>
        <v/>
      </c>
    </row>
    <row r="1280">
      <c r="A1280" s="26" t="n">
        <v>45502</v>
      </c>
      <c r="B1280" s="14" t="inlineStr">
        <is>
          <t>NB-0013</t>
        </is>
      </c>
      <c r="C1280" s="14" t="n">
        <v>20</v>
      </c>
      <c r="D1280" s="14">
        <f>IF(A1280&gt;LastWeek-364,1,0)</f>
        <v/>
      </c>
      <c r="E1280" s="14">
        <f>C1280^2*D1280</f>
        <v/>
      </c>
    </row>
    <row r="1281">
      <c r="A1281" s="26" t="n">
        <v>45509</v>
      </c>
      <c r="B1281" s="14" t="inlineStr">
        <is>
          <t>NB-0013</t>
        </is>
      </c>
      <c r="C1281" s="14" t="n">
        <v>19</v>
      </c>
      <c r="D1281" s="14">
        <f>IF(A1281&gt;LastWeek-364,1,0)</f>
        <v/>
      </c>
      <c r="E1281" s="14">
        <f>C1281^2*D1281</f>
        <v/>
      </c>
    </row>
    <row r="1282">
      <c r="A1282" s="26" t="n">
        <v>45516</v>
      </c>
      <c r="B1282" s="14" t="inlineStr">
        <is>
          <t>NB-0013</t>
        </is>
      </c>
      <c r="C1282" s="14" t="n">
        <v>25</v>
      </c>
      <c r="D1282" s="14">
        <f>IF(A1282&gt;LastWeek-364,1,0)</f>
        <v/>
      </c>
      <c r="E1282" s="14">
        <f>C1282^2*D1282</f>
        <v/>
      </c>
    </row>
    <row r="1283">
      <c r="A1283" s="26" t="n">
        <v>45523</v>
      </c>
      <c r="B1283" s="14" t="inlineStr">
        <is>
          <t>NB-0013</t>
        </is>
      </c>
      <c r="C1283" s="14" t="n">
        <v>18</v>
      </c>
      <c r="D1283" s="14">
        <f>IF(A1283&gt;LastWeek-364,1,0)</f>
        <v/>
      </c>
      <c r="E1283" s="14">
        <f>C1283^2*D1283</f>
        <v/>
      </c>
    </row>
    <row r="1284">
      <c r="A1284" s="26" t="n">
        <v>45530</v>
      </c>
      <c r="B1284" s="14" t="inlineStr">
        <is>
          <t>NB-0013</t>
        </is>
      </c>
      <c r="C1284" s="14" t="n">
        <v>11</v>
      </c>
      <c r="D1284" s="14">
        <f>IF(A1284&gt;LastWeek-364,1,0)</f>
        <v/>
      </c>
      <c r="E1284" s="14">
        <f>C1284^2*D1284</f>
        <v/>
      </c>
    </row>
    <row r="1285">
      <c r="A1285" s="26" t="n">
        <v>45537</v>
      </c>
      <c r="B1285" s="14" t="inlineStr">
        <is>
          <t>NB-0013</t>
        </is>
      </c>
      <c r="C1285" s="14" t="n">
        <v>16</v>
      </c>
      <c r="D1285" s="14">
        <f>IF(A1285&gt;LastWeek-364,1,0)</f>
        <v/>
      </c>
      <c r="E1285" s="14">
        <f>C1285^2*D1285</f>
        <v/>
      </c>
    </row>
    <row r="1286">
      <c r="A1286" s="26" t="n">
        <v>45544</v>
      </c>
      <c r="B1286" s="14" t="inlineStr">
        <is>
          <t>NB-0013</t>
        </is>
      </c>
      <c r="C1286" s="14" t="n">
        <v>22</v>
      </c>
      <c r="D1286" s="14">
        <f>IF(A1286&gt;LastWeek-364,1,0)</f>
        <v/>
      </c>
      <c r="E1286" s="14">
        <f>C1286^2*D1286</f>
        <v/>
      </c>
    </row>
    <row r="1287">
      <c r="A1287" s="26" t="n">
        <v>45551</v>
      </c>
      <c r="B1287" s="14" t="inlineStr">
        <is>
          <t>NB-0013</t>
        </is>
      </c>
      <c r="C1287" s="14" t="n">
        <v>21</v>
      </c>
      <c r="D1287" s="14">
        <f>IF(A1287&gt;LastWeek-364,1,0)</f>
        <v/>
      </c>
      <c r="E1287" s="14">
        <f>C1287^2*D1287</f>
        <v/>
      </c>
    </row>
    <row r="1288">
      <c r="A1288" s="26" t="n">
        <v>45558</v>
      </c>
      <c r="B1288" s="14" t="inlineStr">
        <is>
          <t>NB-0013</t>
        </is>
      </c>
      <c r="C1288" s="14" t="n">
        <v>12</v>
      </c>
      <c r="D1288" s="14">
        <f>IF(A1288&gt;LastWeek-364,1,0)</f>
        <v/>
      </c>
      <c r="E1288" s="14">
        <f>C1288^2*D1288</f>
        <v/>
      </c>
    </row>
    <row r="1289">
      <c r="A1289" s="26" t="n">
        <v>45565</v>
      </c>
      <c r="B1289" s="14" t="inlineStr">
        <is>
          <t>NB-0013</t>
        </is>
      </c>
      <c r="C1289" s="14" t="n">
        <v>16</v>
      </c>
      <c r="D1289" s="14">
        <f>IF(A1289&gt;LastWeek-364,1,0)</f>
        <v/>
      </c>
      <c r="E1289" s="14">
        <f>C1289^2*D1289</f>
        <v/>
      </c>
    </row>
    <row r="1290">
      <c r="A1290" s="26" t="n">
        <v>45572</v>
      </c>
      <c r="B1290" s="14" t="inlineStr">
        <is>
          <t>NB-0013</t>
        </is>
      </c>
      <c r="C1290" s="14" t="n">
        <v>17</v>
      </c>
      <c r="D1290" s="14">
        <f>IF(A1290&gt;LastWeek-364,1,0)</f>
        <v/>
      </c>
      <c r="E1290" s="14">
        <f>C1290^2*D1290</f>
        <v/>
      </c>
    </row>
    <row r="1291">
      <c r="A1291" s="26" t="n">
        <v>45579</v>
      </c>
      <c r="B1291" s="14" t="inlineStr">
        <is>
          <t>NB-0013</t>
        </is>
      </c>
      <c r="C1291" s="14" t="n">
        <v>18</v>
      </c>
      <c r="D1291" s="14">
        <f>IF(A1291&gt;LastWeek-364,1,0)</f>
        <v/>
      </c>
      <c r="E1291" s="14">
        <f>C1291^2*D1291</f>
        <v/>
      </c>
    </row>
    <row r="1292">
      <c r="A1292" s="26" t="n">
        <v>45586</v>
      </c>
      <c r="B1292" s="14" t="inlineStr">
        <is>
          <t>NB-0013</t>
        </is>
      </c>
      <c r="C1292" s="14" t="n">
        <v>13</v>
      </c>
      <c r="D1292" s="14">
        <f>IF(A1292&gt;LastWeek-364,1,0)</f>
        <v/>
      </c>
      <c r="E1292" s="14">
        <f>C1292^2*D1292</f>
        <v/>
      </c>
    </row>
    <row r="1293">
      <c r="A1293" s="26" t="n">
        <v>45593</v>
      </c>
      <c r="B1293" s="14" t="inlineStr">
        <is>
          <t>NB-0013</t>
        </is>
      </c>
      <c r="C1293" s="14" t="n">
        <v>17</v>
      </c>
      <c r="D1293" s="14">
        <f>IF(A1293&gt;LastWeek-364,1,0)</f>
        <v/>
      </c>
      <c r="E1293" s="14">
        <f>C1293^2*D1293</f>
        <v/>
      </c>
    </row>
    <row r="1294">
      <c r="A1294" s="26" t="n">
        <v>45600</v>
      </c>
      <c r="B1294" s="14" t="inlineStr">
        <is>
          <t>NB-0013</t>
        </is>
      </c>
      <c r="C1294" s="14" t="n">
        <v>17</v>
      </c>
      <c r="D1294" s="14">
        <f>IF(A1294&gt;LastWeek-364,1,0)</f>
        <v/>
      </c>
      <c r="E1294" s="14">
        <f>C1294^2*D1294</f>
        <v/>
      </c>
    </row>
    <row r="1295">
      <c r="A1295" s="26" t="n">
        <v>45607</v>
      </c>
      <c r="B1295" s="14" t="inlineStr">
        <is>
          <t>NB-0013</t>
        </is>
      </c>
      <c r="C1295" s="14" t="n">
        <v>24</v>
      </c>
      <c r="D1295" s="14">
        <f>IF(A1295&gt;LastWeek-364,1,0)</f>
        <v/>
      </c>
      <c r="E1295" s="14">
        <f>C1295^2*D1295</f>
        <v/>
      </c>
    </row>
    <row r="1296">
      <c r="A1296" s="26" t="n">
        <v>45614</v>
      </c>
      <c r="B1296" s="14" t="inlineStr">
        <is>
          <t>NB-0013</t>
        </is>
      </c>
      <c r="C1296" s="14" t="n">
        <v>25</v>
      </c>
      <c r="D1296" s="14">
        <f>IF(A1296&gt;LastWeek-364,1,0)</f>
        <v/>
      </c>
      <c r="E1296" s="14">
        <f>C1296^2*D1296</f>
        <v/>
      </c>
    </row>
    <row r="1297">
      <c r="A1297" s="26" t="n">
        <v>45621</v>
      </c>
      <c r="B1297" s="14" t="inlineStr">
        <is>
          <t>NB-0013</t>
        </is>
      </c>
      <c r="C1297" s="14" t="n">
        <v>20</v>
      </c>
      <c r="D1297" s="14">
        <f>IF(A1297&gt;LastWeek-364,1,0)</f>
        <v/>
      </c>
      <c r="E1297" s="14">
        <f>C1297^2*D1297</f>
        <v/>
      </c>
    </row>
    <row r="1298">
      <c r="A1298" s="26" t="n">
        <v>45628</v>
      </c>
      <c r="B1298" s="14" t="inlineStr">
        <is>
          <t>NB-0013</t>
        </is>
      </c>
      <c r="C1298" s="14" t="n">
        <v>19</v>
      </c>
      <c r="D1298" s="14">
        <f>IF(A1298&gt;LastWeek-364,1,0)</f>
        <v/>
      </c>
      <c r="E1298" s="14">
        <f>C1298^2*D1298</f>
        <v/>
      </c>
    </row>
    <row r="1299">
      <c r="A1299" s="26" t="n">
        <v>45635</v>
      </c>
      <c r="B1299" s="14" t="inlineStr">
        <is>
          <t>NB-0013</t>
        </is>
      </c>
      <c r="C1299" s="14" t="n">
        <v>21</v>
      </c>
      <c r="D1299" s="14">
        <f>IF(A1299&gt;LastWeek-364,1,0)</f>
        <v/>
      </c>
      <c r="E1299" s="14">
        <f>C1299^2*D1299</f>
        <v/>
      </c>
    </row>
    <row r="1300">
      <c r="A1300" s="26" t="n">
        <v>45642</v>
      </c>
      <c r="B1300" s="14" t="inlineStr">
        <is>
          <t>NB-0013</t>
        </is>
      </c>
      <c r="C1300" s="14" t="n">
        <v>17</v>
      </c>
      <c r="D1300" s="14">
        <f>IF(A1300&gt;LastWeek-364,1,0)</f>
        <v/>
      </c>
      <c r="E1300" s="14">
        <f>C1300^2*D1300</f>
        <v/>
      </c>
    </row>
    <row r="1301">
      <c r="A1301" s="26" t="n">
        <v>45649</v>
      </c>
      <c r="B1301" s="14" t="inlineStr">
        <is>
          <t>NB-0013</t>
        </is>
      </c>
      <c r="C1301" s="14" t="n">
        <v>15</v>
      </c>
      <c r="D1301" s="14">
        <f>IF(A1301&gt;LastWeek-364,1,0)</f>
        <v/>
      </c>
      <c r="E1301" s="14">
        <f>C1301^2*D1301</f>
        <v/>
      </c>
    </row>
    <row r="1302">
      <c r="A1302" s="26" t="n">
        <v>45656</v>
      </c>
      <c r="B1302" s="14" t="inlineStr">
        <is>
          <t>NB-0013</t>
        </is>
      </c>
      <c r="C1302" s="14" t="n">
        <v>16</v>
      </c>
      <c r="D1302" s="14">
        <f>IF(A1302&gt;LastWeek-364,1,0)</f>
        <v/>
      </c>
      <c r="E1302" s="14">
        <f>C1302^2*D1302</f>
        <v/>
      </c>
    </row>
    <row r="1303">
      <c r="A1303" s="26" t="n">
        <v>45663</v>
      </c>
      <c r="B1303" s="14" t="inlineStr">
        <is>
          <t>NB-0013</t>
        </is>
      </c>
      <c r="C1303" s="14" t="n">
        <v>18</v>
      </c>
      <c r="D1303" s="14">
        <f>IF(A1303&gt;LastWeek-364,1,0)</f>
        <v/>
      </c>
      <c r="E1303" s="14">
        <f>C1303^2*D1303</f>
        <v/>
      </c>
    </row>
    <row r="1304">
      <c r="A1304" s="26" t="n">
        <v>45670</v>
      </c>
      <c r="B1304" s="14" t="inlineStr">
        <is>
          <t>NB-0013</t>
        </is>
      </c>
      <c r="C1304" s="14" t="n">
        <v>15</v>
      </c>
      <c r="D1304" s="14">
        <f>IF(A1304&gt;LastWeek-364,1,0)</f>
        <v/>
      </c>
      <c r="E1304" s="14">
        <f>C1304^2*D1304</f>
        <v/>
      </c>
    </row>
    <row r="1305">
      <c r="A1305" s="26" t="n">
        <v>45677</v>
      </c>
      <c r="B1305" s="14" t="inlineStr">
        <is>
          <t>NB-0013</t>
        </is>
      </c>
      <c r="C1305" s="14" t="n">
        <v>22</v>
      </c>
      <c r="D1305" s="14">
        <f>IF(A1305&gt;LastWeek-364,1,0)</f>
        <v/>
      </c>
      <c r="E1305" s="14">
        <f>C1305^2*D1305</f>
        <v/>
      </c>
    </row>
    <row r="1306">
      <c r="A1306" s="26" t="n">
        <v>45684</v>
      </c>
      <c r="B1306" s="14" t="inlineStr">
        <is>
          <t>NB-0013</t>
        </is>
      </c>
      <c r="C1306" s="14" t="n">
        <v>25</v>
      </c>
      <c r="D1306" s="14">
        <f>IF(A1306&gt;LastWeek-364,1,0)</f>
        <v/>
      </c>
      <c r="E1306" s="14">
        <f>C1306^2*D1306</f>
        <v/>
      </c>
    </row>
    <row r="1307">
      <c r="A1307" s="26" t="n">
        <v>45691</v>
      </c>
      <c r="B1307" s="14" t="inlineStr">
        <is>
          <t>NB-0013</t>
        </is>
      </c>
      <c r="C1307" s="14" t="n">
        <v>13</v>
      </c>
      <c r="D1307" s="14">
        <f>IF(A1307&gt;LastWeek-364,1,0)</f>
        <v/>
      </c>
      <c r="E1307" s="14">
        <f>C1307^2*D1307</f>
        <v/>
      </c>
    </row>
    <row r="1308">
      <c r="A1308" s="26" t="n">
        <v>45698</v>
      </c>
      <c r="B1308" s="14" t="inlineStr">
        <is>
          <t>NB-0013</t>
        </is>
      </c>
      <c r="C1308" s="14" t="n">
        <v>21</v>
      </c>
      <c r="D1308" s="14">
        <f>IF(A1308&gt;LastWeek-364,1,0)</f>
        <v/>
      </c>
      <c r="E1308" s="14">
        <f>C1308^2*D1308</f>
        <v/>
      </c>
    </row>
    <row r="1309">
      <c r="A1309" s="26" t="n">
        <v>45705</v>
      </c>
      <c r="B1309" s="14" t="inlineStr">
        <is>
          <t>NB-0013</t>
        </is>
      </c>
      <c r="C1309" s="14" t="n">
        <v>20</v>
      </c>
      <c r="D1309" s="14">
        <f>IF(A1309&gt;LastWeek-364,1,0)</f>
        <v/>
      </c>
      <c r="E1309" s="14">
        <f>C1309^2*D1309</f>
        <v/>
      </c>
    </row>
    <row r="1310">
      <c r="A1310" s="26" t="n">
        <v>45712</v>
      </c>
      <c r="B1310" s="14" t="inlineStr">
        <is>
          <t>NB-0013</t>
        </is>
      </c>
      <c r="C1310" s="14" t="n">
        <v>23</v>
      </c>
      <c r="D1310" s="14">
        <f>IF(A1310&gt;LastWeek-364,1,0)</f>
        <v/>
      </c>
      <c r="E1310" s="14">
        <f>C1310^2*D1310</f>
        <v/>
      </c>
    </row>
    <row r="1311">
      <c r="A1311" s="26" t="n">
        <v>45719</v>
      </c>
      <c r="B1311" s="14" t="inlineStr">
        <is>
          <t>NB-0013</t>
        </is>
      </c>
      <c r="C1311" s="14" t="n">
        <v>21</v>
      </c>
      <c r="D1311" s="14">
        <f>IF(A1311&gt;LastWeek-364,1,0)</f>
        <v/>
      </c>
      <c r="E1311" s="14">
        <f>C1311^2*D1311</f>
        <v/>
      </c>
    </row>
    <row r="1312">
      <c r="A1312" s="26" t="n">
        <v>45726</v>
      </c>
      <c r="B1312" s="14" t="inlineStr">
        <is>
          <t>NB-0013</t>
        </is>
      </c>
      <c r="C1312" s="14" t="n">
        <v>13</v>
      </c>
      <c r="D1312" s="14">
        <f>IF(A1312&gt;LastWeek-364,1,0)</f>
        <v/>
      </c>
      <c r="E1312" s="14">
        <f>C1312^2*D1312</f>
        <v/>
      </c>
    </row>
    <row r="1313">
      <c r="A1313" s="26" t="n">
        <v>45733</v>
      </c>
      <c r="B1313" s="14" t="inlineStr">
        <is>
          <t>NB-0013</t>
        </is>
      </c>
      <c r="C1313" s="14" t="n">
        <v>14</v>
      </c>
      <c r="D1313" s="14">
        <f>IF(A1313&gt;LastWeek-364,1,0)</f>
        <v/>
      </c>
      <c r="E1313" s="14">
        <f>C1313^2*D1313</f>
        <v/>
      </c>
    </row>
    <row r="1314">
      <c r="A1314" s="26" t="n">
        <v>45740</v>
      </c>
      <c r="B1314" s="14" t="inlineStr">
        <is>
          <t>NB-0013</t>
        </is>
      </c>
      <c r="C1314" s="14" t="n">
        <v>21</v>
      </c>
      <c r="D1314" s="14">
        <f>IF(A1314&gt;LastWeek-364,1,0)</f>
        <v/>
      </c>
      <c r="E1314" s="14">
        <f>C1314^2*D1314</f>
        <v/>
      </c>
    </row>
    <row r="1315">
      <c r="A1315" s="26" t="n">
        <v>45747</v>
      </c>
      <c r="B1315" s="14" t="inlineStr">
        <is>
          <t>NB-0013</t>
        </is>
      </c>
      <c r="C1315" s="14" t="n">
        <v>26</v>
      </c>
      <c r="D1315" s="14">
        <f>IF(A1315&gt;LastWeek-364,1,0)</f>
        <v/>
      </c>
      <c r="E1315" s="14">
        <f>C1315^2*D1315</f>
        <v/>
      </c>
    </row>
    <row r="1316">
      <c r="A1316" s="26" t="n">
        <v>45754</v>
      </c>
      <c r="B1316" s="14" t="inlineStr">
        <is>
          <t>NB-0013</t>
        </is>
      </c>
      <c r="C1316" s="14" t="n">
        <v>10</v>
      </c>
      <c r="D1316" s="14">
        <f>IF(A1316&gt;LastWeek-364,1,0)</f>
        <v/>
      </c>
      <c r="E1316" s="14">
        <f>C1316^2*D1316</f>
        <v/>
      </c>
    </row>
    <row r="1317">
      <c r="A1317" s="26" t="n">
        <v>45761</v>
      </c>
      <c r="B1317" s="14" t="inlineStr">
        <is>
          <t>NB-0013</t>
        </is>
      </c>
      <c r="C1317" s="14" t="n">
        <v>22</v>
      </c>
      <c r="D1317" s="14">
        <f>IF(A1317&gt;LastWeek-364,1,0)</f>
        <v/>
      </c>
      <c r="E1317" s="14">
        <f>C1317^2*D1317</f>
        <v/>
      </c>
    </row>
    <row r="1318">
      <c r="A1318" s="26" t="n">
        <v>45768</v>
      </c>
      <c r="B1318" s="14" t="inlineStr">
        <is>
          <t>NB-0013</t>
        </is>
      </c>
      <c r="C1318" s="14" t="n">
        <v>26</v>
      </c>
      <c r="D1318" s="14">
        <f>IF(A1318&gt;LastWeek-364,1,0)</f>
        <v/>
      </c>
      <c r="E1318" s="14">
        <f>C1318^2*D1318</f>
        <v/>
      </c>
    </row>
    <row r="1319">
      <c r="A1319" s="26" t="n">
        <v>45775</v>
      </c>
      <c r="B1319" s="14" t="inlineStr">
        <is>
          <t>NB-0013</t>
        </is>
      </c>
      <c r="C1319" s="14" t="n">
        <v>20</v>
      </c>
      <c r="D1319" s="14">
        <f>IF(A1319&gt;LastWeek-364,1,0)</f>
        <v/>
      </c>
      <c r="E1319" s="14">
        <f>C1319^2*D1319</f>
        <v/>
      </c>
    </row>
    <row r="1320">
      <c r="A1320" s="26" t="n">
        <v>45782</v>
      </c>
      <c r="B1320" s="14" t="inlineStr">
        <is>
          <t>NB-0013</t>
        </is>
      </c>
      <c r="C1320" s="14" t="n">
        <v>23</v>
      </c>
      <c r="D1320" s="14">
        <f>IF(A1320&gt;LastWeek-364,1,0)</f>
        <v/>
      </c>
      <c r="E1320" s="14">
        <f>C1320^2*D1320</f>
        <v/>
      </c>
    </row>
    <row r="1321">
      <c r="A1321" s="26" t="n">
        <v>45789</v>
      </c>
      <c r="B1321" s="14" t="inlineStr">
        <is>
          <t>NB-0013</t>
        </is>
      </c>
      <c r="C1321" s="14" t="n">
        <v>17</v>
      </c>
      <c r="D1321" s="14">
        <f>IF(A1321&gt;LastWeek-364,1,0)</f>
        <v/>
      </c>
      <c r="E1321" s="14">
        <f>C1321^2*D1321</f>
        <v/>
      </c>
    </row>
    <row r="1322">
      <c r="A1322" s="26" t="n">
        <v>45796</v>
      </c>
      <c r="B1322" s="14" t="inlineStr">
        <is>
          <t>NB-0013</t>
        </is>
      </c>
      <c r="C1322" s="14" t="n">
        <v>20</v>
      </c>
      <c r="D1322" s="14">
        <f>IF(A1322&gt;LastWeek-364,1,0)</f>
        <v/>
      </c>
      <c r="E1322" s="14">
        <f>C1322^2*D1322</f>
        <v/>
      </c>
    </row>
    <row r="1323">
      <c r="A1323" s="26" t="n">
        <v>45803</v>
      </c>
      <c r="B1323" s="14" t="inlineStr">
        <is>
          <t>NB-0013</t>
        </is>
      </c>
      <c r="C1323" s="14" t="n">
        <v>12</v>
      </c>
      <c r="D1323" s="14">
        <f>IF(A1323&gt;LastWeek-364,1,0)</f>
        <v/>
      </c>
      <c r="E1323" s="14">
        <f>C1323^2*D1323</f>
        <v/>
      </c>
    </row>
    <row r="1324">
      <c r="A1324" s="26" t="n">
        <v>45810</v>
      </c>
      <c r="B1324" s="14" t="inlineStr">
        <is>
          <t>NB-0013</t>
        </is>
      </c>
      <c r="C1324" s="14" t="n">
        <v>9</v>
      </c>
      <c r="D1324" s="14">
        <f>IF(A1324&gt;LastWeek-364,1,0)</f>
        <v/>
      </c>
      <c r="E1324" s="14">
        <f>C1324^2*D1324</f>
        <v/>
      </c>
    </row>
    <row r="1325">
      <c r="A1325" s="26" t="n">
        <v>45817</v>
      </c>
      <c r="B1325" s="14" t="inlineStr">
        <is>
          <t>NB-0013</t>
        </is>
      </c>
      <c r="C1325" s="14" t="n">
        <v>25</v>
      </c>
      <c r="D1325" s="14">
        <f>IF(A1325&gt;LastWeek-364,1,0)</f>
        <v/>
      </c>
      <c r="E1325" s="14">
        <f>C1325^2*D1325</f>
        <v/>
      </c>
    </row>
    <row r="1326">
      <c r="A1326" s="26" t="n">
        <v>45824</v>
      </c>
      <c r="B1326" s="14" t="inlineStr">
        <is>
          <t>NB-0013</t>
        </is>
      </c>
      <c r="C1326" s="14" t="n">
        <v>15</v>
      </c>
      <c r="D1326" s="14">
        <f>IF(A1326&gt;LastWeek-364,1,0)</f>
        <v/>
      </c>
      <c r="E1326" s="14">
        <f>C1326^2*D1326</f>
        <v/>
      </c>
    </row>
    <row r="1327">
      <c r="A1327" s="26" t="n">
        <v>45831</v>
      </c>
      <c r="B1327" s="14" t="inlineStr">
        <is>
          <t>NB-0013</t>
        </is>
      </c>
      <c r="C1327" s="14" t="n">
        <v>18</v>
      </c>
      <c r="D1327" s="14">
        <f>IF(A1327&gt;LastWeek-364,1,0)</f>
        <v/>
      </c>
      <c r="E1327" s="14">
        <f>C1327^2*D1327</f>
        <v/>
      </c>
    </row>
    <row r="1328">
      <c r="A1328" s="26" t="n">
        <v>45838</v>
      </c>
      <c r="B1328" s="14" t="inlineStr">
        <is>
          <t>NB-0013</t>
        </is>
      </c>
      <c r="C1328" s="14" t="n">
        <v>13</v>
      </c>
      <c r="D1328" s="14">
        <f>IF(A1328&gt;LastWeek-364,1,0)</f>
        <v/>
      </c>
      <c r="E1328" s="14">
        <f>C1328^2*D1328</f>
        <v/>
      </c>
    </row>
    <row r="1329">
      <c r="A1329" s="26" t="n">
        <v>45845</v>
      </c>
      <c r="B1329" s="14" t="inlineStr">
        <is>
          <t>NB-0013</t>
        </is>
      </c>
      <c r="C1329" s="14" t="n">
        <v>13</v>
      </c>
      <c r="D1329" s="14">
        <f>IF(A1329&gt;LastWeek-364,1,0)</f>
        <v/>
      </c>
      <c r="E1329" s="14">
        <f>C1329^2*D1329</f>
        <v/>
      </c>
    </row>
    <row r="1330">
      <c r="A1330" s="26" t="n">
        <v>45852</v>
      </c>
      <c r="B1330" s="14" t="inlineStr">
        <is>
          <t>NB-0013</t>
        </is>
      </c>
      <c r="C1330" s="14" t="n">
        <v>19</v>
      </c>
      <c r="D1330" s="14">
        <f>IF(A1330&gt;LastWeek-364,1,0)</f>
        <v/>
      </c>
      <c r="E1330" s="14">
        <f>C1330^2*D1330</f>
        <v/>
      </c>
    </row>
    <row r="1331">
      <c r="A1331" s="26" t="n">
        <v>45859</v>
      </c>
      <c r="B1331" s="14" t="inlineStr">
        <is>
          <t>NB-0013</t>
        </is>
      </c>
      <c r="C1331" s="14" t="n">
        <v>17</v>
      </c>
      <c r="D1331" s="14">
        <f>IF(A1331&gt;LastWeek-364,1,0)</f>
        <v/>
      </c>
      <c r="E1331" s="14">
        <f>C1331^2*D1331</f>
        <v/>
      </c>
    </row>
    <row r="1332">
      <c r="A1332" s="26" t="n">
        <v>45866</v>
      </c>
      <c r="B1332" s="14" t="inlineStr">
        <is>
          <t>NB-0013</t>
        </is>
      </c>
      <c r="C1332" s="14" t="n">
        <v>22</v>
      </c>
      <c r="D1332" s="14">
        <f>IF(A1332&gt;LastWeek-364,1,0)</f>
        <v/>
      </c>
      <c r="E1332" s="14">
        <f>C1332^2*D1332</f>
        <v/>
      </c>
    </row>
    <row r="1333">
      <c r="A1333" s="26" t="n">
        <v>45873</v>
      </c>
      <c r="B1333" s="14" t="inlineStr">
        <is>
          <t>NB-0013</t>
        </is>
      </c>
      <c r="C1333" s="14" t="n">
        <v>22</v>
      </c>
      <c r="D1333" s="14">
        <f>IF(A1333&gt;LastWeek-364,1,0)</f>
        <v/>
      </c>
      <c r="E1333" s="14">
        <f>C1333^2*D1333</f>
        <v/>
      </c>
    </row>
    <row r="1334">
      <c r="A1334" s="26" t="n">
        <v>45880</v>
      </c>
      <c r="B1334" s="14" t="inlineStr">
        <is>
          <t>NB-0013</t>
        </is>
      </c>
      <c r="C1334" s="14" t="n">
        <v>22</v>
      </c>
      <c r="D1334" s="14">
        <f>IF(A1334&gt;LastWeek-364,1,0)</f>
        <v/>
      </c>
      <c r="E1334" s="14">
        <f>C1334^2*D1334</f>
        <v/>
      </c>
    </row>
    <row r="1335">
      <c r="A1335" s="26" t="n">
        <v>45887</v>
      </c>
      <c r="B1335" s="14" t="inlineStr">
        <is>
          <t>NB-0013</t>
        </is>
      </c>
      <c r="C1335" s="14" t="n">
        <v>22</v>
      </c>
      <c r="D1335" s="14">
        <f>IF(A1335&gt;LastWeek-364,1,0)</f>
        <v/>
      </c>
      <c r="E1335" s="14">
        <f>C1335^2*D1335</f>
        <v/>
      </c>
    </row>
    <row r="1336">
      <c r="A1336" s="26" t="n">
        <v>45894</v>
      </c>
      <c r="B1336" s="14" t="inlineStr">
        <is>
          <t>NB-0013</t>
        </is>
      </c>
      <c r="C1336" s="14" t="n">
        <v>28</v>
      </c>
      <c r="D1336" s="14">
        <f>IF(A1336&gt;LastWeek-364,1,0)</f>
        <v/>
      </c>
      <c r="E1336" s="14">
        <f>C1336^2*D1336</f>
        <v/>
      </c>
    </row>
    <row r="1337">
      <c r="A1337" s="26" t="n">
        <v>45901</v>
      </c>
      <c r="B1337" s="14" t="inlineStr">
        <is>
          <t>NB-0013</t>
        </is>
      </c>
      <c r="C1337" s="14" t="n">
        <v>15</v>
      </c>
      <c r="D1337" s="14">
        <f>IF(A1337&gt;LastWeek-364,1,0)</f>
        <v/>
      </c>
      <c r="E1337" s="14">
        <f>C1337^2*D1337</f>
        <v/>
      </c>
    </row>
    <row r="1338">
      <c r="A1338" s="26" t="n">
        <v>45908</v>
      </c>
      <c r="B1338" s="14" t="inlineStr">
        <is>
          <t>NB-0013</t>
        </is>
      </c>
      <c r="C1338" s="14" t="n">
        <v>20</v>
      </c>
      <c r="D1338" s="14">
        <f>IF(A1338&gt;LastWeek-364,1,0)</f>
        <v/>
      </c>
      <c r="E1338" s="14">
        <f>C1338^2*D1338</f>
        <v/>
      </c>
    </row>
    <row r="1339">
      <c r="A1339" s="26" t="n">
        <v>45915</v>
      </c>
      <c r="B1339" s="14" t="inlineStr">
        <is>
          <t>NB-0013</t>
        </is>
      </c>
      <c r="C1339" s="14" t="n">
        <v>26</v>
      </c>
      <c r="D1339" s="14">
        <f>IF(A1339&gt;LastWeek-364,1,0)</f>
        <v/>
      </c>
      <c r="E1339" s="14">
        <f>C1339^2*D1339</f>
        <v/>
      </c>
    </row>
    <row r="1340">
      <c r="A1340" s="26" t="n">
        <v>45922</v>
      </c>
      <c r="B1340" s="14" t="inlineStr">
        <is>
          <t>NB-0013</t>
        </is>
      </c>
      <c r="C1340" s="14" t="n">
        <v>27</v>
      </c>
      <c r="D1340" s="14">
        <f>IF(A1340&gt;LastWeek-364,1,0)</f>
        <v/>
      </c>
      <c r="E1340" s="14">
        <f>C1340^2*D1340</f>
        <v/>
      </c>
    </row>
    <row r="1341">
      <c r="A1341" s="26" t="n">
        <v>45929</v>
      </c>
      <c r="B1341" s="14" t="inlineStr">
        <is>
          <t>NB-0013</t>
        </is>
      </c>
      <c r="C1341" s="14" t="n">
        <v>14</v>
      </c>
      <c r="D1341" s="14">
        <f>IF(A1341&gt;LastWeek-364,1,0)</f>
        <v/>
      </c>
      <c r="E1341" s="14">
        <f>C1341^2*D1341</f>
        <v/>
      </c>
    </row>
    <row r="1342">
      <c r="A1342" s="26" t="n">
        <v>45936</v>
      </c>
      <c r="B1342" s="14" t="inlineStr">
        <is>
          <t>NB-0013</t>
        </is>
      </c>
      <c r="C1342" s="14" t="n">
        <v>20</v>
      </c>
      <c r="D1342" s="14">
        <f>IF(A1342&gt;LastWeek-364,1,0)</f>
        <v/>
      </c>
      <c r="E1342" s="14">
        <f>C1342^2*D1342</f>
        <v/>
      </c>
    </row>
    <row r="1343">
      <c r="A1343" s="26" t="n">
        <v>45943</v>
      </c>
      <c r="B1343" s="14" t="inlineStr">
        <is>
          <t>NB-0013</t>
        </is>
      </c>
      <c r="C1343" s="14" t="n">
        <v>28</v>
      </c>
      <c r="D1343" s="14">
        <f>IF(A1343&gt;LastWeek-364,1,0)</f>
        <v/>
      </c>
      <c r="E1343" s="14">
        <f>C1343^2*D1343</f>
        <v/>
      </c>
    </row>
    <row r="1344">
      <c r="A1344" s="26" t="n">
        <v>45950</v>
      </c>
      <c r="B1344" s="14" t="inlineStr">
        <is>
          <t>NB-0013</t>
        </is>
      </c>
      <c r="C1344" s="14" t="n">
        <v>24</v>
      </c>
      <c r="D1344" s="14">
        <f>IF(A1344&gt;LastWeek-364,1,0)</f>
        <v/>
      </c>
      <c r="E1344" s="14">
        <f>C1344^2*D1344</f>
        <v/>
      </c>
    </row>
    <row r="1345">
      <c r="A1345" s="26" t="n">
        <v>45957</v>
      </c>
      <c r="B1345" s="14" t="inlineStr">
        <is>
          <t>NB-0013</t>
        </is>
      </c>
      <c r="C1345" s="14" t="n">
        <v>22</v>
      </c>
      <c r="D1345" s="14">
        <f>IF(A1345&gt;LastWeek-364,1,0)</f>
        <v/>
      </c>
      <c r="E1345" s="14">
        <f>C1345^2*D1345</f>
        <v/>
      </c>
    </row>
    <row r="1346">
      <c r="A1346" s="26" t="n">
        <v>45964</v>
      </c>
      <c r="B1346" s="14" t="inlineStr">
        <is>
          <t>NB-0013</t>
        </is>
      </c>
      <c r="C1346" s="14" t="n">
        <v>20</v>
      </c>
      <c r="D1346" s="14">
        <f>IF(A1346&gt;LastWeek-364,1,0)</f>
        <v/>
      </c>
      <c r="E1346" s="14">
        <f>C1346^2*D1346</f>
        <v/>
      </c>
    </row>
    <row r="1347">
      <c r="A1347" s="26" t="n">
        <v>45971</v>
      </c>
      <c r="B1347" s="14" t="inlineStr">
        <is>
          <t>NB-0013</t>
        </is>
      </c>
      <c r="C1347" s="14" t="n">
        <v>20</v>
      </c>
      <c r="D1347" s="14">
        <f>IF(A1347&gt;LastWeek-364,1,0)</f>
        <v/>
      </c>
      <c r="E1347" s="14">
        <f>C1347^2*D1347</f>
        <v/>
      </c>
    </row>
    <row r="1348">
      <c r="A1348" s="26" t="n">
        <v>45978</v>
      </c>
      <c r="B1348" s="14" t="inlineStr">
        <is>
          <t>NB-0013</t>
        </is>
      </c>
      <c r="C1348" s="14" t="n">
        <v>23</v>
      </c>
      <c r="D1348" s="14">
        <f>IF(A1348&gt;LastWeek-364,1,0)</f>
        <v/>
      </c>
      <c r="E1348" s="14">
        <f>C1348^2*D1348</f>
        <v/>
      </c>
    </row>
    <row r="1349">
      <c r="A1349" s="26" t="n">
        <v>45985</v>
      </c>
      <c r="B1349" s="14" t="inlineStr">
        <is>
          <t>NB-0013</t>
        </is>
      </c>
      <c r="C1349" s="14" t="n">
        <v>21</v>
      </c>
      <c r="D1349" s="14">
        <f>IF(A1349&gt;LastWeek-364,1,0)</f>
        <v/>
      </c>
      <c r="E1349" s="14">
        <f>C1349^2*D1349</f>
        <v/>
      </c>
    </row>
    <row r="1350">
      <c r="A1350" s="26" t="n">
        <v>45992</v>
      </c>
      <c r="B1350" s="14" t="inlineStr">
        <is>
          <t>NB-0013</t>
        </is>
      </c>
      <c r="C1350" s="14" t="n">
        <v>22</v>
      </c>
      <c r="D1350" s="14">
        <f>IF(A1350&gt;LastWeek-364,1,0)</f>
        <v/>
      </c>
      <c r="E1350" s="14">
        <f>C1350^2*D1350</f>
        <v/>
      </c>
    </row>
    <row r="1351">
      <c r="A1351" s="26" t="n">
        <v>45999</v>
      </c>
      <c r="B1351" s="14" t="inlineStr">
        <is>
          <t>NB-0013</t>
        </is>
      </c>
      <c r="C1351" s="14" t="n">
        <v>22</v>
      </c>
      <c r="D1351" s="14">
        <f>IF(A1351&gt;LastWeek-364,1,0)</f>
        <v/>
      </c>
      <c r="E1351" s="14">
        <f>C1351^2*D1351</f>
        <v/>
      </c>
    </row>
    <row r="1352">
      <c r="A1352" s="26" t="n">
        <v>46006</v>
      </c>
      <c r="B1352" s="14" t="inlineStr">
        <is>
          <t>NB-0013</t>
        </is>
      </c>
      <c r="C1352" s="14" t="n">
        <v>18</v>
      </c>
      <c r="D1352" s="14">
        <f>IF(A1352&gt;LastWeek-364,1,0)</f>
        <v/>
      </c>
      <c r="E1352" s="14">
        <f>C1352^2*D1352</f>
        <v/>
      </c>
    </row>
    <row r="1353">
      <c r="A1353" s="26" t="n">
        <v>46013</v>
      </c>
      <c r="B1353" s="14" t="inlineStr">
        <is>
          <t>NB-0013</t>
        </is>
      </c>
      <c r="C1353" s="14" t="n">
        <v>25</v>
      </c>
      <c r="D1353" s="14">
        <f>IF(A1353&gt;LastWeek-364,1,0)</f>
        <v/>
      </c>
      <c r="E1353" s="14">
        <f>C1353^2*D1353</f>
        <v/>
      </c>
    </row>
    <row r="1354">
      <c r="A1354" s="26" t="n">
        <v>45292</v>
      </c>
      <c r="B1354" s="14" t="inlineStr">
        <is>
          <t>NB-0014</t>
        </is>
      </c>
      <c r="C1354" s="14" t="n">
        <v>9</v>
      </c>
      <c r="D1354" s="14">
        <f>IF(A1354&gt;LastWeek-364,1,0)</f>
        <v/>
      </c>
      <c r="E1354" s="14">
        <f>C1354^2*D1354</f>
        <v/>
      </c>
    </row>
    <row r="1355">
      <c r="A1355" s="26" t="n">
        <v>45299</v>
      </c>
      <c r="B1355" s="14" t="inlineStr">
        <is>
          <t>NB-0014</t>
        </is>
      </c>
      <c r="C1355" s="14" t="n">
        <v>6</v>
      </c>
      <c r="D1355" s="14">
        <f>IF(A1355&gt;LastWeek-364,1,0)</f>
        <v/>
      </c>
      <c r="E1355" s="14">
        <f>C1355^2*D1355</f>
        <v/>
      </c>
    </row>
    <row r="1356">
      <c r="A1356" s="26" t="n">
        <v>45306</v>
      </c>
      <c r="B1356" s="14" t="inlineStr">
        <is>
          <t>NB-0014</t>
        </is>
      </c>
      <c r="C1356" s="14" t="n">
        <v>7</v>
      </c>
      <c r="D1356" s="14">
        <f>IF(A1356&gt;LastWeek-364,1,0)</f>
        <v/>
      </c>
      <c r="E1356" s="14">
        <f>C1356^2*D1356</f>
        <v/>
      </c>
    </row>
    <row r="1357">
      <c r="A1357" s="26" t="n">
        <v>45313</v>
      </c>
      <c r="B1357" s="14" t="inlineStr">
        <is>
          <t>NB-0014</t>
        </is>
      </c>
      <c r="C1357" s="14" t="n">
        <v>7</v>
      </c>
      <c r="D1357" s="14">
        <f>IF(A1357&gt;LastWeek-364,1,0)</f>
        <v/>
      </c>
      <c r="E1357" s="14">
        <f>C1357^2*D1357</f>
        <v/>
      </c>
    </row>
    <row r="1358">
      <c r="A1358" s="26" t="n">
        <v>45320</v>
      </c>
      <c r="B1358" s="14" t="inlineStr">
        <is>
          <t>NB-0014</t>
        </is>
      </c>
      <c r="C1358" s="14" t="n">
        <v>8</v>
      </c>
      <c r="D1358" s="14">
        <f>IF(A1358&gt;LastWeek-364,1,0)</f>
        <v/>
      </c>
      <c r="E1358" s="14">
        <f>C1358^2*D1358</f>
        <v/>
      </c>
    </row>
    <row r="1359">
      <c r="A1359" s="26" t="n">
        <v>45327</v>
      </c>
      <c r="B1359" s="14" t="inlineStr">
        <is>
          <t>NB-0014</t>
        </is>
      </c>
      <c r="C1359" s="14" t="n">
        <v>7</v>
      </c>
      <c r="D1359" s="14">
        <f>IF(A1359&gt;LastWeek-364,1,0)</f>
        <v/>
      </c>
      <c r="E1359" s="14">
        <f>C1359^2*D1359</f>
        <v/>
      </c>
    </row>
    <row r="1360">
      <c r="A1360" s="26" t="n">
        <v>45334</v>
      </c>
      <c r="B1360" s="14" t="inlineStr">
        <is>
          <t>NB-0014</t>
        </is>
      </c>
      <c r="C1360" s="14" t="n">
        <v>8</v>
      </c>
      <c r="D1360" s="14">
        <f>IF(A1360&gt;LastWeek-364,1,0)</f>
        <v/>
      </c>
      <c r="E1360" s="14">
        <f>C1360^2*D1360</f>
        <v/>
      </c>
    </row>
    <row r="1361">
      <c r="A1361" s="26" t="n">
        <v>45341</v>
      </c>
      <c r="B1361" s="14" t="inlineStr">
        <is>
          <t>NB-0014</t>
        </is>
      </c>
      <c r="C1361" s="14" t="n">
        <v>8</v>
      </c>
      <c r="D1361" s="14">
        <f>IF(A1361&gt;LastWeek-364,1,0)</f>
        <v/>
      </c>
      <c r="E1361" s="14">
        <f>C1361^2*D1361</f>
        <v/>
      </c>
    </row>
    <row r="1362">
      <c r="A1362" s="26" t="n">
        <v>45348</v>
      </c>
      <c r="B1362" s="14" t="inlineStr">
        <is>
          <t>NB-0014</t>
        </is>
      </c>
      <c r="C1362" s="14" t="n">
        <v>7</v>
      </c>
      <c r="D1362" s="14">
        <f>IF(A1362&gt;LastWeek-364,1,0)</f>
        <v/>
      </c>
      <c r="E1362" s="14">
        <f>C1362^2*D1362</f>
        <v/>
      </c>
    </row>
    <row r="1363">
      <c r="A1363" s="26" t="n">
        <v>45355</v>
      </c>
      <c r="B1363" s="14" t="inlineStr">
        <is>
          <t>NB-0014</t>
        </is>
      </c>
      <c r="C1363" s="14" t="n">
        <v>8</v>
      </c>
      <c r="D1363" s="14">
        <f>IF(A1363&gt;LastWeek-364,1,0)</f>
        <v/>
      </c>
      <c r="E1363" s="14">
        <f>C1363^2*D1363</f>
        <v/>
      </c>
    </row>
    <row r="1364">
      <c r="A1364" s="26" t="n">
        <v>45362</v>
      </c>
      <c r="B1364" s="14" t="inlineStr">
        <is>
          <t>NB-0014</t>
        </is>
      </c>
      <c r="C1364" s="14" t="n">
        <v>5</v>
      </c>
      <c r="D1364" s="14">
        <f>IF(A1364&gt;LastWeek-364,1,0)</f>
        <v/>
      </c>
      <c r="E1364" s="14">
        <f>C1364^2*D1364</f>
        <v/>
      </c>
    </row>
    <row r="1365">
      <c r="A1365" s="26" t="n">
        <v>45369</v>
      </c>
      <c r="B1365" s="14" t="inlineStr">
        <is>
          <t>NB-0014</t>
        </is>
      </c>
      <c r="C1365" s="14" t="n">
        <v>8</v>
      </c>
      <c r="D1365" s="14">
        <f>IF(A1365&gt;LastWeek-364,1,0)</f>
        <v/>
      </c>
      <c r="E1365" s="14">
        <f>C1365^2*D1365</f>
        <v/>
      </c>
    </row>
    <row r="1366">
      <c r="A1366" s="26" t="n">
        <v>45376</v>
      </c>
      <c r="B1366" s="14" t="inlineStr">
        <is>
          <t>NB-0014</t>
        </is>
      </c>
      <c r="C1366" s="14" t="n">
        <v>7</v>
      </c>
      <c r="D1366" s="14">
        <f>IF(A1366&gt;LastWeek-364,1,0)</f>
        <v/>
      </c>
      <c r="E1366" s="14">
        <f>C1366^2*D1366</f>
        <v/>
      </c>
    </row>
    <row r="1367">
      <c r="A1367" s="26" t="n">
        <v>45383</v>
      </c>
      <c r="B1367" s="14" t="inlineStr">
        <is>
          <t>NB-0014</t>
        </is>
      </c>
      <c r="C1367" s="14" t="n">
        <v>8</v>
      </c>
      <c r="D1367" s="14">
        <f>IF(A1367&gt;LastWeek-364,1,0)</f>
        <v/>
      </c>
      <c r="E1367" s="14">
        <f>C1367^2*D1367</f>
        <v/>
      </c>
    </row>
    <row r="1368">
      <c r="A1368" s="26" t="n">
        <v>45390</v>
      </c>
      <c r="B1368" s="14" t="inlineStr">
        <is>
          <t>NB-0014</t>
        </is>
      </c>
      <c r="C1368" s="14" t="n">
        <v>6</v>
      </c>
      <c r="D1368" s="14">
        <f>IF(A1368&gt;LastWeek-364,1,0)</f>
        <v/>
      </c>
      <c r="E1368" s="14">
        <f>C1368^2*D1368</f>
        <v/>
      </c>
    </row>
    <row r="1369">
      <c r="A1369" s="26" t="n">
        <v>45397</v>
      </c>
      <c r="B1369" s="14" t="inlineStr">
        <is>
          <t>NB-0014</t>
        </is>
      </c>
      <c r="C1369" s="14" t="n">
        <v>6</v>
      </c>
      <c r="D1369" s="14">
        <f>IF(A1369&gt;LastWeek-364,1,0)</f>
        <v/>
      </c>
      <c r="E1369" s="14">
        <f>C1369^2*D1369</f>
        <v/>
      </c>
    </row>
    <row r="1370">
      <c r="A1370" s="26" t="n">
        <v>45404</v>
      </c>
      <c r="B1370" s="14" t="inlineStr">
        <is>
          <t>NB-0014</t>
        </is>
      </c>
      <c r="C1370" s="14" t="n">
        <v>7</v>
      </c>
      <c r="D1370" s="14">
        <f>IF(A1370&gt;LastWeek-364,1,0)</f>
        <v/>
      </c>
      <c r="E1370" s="14">
        <f>C1370^2*D1370</f>
        <v/>
      </c>
    </row>
    <row r="1371">
      <c r="A1371" s="26" t="n">
        <v>45411</v>
      </c>
      <c r="B1371" s="14" t="inlineStr">
        <is>
          <t>NB-0014</t>
        </is>
      </c>
      <c r="C1371" s="14" t="n">
        <v>7</v>
      </c>
      <c r="D1371" s="14">
        <f>IF(A1371&gt;LastWeek-364,1,0)</f>
        <v/>
      </c>
      <c r="E1371" s="14">
        <f>C1371^2*D1371</f>
        <v/>
      </c>
    </row>
    <row r="1372">
      <c r="A1372" s="26" t="n">
        <v>45418</v>
      </c>
      <c r="B1372" s="14" t="inlineStr">
        <is>
          <t>NB-0014</t>
        </is>
      </c>
      <c r="C1372" s="14" t="n">
        <v>7</v>
      </c>
      <c r="D1372" s="14">
        <f>IF(A1372&gt;LastWeek-364,1,0)</f>
        <v/>
      </c>
      <c r="E1372" s="14">
        <f>C1372^2*D1372</f>
        <v/>
      </c>
    </row>
    <row r="1373">
      <c r="A1373" s="26" t="n">
        <v>45425</v>
      </c>
      <c r="B1373" s="14" t="inlineStr">
        <is>
          <t>NB-0014</t>
        </is>
      </c>
      <c r="C1373" s="14" t="n">
        <v>8</v>
      </c>
      <c r="D1373" s="14">
        <f>IF(A1373&gt;LastWeek-364,1,0)</f>
        <v/>
      </c>
      <c r="E1373" s="14">
        <f>C1373^2*D1373</f>
        <v/>
      </c>
    </row>
    <row r="1374">
      <c r="A1374" s="26" t="n">
        <v>45432</v>
      </c>
      <c r="B1374" s="14" t="inlineStr">
        <is>
          <t>NB-0014</t>
        </is>
      </c>
      <c r="C1374" s="14" t="n">
        <v>6</v>
      </c>
      <c r="D1374" s="14">
        <f>IF(A1374&gt;LastWeek-364,1,0)</f>
        <v/>
      </c>
      <c r="E1374" s="14">
        <f>C1374^2*D1374</f>
        <v/>
      </c>
    </row>
    <row r="1375">
      <c r="A1375" s="26" t="n">
        <v>45439</v>
      </c>
      <c r="B1375" s="14" t="inlineStr">
        <is>
          <t>NB-0014</t>
        </is>
      </c>
      <c r="C1375" s="14" t="n">
        <v>8</v>
      </c>
      <c r="D1375" s="14">
        <f>IF(A1375&gt;LastWeek-364,1,0)</f>
        <v/>
      </c>
      <c r="E1375" s="14">
        <f>C1375^2*D1375</f>
        <v/>
      </c>
    </row>
    <row r="1376">
      <c r="A1376" s="26" t="n">
        <v>45446</v>
      </c>
      <c r="B1376" s="14" t="inlineStr">
        <is>
          <t>NB-0014</t>
        </is>
      </c>
      <c r="C1376" s="14" t="n">
        <v>7</v>
      </c>
      <c r="D1376" s="14">
        <f>IF(A1376&gt;LastWeek-364,1,0)</f>
        <v/>
      </c>
      <c r="E1376" s="14">
        <f>C1376^2*D1376</f>
        <v/>
      </c>
    </row>
    <row r="1377">
      <c r="A1377" s="26" t="n">
        <v>45453</v>
      </c>
      <c r="B1377" s="14" t="inlineStr">
        <is>
          <t>NB-0014</t>
        </is>
      </c>
      <c r="C1377" s="14" t="n">
        <v>7</v>
      </c>
      <c r="D1377" s="14">
        <f>IF(A1377&gt;LastWeek-364,1,0)</f>
        <v/>
      </c>
      <c r="E1377" s="14">
        <f>C1377^2*D1377</f>
        <v/>
      </c>
    </row>
    <row r="1378">
      <c r="A1378" s="26" t="n">
        <v>45460</v>
      </c>
      <c r="B1378" s="14" t="inlineStr">
        <is>
          <t>NB-0014</t>
        </is>
      </c>
      <c r="C1378" s="14" t="n">
        <v>6</v>
      </c>
      <c r="D1378" s="14">
        <f>IF(A1378&gt;LastWeek-364,1,0)</f>
        <v/>
      </c>
      <c r="E1378" s="14">
        <f>C1378^2*D1378</f>
        <v/>
      </c>
    </row>
    <row r="1379">
      <c r="A1379" s="26" t="n">
        <v>45467</v>
      </c>
      <c r="B1379" s="14" t="inlineStr">
        <is>
          <t>NB-0014</t>
        </is>
      </c>
      <c r="C1379" s="14" t="n">
        <v>7</v>
      </c>
      <c r="D1379" s="14">
        <f>IF(A1379&gt;LastWeek-364,1,0)</f>
        <v/>
      </c>
      <c r="E1379" s="14">
        <f>C1379^2*D1379</f>
        <v/>
      </c>
    </row>
    <row r="1380">
      <c r="A1380" s="26" t="n">
        <v>45474</v>
      </c>
      <c r="B1380" s="14" t="inlineStr">
        <is>
          <t>NB-0014</t>
        </is>
      </c>
      <c r="C1380" s="14" t="n">
        <v>5</v>
      </c>
      <c r="D1380" s="14">
        <f>IF(A1380&gt;LastWeek-364,1,0)</f>
        <v/>
      </c>
      <c r="E1380" s="14">
        <f>C1380^2*D1380</f>
        <v/>
      </c>
    </row>
    <row r="1381">
      <c r="A1381" s="26" t="n">
        <v>45481</v>
      </c>
      <c r="B1381" s="14" t="inlineStr">
        <is>
          <t>NB-0014</t>
        </is>
      </c>
      <c r="C1381" s="14" t="n">
        <v>7</v>
      </c>
      <c r="D1381" s="14">
        <f>IF(A1381&gt;LastWeek-364,1,0)</f>
        <v/>
      </c>
      <c r="E1381" s="14">
        <f>C1381^2*D1381</f>
        <v/>
      </c>
    </row>
    <row r="1382">
      <c r="A1382" s="26" t="n">
        <v>45488</v>
      </c>
      <c r="B1382" s="14" t="inlineStr">
        <is>
          <t>NB-0014</t>
        </is>
      </c>
      <c r="C1382" s="14" t="n">
        <v>6</v>
      </c>
      <c r="D1382" s="14">
        <f>IF(A1382&gt;LastWeek-364,1,0)</f>
        <v/>
      </c>
      <c r="E1382" s="14">
        <f>C1382^2*D1382</f>
        <v/>
      </c>
    </row>
    <row r="1383">
      <c r="A1383" s="26" t="n">
        <v>45495</v>
      </c>
      <c r="B1383" s="14" t="inlineStr">
        <is>
          <t>NB-0014</t>
        </is>
      </c>
      <c r="C1383" s="14" t="n">
        <v>7</v>
      </c>
      <c r="D1383" s="14">
        <f>IF(A1383&gt;LastWeek-364,1,0)</f>
        <v/>
      </c>
      <c r="E1383" s="14">
        <f>C1383^2*D1383</f>
        <v/>
      </c>
    </row>
    <row r="1384">
      <c r="A1384" s="26" t="n">
        <v>45502</v>
      </c>
      <c r="B1384" s="14" t="inlineStr">
        <is>
          <t>NB-0014</t>
        </is>
      </c>
      <c r="C1384" s="14" t="n">
        <v>7</v>
      </c>
      <c r="D1384" s="14">
        <f>IF(A1384&gt;LastWeek-364,1,0)</f>
        <v/>
      </c>
      <c r="E1384" s="14">
        <f>C1384^2*D1384</f>
        <v/>
      </c>
    </row>
    <row r="1385">
      <c r="A1385" s="26" t="n">
        <v>45509</v>
      </c>
      <c r="B1385" s="14" t="inlineStr">
        <is>
          <t>NB-0014</t>
        </is>
      </c>
      <c r="C1385" s="14" t="n">
        <v>8</v>
      </c>
      <c r="D1385" s="14">
        <f>IF(A1385&gt;LastWeek-364,1,0)</f>
        <v/>
      </c>
      <c r="E1385" s="14">
        <f>C1385^2*D1385</f>
        <v/>
      </c>
    </row>
    <row r="1386">
      <c r="A1386" s="26" t="n">
        <v>45516</v>
      </c>
      <c r="B1386" s="14" t="inlineStr">
        <is>
          <t>NB-0014</t>
        </is>
      </c>
      <c r="C1386" s="14" t="n">
        <v>7</v>
      </c>
      <c r="D1386" s="14">
        <f>IF(A1386&gt;LastWeek-364,1,0)</f>
        <v/>
      </c>
      <c r="E1386" s="14">
        <f>C1386^2*D1386</f>
        <v/>
      </c>
    </row>
    <row r="1387">
      <c r="A1387" s="26" t="n">
        <v>45523</v>
      </c>
      <c r="B1387" s="14" t="inlineStr">
        <is>
          <t>NB-0014</t>
        </is>
      </c>
      <c r="C1387" s="14" t="n">
        <v>7</v>
      </c>
      <c r="D1387" s="14">
        <f>IF(A1387&gt;LastWeek-364,1,0)</f>
        <v/>
      </c>
      <c r="E1387" s="14">
        <f>C1387^2*D1387</f>
        <v/>
      </c>
    </row>
    <row r="1388">
      <c r="A1388" s="26" t="n">
        <v>45530</v>
      </c>
      <c r="B1388" s="14" t="inlineStr">
        <is>
          <t>NB-0014</t>
        </is>
      </c>
      <c r="C1388" s="14" t="n">
        <v>7</v>
      </c>
      <c r="D1388" s="14">
        <f>IF(A1388&gt;LastWeek-364,1,0)</f>
        <v/>
      </c>
      <c r="E1388" s="14">
        <f>C1388^2*D1388</f>
        <v/>
      </c>
    </row>
    <row r="1389">
      <c r="A1389" s="26" t="n">
        <v>45537</v>
      </c>
      <c r="B1389" s="14" t="inlineStr">
        <is>
          <t>NB-0014</t>
        </is>
      </c>
      <c r="C1389" s="14" t="n">
        <v>8</v>
      </c>
      <c r="D1389" s="14">
        <f>IF(A1389&gt;LastWeek-364,1,0)</f>
        <v/>
      </c>
      <c r="E1389" s="14">
        <f>C1389^2*D1389</f>
        <v/>
      </c>
    </row>
    <row r="1390">
      <c r="A1390" s="26" t="n">
        <v>45544</v>
      </c>
      <c r="B1390" s="14" t="inlineStr">
        <is>
          <t>NB-0014</t>
        </is>
      </c>
      <c r="C1390" s="14" t="n">
        <v>8</v>
      </c>
      <c r="D1390" s="14">
        <f>IF(A1390&gt;LastWeek-364,1,0)</f>
        <v/>
      </c>
      <c r="E1390" s="14">
        <f>C1390^2*D1390</f>
        <v/>
      </c>
    </row>
    <row r="1391">
      <c r="A1391" s="26" t="n">
        <v>45551</v>
      </c>
      <c r="B1391" s="14" t="inlineStr">
        <is>
          <t>NB-0014</t>
        </is>
      </c>
      <c r="C1391" s="14" t="n">
        <v>7</v>
      </c>
      <c r="D1391" s="14">
        <f>IF(A1391&gt;LastWeek-364,1,0)</f>
        <v/>
      </c>
      <c r="E1391" s="14">
        <f>C1391^2*D1391</f>
        <v/>
      </c>
    </row>
    <row r="1392">
      <c r="A1392" s="26" t="n">
        <v>45558</v>
      </c>
      <c r="B1392" s="14" t="inlineStr">
        <is>
          <t>NB-0014</t>
        </is>
      </c>
      <c r="C1392" s="14" t="n">
        <v>7</v>
      </c>
      <c r="D1392" s="14">
        <f>IF(A1392&gt;LastWeek-364,1,0)</f>
        <v/>
      </c>
      <c r="E1392" s="14">
        <f>C1392^2*D1392</f>
        <v/>
      </c>
    </row>
    <row r="1393">
      <c r="A1393" s="26" t="n">
        <v>45565</v>
      </c>
      <c r="B1393" s="14" t="inlineStr">
        <is>
          <t>NB-0014</t>
        </is>
      </c>
      <c r="C1393" s="14" t="n">
        <v>6</v>
      </c>
      <c r="D1393" s="14">
        <f>IF(A1393&gt;LastWeek-364,1,0)</f>
        <v/>
      </c>
      <c r="E1393" s="14">
        <f>C1393^2*D1393</f>
        <v/>
      </c>
    </row>
    <row r="1394">
      <c r="A1394" s="26" t="n">
        <v>45572</v>
      </c>
      <c r="B1394" s="14" t="inlineStr">
        <is>
          <t>NB-0014</t>
        </is>
      </c>
      <c r="C1394" s="14" t="n">
        <v>8</v>
      </c>
      <c r="D1394" s="14">
        <f>IF(A1394&gt;LastWeek-364,1,0)</f>
        <v/>
      </c>
      <c r="E1394" s="14">
        <f>C1394^2*D1394</f>
        <v/>
      </c>
    </row>
    <row r="1395">
      <c r="A1395" s="26" t="n">
        <v>45579</v>
      </c>
      <c r="B1395" s="14" t="inlineStr">
        <is>
          <t>NB-0014</t>
        </is>
      </c>
      <c r="C1395" s="14" t="n">
        <v>6</v>
      </c>
      <c r="D1395" s="14">
        <f>IF(A1395&gt;LastWeek-364,1,0)</f>
        <v/>
      </c>
      <c r="E1395" s="14">
        <f>C1395^2*D1395</f>
        <v/>
      </c>
    </row>
    <row r="1396">
      <c r="A1396" s="26" t="n">
        <v>45586</v>
      </c>
      <c r="B1396" s="14" t="inlineStr">
        <is>
          <t>NB-0014</t>
        </is>
      </c>
      <c r="C1396" s="14" t="n">
        <v>8</v>
      </c>
      <c r="D1396" s="14">
        <f>IF(A1396&gt;LastWeek-364,1,0)</f>
        <v/>
      </c>
      <c r="E1396" s="14">
        <f>C1396^2*D1396</f>
        <v/>
      </c>
    </row>
    <row r="1397">
      <c r="A1397" s="26" t="n">
        <v>45593</v>
      </c>
      <c r="B1397" s="14" t="inlineStr">
        <is>
          <t>NB-0014</t>
        </is>
      </c>
      <c r="C1397" s="14" t="n">
        <v>8</v>
      </c>
      <c r="D1397" s="14">
        <f>IF(A1397&gt;LastWeek-364,1,0)</f>
        <v/>
      </c>
      <c r="E1397" s="14">
        <f>C1397^2*D1397</f>
        <v/>
      </c>
    </row>
    <row r="1398">
      <c r="A1398" s="26" t="n">
        <v>45600</v>
      </c>
      <c r="B1398" s="14" t="inlineStr">
        <is>
          <t>NB-0014</t>
        </is>
      </c>
      <c r="C1398" s="14" t="n">
        <v>9</v>
      </c>
      <c r="D1398" s="14">
        <f>IF(A1398&gt;LastWeek-364,1,0)</f>
        <v/>
      </c>
      <c r="E1398" s="14">
        <f>C1398^2*D1398</f>
        <v/>
      </c>
    </row>
    <row r="1399">
      <c r="A1399" s="26" t="n">
        <v>45607</v>
      </c>
      <c r="B1399" s="14" t="inlineStr">
        <is>
          <t>NB-0014</t>
        </is>
      </c>
      <c r="C1399" s="14" t="n">
        <v>7</v>
      </c>
      <c r="D1399" s="14">
        <f>IF(A1399&gt;LastWeek-364,1,0)</f>
        <v/>
      </c>
      <c r="E1399" s="14">
        <f>C1399^2*D1399</f>
        <v/>
      </c>
    </row>
    <row r="1400">
      <c r="A1400" s="26" t="n">
        <v>45614</v>
      </c>
      <c r="B1400" s="14" t="inlineStr">
        <is>
          <t>NB-0014</t>
        </is>
      </c>
      <c r="C1400" s="14" t="n">
        <v>8</v>
      </c>
      <c r="D1400" s="14">
        <f>IF(A1400&gt;LastWeek-364,1,0)</f>
        <v/>
      </c>
      <c r="E1400" s="14">
        <f>C1400^2*D1400</f>
        <v/>
      </c>
    </row>
    <row r="1401">
      <c r="A1401" s="26" t="n">
        <v>45621</v>
      </c>
      <c r="B1401" s="14" t="inlineStr">
        <is>
          <t>NB-0014</t>
        </is>
      </c>
      <c r="C1401" s="14" t="n">
        <v>9</v>
      </c>
      <c r="D1401" s="14">
        <f>IF(A1401&gt;LastWeek-364,1,0)</f>
        <v/>
      </c>
      <c r="E1401" s="14">
        <f>C1401^2*D1401</f>
        <v/>
      </c>
    </row>
    <row r="1402">
      <c r="A1402" s="26" t="n">
        <v>45628</v>
      </c>
      <c r="B1402" s="14" t="inlineStr">
        <is>
          <t>NB-0014</t>
        </is>
      </c>
      <c r="C1402" s="14" t="n">
        <v>9</v>
      </c>
      <c r="D1402" s="14">
        <f>IF(A1402&gt;LastWeek-364,1,0)</f>
        <v/>
      </c>
      <c r="E1402" s="14">
        <f>C1402^2*D1402</f>
        <v/>
      </c>
    </row>
    <row r="1403">
      <c r="A1403" s="26" t="n">
        <v>45635</v>
      </c>
      <c r="B1403" s="14" t="inlineStr">
        <is>
          <t>NB-0014</t>
        </is>
      </c>
      <c r="C1403" s="14" t="n">
        <v>7</v>
      </c>
      <c r="D1403" s="14">
        <f>IF(A1403&gt;LastWeek-364,1,0)</f>
        <v/>
      </c>
      <c r="E1403" s="14">
        <f>C1403^2*D1403</f>
        <v/>
      </c>
    </row>
    <row r="1404">
      <c r="A1404" s="26" t="n">
        <v>45642</v>
      </c>
      <c r="B1404" s="14" t="inlineStr">
        <is>
          <t>NB-0014</t>
        </is>
      </c>
      <c r="C1404" s="14" t="n">
        <v>8</v>
      </c>
      <c r="D1404" s="14">
        <f>IF(A1404&gt;LastWeek-364,1,0)</f>
        <v/>
      </c>
      <c r="E1404" s="14">
        <f>C1404^2*D1404</f>
        <v/>
      </c>
    </row>
    <row r="1405">
      <c r="A1405" s="26" t="n">
        <v>45649</v>
      </c>
      <c r="B1405" s="14" t="inlineStr">
        <is>
          <t>NB-0014</t>
        </is>
      </c>
      <c r="C1405" s="14" t="n">
        <v>8</v>
      </c>
      <c r="D1405" s="14">
        <f>IF(A1405&gt;LastWeek-364,1,0)</f>
        <v/>
      </c>
      <c r="E1405" s="14">
        <f>C1405^2*D1405</f>
        <v/>
      </c>
    </row>
    <row r="1406">
      <c r="A1406" s="26" t="n">
        <v>45656</v>
      </c>
      <c r="B1406" s="14" t="inlineStr">
        <is>
          <t>NB-0014</t>
        </is>
      </c>
      <c r="C1406" s="14" t="n">
        <v>8</v>
      </c>
      <c r="D1406" s="14">
        <f>IF(A1406&gt;LastWeek-364,1,0)</f>
        <v/>
      </c>
      <c r="E1406" s="14">
        <f>C1406^2*D1406</f>
        <v/>
      </c>
    </row>
    <row r="1407">
      <c r="A1407" s="26" t="n">
        <v>45663</v>
      </c>
      <c r="B1407" s="14" t="inlineStr">
        <is>
          <t>NB-0014</t>
        </is>
      </c>
      <c r="C1407" s="14" t="n">
        <v>7</v>
      </c>
      <c r="D1407" s="14">
        <f>IF(A1407&gt;LastWeek-364,1,0)</f>
        <v/>
      </c>
      <c r="E1407" s="14">
        <f>C1407^2*D1407</f>
        <v/>
      </c>
    </row>
    <row r="1408">
      <c r="A1408" s="26" t="n">
        <v>45670</v>
      </c>
      <c r="B1408" s="14" t="inlineStr">
        <is>
          <t>NB-0014</t>
        </is>
      </c>
      <c r="C1408" s="14" t="n">
        <v>8</v>
      </c>
      <c r="D1408" s="14">
        <f>IF(A1408&gt;LastWeek-364,1,0)</f>
        <v/>
      </c>
      <c r="E1408" s="14">
        <f>C1408^2*D1408</f>
        <v/>
      </c>
    </row>
    <row r="1409">
      <c r="A1409" s="26" t="n">
        <v>45677</v>
      </c>
      <c r="B1409" s="14" t="inlineStr">
        <is>
          <t>NB-0014</t>
        </is>
      </c>
      <c r="C1409" s="14" t="n">
        <v>7</v>
      </c>
      <c r="D1409" s="14">
        <f>IF(A1409&gt;LastWeek-364,1,0)</f>
        <v/>
      </c>
      <c r="E1409" s="14">
        <f>C1409^2*D1409</f>
        <v/>
      </c>
    </row>
    <row r="1410">
      <c r="A1410" s="26" t="n">
        <v>45684</v>
      </c>
      <c r="B1410" s="14" t="inlineStr">
        <is>
          <t>NB-0014</t>
        </is>
      </c>
      <c r="C1410" s="14" t="n">
        <v>8</v>
      </c>
      <c r="D1410" s="14">
        <f>IF(A1410&gt;LastWeek-364,1,0)</f>
        <v/>
      </c>
      <c r="E1410" s="14">
        <f>C1410^2*D1410</f>
        <v/>
      </c>
    </row>
    <row r="1411">
      <c r="A1411" s="26" t="n">
        <v>45691</v>
      </c>
      <c r="B1411" s="14" t="inlineStr">
        <is>
          <t>NB-0014</t>
        </is>
      </c>
      <c r="C1411" s="14" t="n">
        <v>8</v>
      </c>
      <c r="D1411" s="14">
        <f>IF(A1411&gt;LastWeek-364,1,0)</f>
        <v/>
      </c>
      <c r="E1411" s="14">
        <f>C1411^2*D1411</f>
        <v/>
      </c>
    </row>
    <row r="1412">
      <c r="A1412" s="26" t="n">
        <v>45698</v>
      </c>
      <c r="B1412" s="14" t="inlineStr">
        <is>
          <t>NB-0014</t>
        </is>
      </c>
      <c r="C1412" s="14" t="n">
        <v>8</v>
      </c>
      <c r="D1412" s="14">
        <f>IF(A1412&gt;LastWeek-364,1,0)</f>
        <v/>
      </c>
      <c r="E1412" s="14">
        <f>C1412^2*D1412</f>
        <v/>
      </c>
    </row>
    <row r="1413">
      <c r="A1413" s="26" t="n">
        <v>45705</v>
      </c>
      <c r="B1413" s="14" t="inlineStr">
        <is>
          <t>NB-0014</t>
        </is>
      </c>
      <c r="C1413" s="14" t="n">
        <v>7</v>
      </c>
      <c r="D1413" s="14">
        <f>IF(A1413&gt;LastWeek-364,1,0)</f>
        <v/>
      </c>
      <c r="E1413" s="14">
        <f>C1413^2*D1413</f>
        <v/>
      </c>
    </row>
    <row r="1414">
      <c r="A1414" s="26" t="n">
        <v>45712</v>
      </c>
      <c r="B1414" s="14" t="inlineStr">
        <is>
          <t>NB-0014</t>
        </is>
      </c>
      <c r="C1414" s="14" t="n">
        <v>9</v>
      </c>
      <c r="D1414" s="14">
        <f>IF(A1414&gt;LastWeek-364,1,0)</f>
        <v/>
      </c>
      <c r="E1414" s="14">
        <f>C1414^2*D1414</f>
        <v/>
      </c>
    </row>
    <row r="1415">
      <c r="A1415" s="26" t="n">
        <v>45719</v>
      </c>
      <c r="B1415" s="14" t="inlineStr">
        <is>
          <t>NB-0014</t>
        </is>
      </c>
      <c r="C1415" s="14" t="n">
        <v>8</v>
      </c>
      <c r="D1415" s="14">
        <f>IF(A1415&gt;LastWeek-364,1,0)</f>
        <v/>
      </c>
      <c r="E1415" s="14">
        <f>C1415^2*D1415</f>
        <v/>
      </c>
    </row>
    <row r="1416">
      <c r="A1416" s="26" t="n">
        <v>45726</v>
      </c>
      <c r="B1416" s="14" t="inlineStr">
        <is>
          <t>NB-0014</t>
        </is>
      </c>
      <c r="C1416" s="14" t="n">
        <v>7</v>
      </c>
      <c r="D1416" s="14">
        <f>IF(A1416&gt;LastWeek-364,1,0)</f>
        <v/>
      </c>
      <c r="E1416" s="14">
        <f>C1416^2*D1416</f>
        <v/>
      </c>
    </row>
    <row r="1417">
      <c r="A1417" s="26" t="n">
        <v>45733</v>
      </c>
      <c r="B1417" s="14" t="inlineStr">
        <is>
          <t>NB-0014</t>
        </is>
      </c>
      <c r="C1417" s="14" t="n">
        <v>8</v>
      </c>
      <c r="D1417" s="14">
        <f>IF(A1417&gt;LastWeek-364,1,0)</f>
        <v/>
      </c>
      <c r="E1417" s="14">
        <f>C1417^2*D1417</f>
        <v/>
      </c>
    </row>
    <row r="1418">
      <c r="A1418" s="26" t="n">
        <v>45740</v>
      </c>
      <c r="B1418" s="14" t="inlineStr">
        <is>
          <t>NB-0014</t>
        </is>
      </c>
      <c r="C1418" s="14" t="n">
        <v>7</v>
      </c>
      <c r="D1418" s="14">
        <f>IF(A1418&gt;LastWeek-364,1,0)</f>
        <v/>
      </c>
      <c r="E1418" s="14">
        <f>C1418^2*D1418</f>
        <v/>
      </c>
    </row>
    <row r="1419">
      <c r="A1419" s="26" t="n">
        <v>45747</v>
      </c>
      <c r="B1419" s="14" t="inlineStr">
        <is>
          <t>NB-0014</t>
        </is>
      </c>
      <c r="C1419" s="14" t="n">
        <v>7</v>
      </c>
      <c r="D1419" s="14">
        <f>IF(A1419&gt;LastWeek-364,1,0)</f>
        <v/>
      </c>
      <c r="E1419" s="14">
        <f>C1419^2*D1419</f>
        <v/>
      </c>
    </row>
    <row r="1420">
      <c r="A1420" s="26" t="n">
        <v>45754</v>
      </c>
      <c r="B1420" s="14" t="inlineStr">
        <is>
          <t>NB-0014</t>
        </is>
      </c>
      <c r="C1420" s="14" t="n">
        <v>7</v>
      </c>
      <c r="D1420" s="14">
        <f>IF(A1420&gt;LastWeek-364,1,0)</f>
        <v/>
      </c>
      <c r="E1420" s="14">
        <f>C1420^2*D1420</f>
        <v/>
      </c>
    </row>
    <row r="1421">
      <c r="A1421" s="26" t="n">
        <v>45761</v>
      </c>
      <c r="B1421" s="14" t="inlineStr">
        <is>
          <t>NB-0014</t>
        </is>
      </c>
      <c r="C1421" s="14" t="n">
        <v>9</v>
      </c>
      <c r="D1421" s="14">
        <f>IF(A1421&gt;LastWeek-364,1,0)</f>
        <v/>
      </c>
      <c r="E1421" s="14">
        <f>C1421^2*D1421</f>
        <v/>
      </c>
    </row>
    <row r="1422">
      <c r="A1422" s="26" t="n">
        <v>45768</v>
      </c>
      <c r="B1422" s="14" t="inlineStr">
        <is>
          <t>NB-0014</t>
        </is>
      </c>
      <c r="C1422" s="14" t="n">
        <v>7</v>
      </c>
      <c r="D1422" s="14">
        <f>IF(A1422&gt;LastWeek-364,1,0)</f>
        <v/>
      </c>
      <c r="E1422" s="14">
        <f>C1422^2*D1422</f>
        <v/>
      </c>
    </row>
    <row r="1423">
      <c r="A1423" s="26" t="n">
        <v>45775</v>
      </c>
      <c r="B1423" s="14" t="inlineStr">
        <is>
          <t>NB-0014</t>
        </is>
      </c>
      <c r="C1423" s="14" t="n">
        <v>8</v>
      </c>
      <c r="D1423" s="14">
        <f>IF(A1423&gt;LastWeek-364,1,0)</f>
        <v/>
      </c>
      <c r="E1423" s="14">
        <f>C1423^2*D1423</f>
        <v/>
      </c>
    </row>
    <row r="1424">
      <c r="A1424" s="26" t="n">
        <v>45782</v>
      </c>
      <c r="B1424" s="14" t="inlineStr">
        <is>
          <t>NB-0014</t>
        </is>
      </c>
      <c r="C1424" s="14" t="n">
        <v>7</v>
      </c>
      <c r="D1424" s="14">
        <f>IF(A1424&gt;LastWeek-364,1,0)</f>
        <v/>
      </c>
      <c r="E1424" s="14">
        <f>C1424^2*D1424</f>
        <v/>
      </c>
    </row>
    <row r="1425">
      <c r="A1425" s="26" t="n">
        <v>45789</v>
      </c>
      <c r="B1425" s="14" t="inlineStr">
        <is>
          <t>NB-0014</t>
        </is>
      </c>
      <c r="C1425" s="14" t="n">
        <v>8</v>
      </c>
      <c r="D1425" s="14">
        <f>IF(A1425&gt;LastWeek-364,1,0)</f>
        <v/>
      </c>
      <c r="E1425" s="14">
        <f>C1425^2*D1425</f>
        <v/>
      </c>
    </row>
    <row r="1426">
      <c r="A1426" s="26" t="n">
        <v>45796</v>
      </c>
      <c r="B1426" s="14" t="inlineStr">
        <is>
          <t>NB-0014</t>
        </is>
      </c>
      <c r="C1426" s="14" t="n">
        <v>7</v>
      </c>
      <c r="D1426" s="14">
        <f>IF(A1426&gt;LastWeek-364,1,0)</f>
        <v/>
      </c>
      <c r="E1426" s="14">
        <f>C1426^2*D1426</f>
        <v/>
      </c>
    </row>
    <row r="1427">
      <c r="A1427" s="26" t="n">
        <v>45803</v>
      </c>
      <c r="B1427" s="14" t="inlineStr">
        <is>
          <t>NB-0014</t>
        </is>
      </c>
      <c r="C1427" s="14" t="n">
        <v>8</v>
      </c>
      <c r="D1427" s="14">
        <f>IF(A1427&gt;LastWeek-364,1,0)</f>
        <v/>
      </c>
      <c r="E1427" s="14">
        <f>C1427^2*D1427</f>
        <v/>
      </c>
    </row>
    <row r="1428">
      <c r="A1428" s="26" t="n">
        <v>45810</v>
      </c>
      <c r="B1428" s="14" t="inlineStr">
        <is>
          <t>NB-0014</t>
        </is>
      </c>
      <c r="C1428" s="14" t="n">
        <v>7</v>
      </c>
      <c r="D1428" s="14">
        <f>IF(A1428&gt;LastWeek-364,1,0)</f>
        <v/>
      </c>
      <c r="E1428" s="14">
        <f>C1428^2*D1428</f>
        <v/>
      </c>
    </row>
    <row r="1429">
      <c r="A1429" s="26" t="n">
        <v>45817</v>
      </c>
      <c r="B1429" s="14" t="inlineStr">
        <is>
          <t>NB-0014</t>
        </is>
      </c>
      <c r="C1429" s="14" t="n">
        <v>6</v>
      </c>
      <c r="D1429" s="14">
        <f>IF(A1429&gt;LastWeek-364,1,0)</f>
        <v/>
      </c>
      <c r="E1429" s="14">
        <f>C1429^2*D1429</f>
        <v/>
      </c>
    </row>
    <row r="1430">
      <c r="A1430" s="26" t="n">
        <v>45824</v>
      </c>
      <c r="B1430" s="14" t="inlineStr">
        <is>
          <t>NB-0014</t>
        </is>
      </c>
      <c r="C1430" s="14" t="n">
        <v>7</v>
      </c>
      <c r="D1430" s="14">
        <f>IF(A1430&gt;LastWeek-364,1,0)</f>
        <v/>
      </c>
      <c r="E1430" s="14">
        <f>C1430^2*D1430</f>
        <v/>
      </c>
    </row>
    <row r="1431">
      <c r="A1431" s="26" t="n">
        <v>45831</v>
      </c>
      <c r="B1431" s="14" t="inlineStr">
        <is>
          <t>NB-0014</t>
        </is>
      </c>
      <c r="C1431" s="14" t="n">
        <v>7</v>
      </c>
      <c r="D1431" s="14">
        <f>IF(A1431&gt;LastWeek-364,1,0)</f>
        <v/>
      </c>
      <c r="E1431" s="14">
        <f>C1431^2*D1431</f>
        <v/>
      </c>
    </row>
    <row r="1432">
      <c r="A1432" s="26" t="n">
        <v>45838</v>
      </c>
      <c r="B1432" s="14" t="inlineStr">
        <is>
          <t>NB-0014</t>
        </is>
      </c>
      <c r="C1432" s="14" t="n">
        <v>7</v>
      </c>
      <c r="D1432" s="14">
        <f>IF(A1432&gt;LastWeek-364,1,0)</f>
        <v/>
      </c>
      <c r="E1432" s="14">
        <f>C1432^2*D1432</f>
        <v/>
      </c>
    </row>
    <row r="1433">
      <c r="A1433" s="26" t="n">
        <v>45845</v>
      </c>
      <c r="B1433" s="14" t="inlineStr">
        <is>
          <t>NB-0014</t>
        </is>
      </c>
      <c r="C1433" s="14" t="n">
        <v>8</v>
      </c>
      <c r="D1433" s="14">
        <f>IF(A1433&gt;LastWeek-364,1,0)</f>
        <v/>
      </c>
      <c r="E1433" s="14">
        <f>C1433^2*D1433</f>
        <v/>
      </c>
    </row>
    <row r="1434">
      <c r="A1434" s="26" t="n">
        <v>45852</v>
      </c>
      <c r="B1434" s="14" t="inlineStr">
        <is>
          <t>NB-0014</t>
        </is>
      </c>
      <c r="C1434" s="14" t="n">
        <v>7</v>
      </c>
      <c r="D1434" s="14">
        <f>IF(A1434&gt;LastWeek-364,1,0)</f>
        <v/>
      </c>
      <c r="E1434" s="14">
        <f>C1434^2*D1434</f>
        <v/>
      </c>
    </row>
    <row r="1435">
      <c r="A1435" s="26" t="n">
        <v>45859</v>
      </c>
      <c r="B1435" s="14" t="inlineStr">
        <is>
          <t>NB-0014</t>
        </is>
      </c>
      <c r="C1435" s="14" t="n">
        <v>9</v>
      </c>
      <c r="D1435" s="14">
        <f>IF(A1435&gt;LastWeek-364,1,0)</f>
        <v/>
      </c>
      <c r="E1435" s="14">
        <f>C1435^2*D1435</f>
        <v/>
      </c>
    </row>
    <row r="1436">
      <c r="A1436" s="26" t="n">
        <v>45866</v>
      </c>
      <c r="B1436" s="14" t="inlineStr">
        <is>
          <t>NB-0014</t>
        </is>
      </c>
      <c r="C1436" s="14" t="n">
        <v>6</v>
      </c>
      <c r="D1436" s="14">
        <f>IF(A1436&gt;LastWeek-364,1,0)</f>
        <v/>
      </c>
      <c r="E1436" s="14">
        <f>C1436^2*D1436</f>
        <v/>
      </c>
    </row>
    <row r="1437">
      <c r="A1437" s="26" t="n">
        <v>45873</v>
      </c>
      <c r="B1437" s="14" t="inlineStr">
        <is>
          <t>NB-0014</t>
        </is>
      </c>
      <c r="C1437" s="14" t="n">
        <v>8</v>
      </c>
      <c r="D1437" s="14">
        <f>IF(A1437&gt;LastWeek-364,1,0)</f>
        <v/>
      </c>
      <c r="E1437" s="14">
        <f>C1437^2*D1437</f>
        <v/>
      </c>
    </row>
    <row r="1438">
      <c r="A1438" s="26" t="n">
        <v>45880</v>
      </c>
      <c r="B1438" s="14" t="inlineStr">
        <is>
          <t>NB-0014</t>
        </is>
      </c>
      <c r="C1438" s="14" t="n">
        <v>7</v>
      </c>
      <c r="D1438" s="14">
        <f>IF(A1438&gt;LastWeek-364,1,0)</f>
        <v/>
      </c>
      <c r="E1438" s="14">
        <f>C1438^2*D1438</f>
        <v/>
      </c>
    </row>
    <row r="1439">
      <c r="A1439" s="26" t="n">
        <v>45887</v>
      </c>
      <c r="B1439" s="14" t="inlineStr">
        <is>
          <t>NB-0014</t>
        </is>
      </c>
      <c r="C1439" s="14" t="n">
        <v>7</v>
      </c>
      <c r="D1439" s="14">
        <f>IF(A1439&gt;LastWeek-364,1,0)</f>
        <v/>
      </c>
      <c r="E1439" s="14">
        <f>C1439^2*D1439</f>
        <v/>
      </c>
    </row>
    <row r="1440">
      <c r="A1440" s="26" t="n">
        <v>45894</v>
      </c>
      <c r="B1440" s="14" t="inlineStr">
        <is>
          <t>NB-0014</t>
        </is>
      </c>
      <c r="C1440" s="14" t="n">
        <v>8</v>
      </c>
      <c r="D1440" s="14">
        <f>IF(A1440&gt;LastWeek-364,1,0)</f>
        <v/>
      </c>
      <c r="E1440" s="14">
        <f>C1440^2*D1440</f>
        <v/>
      </c>
    </row>
    <row r="1441">
      <c r="A1441" s="26" t="n">
        <v>45901</v>
      </c>
      <c r="B1441" s="14" t="inlineStr">
        <is>
          <t>NB-0014</t>
        </is>
      </c>
      <c r="C1441" s="14" t="n">
        <v>6</v>
      </c>
      <c r="D1441" s="14">
        <f>IF(A1441&gt;LastWeek-364,1,0)</f>
        <v/>
      </c>
      <c r="E1441" s="14">
        <f>C1441^2*D1441</f>
        <v/>
      </c>
    </row>
    <row r="1442">
      <c r="A1442" s="26" t="n">
        <v>45908</v>
      </c>
      <c r="B1442" s="14" t="inlineStr">
        <is>
          <t>NB-0014</t>
        </is>
      </c>
      <c r="C1442" s="14" t="n">
        <v>8</v>
      </c>
      <c r="D1442" s="14">
        <f>IF(A1442&gt;LastWeek-364,1,0)</f>
        <v/>
      </c>
      <c r="E1442" s="14">
        <f>C1442^2*D1442</f>
        <v/>
      </c>
    </row>
    <row r="1443">
      <c r="A1443" s="26" t="n">
        <v>45915</v>
      </c>
      <c r="B1443" s="14" t="inlineStr">
        <is>
          <t>NB-0014</t>
        </is>
      </c>
      <c r="C1443" s="14" t="n">
        <v>9</v>
      </c>
      <c r="D1443" s="14">
        <f>IF(A1443&gt;LastWeek-364,1,0)</f>
        <v/>
      </c>
      <c r="E1443" s="14">
        <f>C1443^2*D1443</f>
        <v/>
      </c>
    </row>
    <row r="1444">
      <c r="A1444" s="26" t="n">
        <v>45922</v>
      </c>
      <c r="B1444" s="14" t="inlineStr">
        <is>
          <t>NB-0014</t>
        </is>
      </c>
      <c r="C1444" s="14" t="n">
        <v>8</v>
      </c>
      <c r="D1444" s="14">
        <f>IF(A1444&gt;LastWeek-364,1,0)</f>
        <v/>
      </c>
      <c r="E1444" s="14">
        <f>C1444^2*D1444</f>
        <v/>
      </c>
    </row>
    <row r="1445">
      <c r="A1445" s="26" t="n">
        <v>45929</v>
      </c>
      <c r="B1445" s="14" t="inlineStr">
        <is>
          <t>NB-0014</t>
        </is>
      </c>
      <c r="C1445" s="14" t="n">
        <v>8</v>
      </c>
      <c r="D1445" s="14">
        <f>IF(A1445&gt;LastWeek-364,1,0)</f>
        <v/>
      </c>
      <c r="E1445" s="14">
        <f>C1445^2*D1445</f>
        <v/>
      </c>
    </row>
    <row r="1446">
      <c r="A1446" s="26" t="n">
        <v>45936</v>
      </c>
      <c r="B1446" s="14" t="inlineStr">
        <is>
          <t>NB-0014</t>
        </is>
      </c>
      <c r="C1446" s="14" t="n">
        <v>9</v>
      </c>
      <c r="D1446" s="14">
        <f>IF(A1446&gt;LastWeek-364,1,0)</f>
        <v/>
      </c>
      <c r="E1446" s="14">
        <f>C1446^2*D1446</f>
        <v/>
      </c>
    </row>
    <row r="1447">
      <c r="A1447" s="26" t="n">
        <v>45943</v>
      </c>
      <c r="B1447" s="14" t="inlineStr">
        <is>
          <t>NB-0014</t>
        </is>
      </c>
      <c r="C1447" s="14" t="n">
        <v>8</v>
      </c>
      <c r="D1447" s="14">
        <f>IF(A1447&gt;LastWeek-364,1,0)</f>
        <v/>
      </c>
      <c r="E1447" s="14">
        <f>C1447^2*D1447</f>
        <v/>
      </c>
    </row>
    <row r="1448">
      <c r="A1448" s="26" t="n">
        <v>45950</v>
      </c>
      <c r="B1448" s="14" t="inlineStr">
        <is>
          <t>NB-0014</t>
        </is>
      </c>
      <c r="C1448" s="14" t="n">
        <v>8</v>
      </c>
      <c r="D1448" s="14">
        <f>IF(A1448&gt;LastWeek-364,1,0)</f>
        <v/>
      </c>
      <c r="E1448" s="14">
        <f>C1448^2*D1448</f>
        <v/>
      </c>
    </row>
    <row r="1449">
      <c r="A1449" s="26" t="n">
        <v>45957</v>
      </c>
      <c r="B1449" s="14" t="inlineStr">
        <is>
          <t>NB-0014</t>
        </is>
      </c>
      <c r="C1449" s="14" t="n">
        <v>6</v>
      </c>
      <c r="D1449" s="14">
        <f>IF(A1449&gt;LastWeek-364,1,0)</f>
        <v/>
      </c>
      <c r="E1449" s="14">
        <f>C1449^2*D1449</f>
        <v/>
      </c>
    </row>
    <row r="1450">
      <c r="A1450" s="26" t="n">
        <v>45964</v>
      </c>
      <c r="B1450" s="14" t="inlineStr">
        <is>
          <t>NB-0014</t>
        </is>
      </c>
      <c r="C1450" s="14" t="n">
        <v>9</v>
      </c>
      <c r="D1450" s="14">
        <f>IF(A1450&gt;LastWeek-364,1,0)</f>
        <v/>
      </c>
      <c r="E1450" s="14">
        <f>C1450^2*D1450</f>
        <v/>
      </c>
    </row>
    <row r="1451">
      <c r="A1451" s="26" t="n">
        <v>45971</v>
      </c>
      <c r="B1451" s="14" t="inlineStr">
        <is>
          <t>NB-0014</t>
        </is>
      </c>
      <c r="C1451" s="14" t="n">
        <v>8</v>
      </c>
      <c r="D1451" s="14">
        <f>IF(A1451&gt;LastWeek-364,1,0)</f>
        <v/>
      </c>
      <c r="E1451" s="14">
        <f>C1451^2*D1451</f>
        <v/>
      </c>
    </row>
    <row r="1452">
      <c r="A1452" s="26" t="n">
        <v>45978</v>
      </c>
      <c r="B1452" s="14" t="inlineStr">
        <is>
          <t>NB-0014</t>
        </is>
      </c>
      <c r="C1452" s="14" t="n">
        <v>8</v>
      </c>
      <c r="D1452" s="14">
        <f>IF(A1452&gt;LastWeek-364,1,0)</f>
        <v/>
      </c>
      <c r="E1452" s="14">
        <f>C1452^2*D1452</f>
        <v/>
      </c>
    </row>
    <row r="1453">
      <c r="A1453" s="26" t="n">
        <v>45985</v>
      </c>
      <c r="B1453" s="14" t="inlineStr">
        <is>
          <t>NB-0014</t>
        </is>
      </c>
      <c r="C1453" s="14" t="n">
        <v>9</v>
      </c>
      <c r="D1453" s="14">
        <f>IF(A1453&gt;LastWeek-364,1,0)</f>
        <v/>
      </c>
      <c r="E1453" s="14">
        <f>C1453^2*D1453</f>
        <v/>
      </c>
    </row>
    <row r="1454">
      <c r="A1454" s="26" t="n">
        <v>45992</v>
      </c>
      <c r="B1454" s="14" t="inlineStr">
        <is>
          <t>NB-0014</t>
        </is>
      </c>
      <c r="C1454" s="14" t="n">
        <v>8</v>
      </c>
      <c r="D1454" s="14">
        <f>IF(A1454&gt;LastWeek-364,1,0)</f>
        <v/>
      </c>
      <c r="E1454" s="14">
        <f>C1454^2*D1454</f>
        <v/>
      </c>
    </row>
    <row r="1455">
      <c r="A1455" s="26" t="n">
        <v>45999</v>
      </c>
      <c r="B1455" s="14" t="inlineStr">
        <is>
          <t>NB-0014</t>
        </is>
      </c>
      <c r="C1455" s="14" t="n">
        <v>8</v>
      </c>
      <c r="D1455" s="14">
        <f>IF(A1455&gt;LastWeek-364,1,0)</f>
        <v/>
      </c>
      <c r="E1455" s="14">
        <f>C1455^2*D1455</f>
        <v/>
      </c>
    </row>
    <row r="1456">
      <c r="A1456" s="26" t="n">
        <v>46006</v>
      </c>
      <c r="B1456" s="14" t="inlineStr">
        <is>
          <t>NB-0014</t>
        </is>
      </c>
      <c r="C1456" s="14" t="n">
        <v>9</v>
      </c>
      <c r="D1456" s="14">
        <f>IF(A1456&gt;LastWeek-364,1,0)</f>
        <v/>
      </c>
      <c r="E1456" s="14">
        <f>C1456^2*D1456</f>
        <v/>
      </c>
    </row>
    <row r="1457">
      <c r="A1457" s="26" t="n">
        <v>46013</v>
      </c>
      <c r="B1457" s="14" t="inlineStr">
        <is>
          <t>NB-0014</t>
        </is>
      </c>
      <c r="C1457" s="14" t="n">
        <v>7</v>
      </c>
      <c r="D1457" s="14">
        <f>IF(A1457&gt;LastWeek-364,1,0)</f>
        <v/>
      </c>
      <c r="E1457" s="14">
        <f>C1457^2*D1457</f>
        <v/>
      </c>
    </row>
    <row r="1458">
      <c r="A1458" s="26" t="n">
        <v>45292</v>
      </c>
      <c r="B1458" s="14" t="inlineStr">
        <is>
          <t>NB-0015</t>
        </is>
      </c>
      <c r="C1458" s="14" t="n">
        <v>51</v>
      </c>
      <c r="D1458" s="14">
        <f>IF(A1458&gt;LastWeek-364,1,0)</f>
        <v/>
      </c>
      <c r="E1458" s="14">
        <f>C1458^2*D1458</f>
        <v/>
      </c>
    </row>
    <row r="1459">
      <c r="A1459" s="26" t="n">
        <v>45299</v>
      </c>
      <c r="B1459" s="14" t="inlineStr">
        <is>
          <t>NB-0015</t>
        </is>
      </c>
      <c r="C1459" s="14" t="n">
        <v>21</v>
      </c>
      <c r="D1459" s="14">
        <f>IF(A1459&gt;LastWeek-364,1,0)</f>
        <v/>
      </c>
      <c r="E1459" s="14">
        <f>C1459^2*D1459</f>
        <v/>
      </c>
    </row>
    <row r="1460">
      <c r="A1460" s="26" t="n">
        <v>45306</v>
      </c>
      <c r="B1460" s="14" t="inlineStr">
        <is>
          <t>NB-0015</t>
        </is>
      </c>
      <c r="C1460" s="14" t="n">
        <v>30</v>
      </c>
      <c r="D1460" s="14">
        <f>IF(A1460&gt;LastWeek-364,1,0)</f>
        <v/>
      </c>
      <c r="E1460" s="14">
        <f>C1460^2*D1460</f>
        <v/>
      </c>
    </row>
    <row r="1461">
      <c r="A1461" s="26" t="n">
        <v>45313</v>
      </c>
      <c r="B1461" s="14" t="inlineStr">
        <is>
          <t>NB-0015</t>
        </is>
      </c>
      <c r="C1461" s="14" t="n">
        <v>63</v>
      </c>
      <c r="D1461" s="14">
        <f>IF(A1461&gt;LastWeek-364,1,0)</f>
        <v/>
      </c>
      <c r="E1461" s="14">
        <f>C1461^2*D1461</f>
        <v/>
      </c>
    </row>
    <row r="1462">
      <c r="A1462" s="26" t="n">
        <v>45320</v>
      </c>
      <c r="B1462" s="14" t="inlineStr">
        <is>
          <t>NB-0015</t>
        </is>
      </c>
      <c r="C1462" s="14" t="n">
        <v>53</v>
      </c>
      <c r="D1462" s="14">
        <f>IF(A1462&gt;LastWeek-364,1,0)</f>
        <v/>
      </c>
      <c r="E1462" s="14">
        <f>C1462^2*D1462</f>
        <v/>
      </c>
    </row>
    <row r="1463">
      <c r="A1463" s="26" t="n">
        <v>45327</v>
      </c>
      <c r="B1463" s="14" t="inlineStr">
        <is>
          <t>NB-0015</t>
        </is>
      </c>
      <c r="C1463" s="14" t="n">
        <v>40</v>
      </c>
      <c r="D1463" s="14">
        <f>IF(A1463&gt;LastWeek-364,1,0)</f>
        <v/>
      </c>
      <c r="E1463" s="14">
        <f>C1463^2*D1463</f>
        <v/>
      </c>
    </row>
    <row r="1464">
      <c r="A1464" s="26" t="n">
        <v>45334</v>
      </c>
      <c r="B1464" s="14" t="inlineStr">
        <is>
          <t>NB-0015</t>
        </is>
      </c>
      <c r="C1464" s="14" t="n">
        <v>27</v>
      </c>
      <c r="D1464" s="14">
        <f>IF(A1464&gt;LastWeek-364,1,0)</f>
        <v/>
      </c>
      <c r="E1464" s="14">
        <f>C1464^2*D1464</f>
        <v/>
      </c>
    </row>
    <row r="1465">
      <c r="A1465" s="26" t="n">
        <v>45341</v>
      </c>
      <c r="B1465" s="14" t="inlineStr">
        <is>
          <t>NB-0015</t>
        </is>
      </c>
      <c r="C1465" s="14" t="n">
        <v>32</v>
      </c>
      <c r="D1465" s="14">
        <f>IF(A1465&gt;LastWeek-364,1,0)</f>
        <v/>
      </c>
      <c r="E1465" s="14">
        <f>C1465^2*D1465</f>
        <v/>
      </c>
    </row>
    <row r="1466">
      <c r="A1466" s="26" t="n">
        <v>45348</v>
      </c>
      <c r="B1466" s="14" t="inlineStr">
        <is>
          <t>NB-0015</t>
        </is>
      </c>
      <c r="C1466" s="14" t="n">
        <v>40</v>
      </c>
      <c r="D1466" s="14">
        <f>IF(A1466&gt;LastWeek-364,1,0)</f>
        <v/>
      </c>
      <c r="E1466" s="14">
        <f>C1466^2*D1466</f>
        <v/>
      </c>
    </row>
    <row r="1467">
      <c r="A1467" s="26" t="n">
        <v>45355</v>
      </c>
      <c r="B1467" s="14" t="inlineStr">
        <is>
          <t>NB-0015</t>
        </is>
      </c>
      <c r="C1467" s="14" t="n">
        <v>39</v>
      </c>
      <c r="D1467" s="14">
        <f>IF(A1467&gt;LastWeek-364,1,0)</f>
        <v/>
      </c>
      <c r="E1467" s="14">
        <f>C1467^2*D1467</f>
        <v/>
      </c>
    </row>
    <row r="1468">
      <c r="A1468" s="26" t="n">
        <v>45362</v>
      </c>
      <c r="B1468" s="14" t="inlineStr">
        <is>
          <t>NB-0015</t>
        </is>
      </c>
      <c r="C1468" s="14" t="n">
        <v>37</v>
      </c>
      <c r="D1468" s="14">
        <f>IF(A1468&gt;LastWeek-364,1,0)</f>
        <v/>
      </c>
      <c r="E1468" s="14">
        <f>C1468^2*D1468</f>
        <v/>
      </c>
    </row>
    <row r="1469">
      <c r="A1469" s="26" t="n">
        <v>45369</v>
      </c>
      <c r="B1469" s="14" t="inlineStr">
        <is>
          <t>NB-0015</t>
        </is>
      </c>
      <c r="C1469" s="14" t="n">
        <v>38</v>
      </c>
      <c r="D1469" s="14">
        <f>IF(A1469&gt;LastWeek-364,1,0)</f>
        <v/>
      </c>
      <c r="E1469" s="14">
        <f>C1469^2*D1469</f>
        <v/>
      </c>
    </row>
    <row r="1470">
      <c r="A1470" s="26" t="n">
        <v>45376</v>
      </c>
      <c r="B1470" s="14" t="inlineStr">
        <is>
          <t>NB-0015</t>
        </is>
      </c>
      <c r="C1470" s="14" t="n">
        <v>36</v>
      </c>
      <c r="D1470" s="14">
        <f>IF(A1470&gt;LastWeek-364,1,0)</f>
        <v/>
      </c>
      <c r="E1470" s="14">
        <f>C1470^2*D1470</f>
        <v/>
      </c>
    </row>
    <row r="1471">
      <c r="A1471" s="26" t="n">
        <v>45383</v>
      </c>
      <c r="B1471" s="14" t="inlineStr">
        <is>
          <t>NB-0015</t>
        </is>
      </c>
      <c r="C1471" s="14" t="n">
        <v>20</v>
      </c>
      <c r="D1471" s="14">
        <f>IF(A1471&gt;LastWeek-364,1,0)</f>
        <v/>
      </c>
      <c r="E1471" s="14">
        <f>C1471^2*D1471</f>
        <v/>
      </c>
    </row>
    <row r="1472">
      <c r="A1472" s="26" t="n">
        <v>45390</v>
      </c>
      <c r="B1472" s="14" t="inlineStr">
        <is>
          <t>NB-0015</t>
        </is>
      </c>
      <c r="C1472" s="14" t="n">
        <v>32</v>
      </c>
      <c r="D1472" s="14">
        <f>IF(A1472&gt;LastWeek-364,1,0)</f>
        <v/>
      </c>
      <c r="E1472" s="14">
        <f>C1472^2*D1472</f>
        <v/>
      </c>
    </row>
    <row r="1473">
      <c r="A1473" s="26" t="n">
        <v>45397</v>
      </c>
      <c r="B1473" s="14" t="inlineStr">
        <is>
          <t>NB-0015</t>
        </is>
      </c>
      <c r="C1473" s="14" t="n">
        <v>49</v>
      </c>
      <c r="D1473" s="14">
        <f>IF(A1473&gt;LastWeek-364,1,0)</f>
        <v/>
      </c>
      <c r="E1473" s="14">
        <f>C1473^2*D1473</f>
        <v/>
      </c>
    </row>
    <row r="1474">
      <c r="A1474" s="26" t="n">
        <v>45404</v>
      </c>
      <c r="B1474" s="14" t="inlineStr">
        <is>
          <t>NB-0015</t>
        </is>
      </c>
      <c r="C1474" s="14" t="n">
        <v>21</v>
      </c>
      <c r="D1474" s="14">
        <f>IF(A1474&gt;LastWeek-364,1,0)</f>
        <v/>
      </c>
      <c r="E1474" s="14">
        <f>C1474^2*D1474</f>
        <v/>
      </c>
    </row>
    <row r="1475">
      <c r="A1475" s="26" t="n">
        <v>45411</v>
      </c>
      <c r="B1475" s="14" t="inlineStr">
        <is>
          <t>NB-0015</t>
        </is>
      </c>
      <c r="C1475" s="14" t="n">
        <v>35</v>
      </c>
      <c r="D1475" s="14">
        <f>IF(A1475&gt;LastWeek-364,1,0)</f>
        <v/>
      </c>
      <c r="E1475" s="14">
        <f>C1475^2*D1475</f>
        <v/>
      </c>
    </row>
    <row r="1476">
      <c r="A1476" s="26" t="n">
        <v>45418</v>
      </c>
      <c r="B1476" s="14" t="inlineStr">
        <is>
          <t>NB-0015</t>
        </is>
      </c>
      <c r="C1476" s="14" t="n">
        <v>28</v>
      </c>
      <c r="D1476" s="14">
        <f>IF(A1476&gt;LastWeek-364,1,0)</f>
        <v/>
      </c>
      <c r="E1476" s="14">
        <f>C1476^2*D1476</f>
        <v/>
      </c>
    </row>
    <row r="1477">
      <c r="A1477" s="26" t="n">
        <v>45425</v>
      </c>
      <c r="B1477" s="14" t="inlineStr">
        <is>
          <t>NB-0015</t>
        </is>
      </c>
      <c r="C1477" s="14" t="n">
        <v>39</v>
      </c>
      <c r="D1477" s="14">
        <f>IF(A1477&gt;LastWeek-364,1,0)</f>
        <v/>
      </c>
      <c r="E1477" s="14">
        <f>C1477^2*D1477</f>
        <v/>
      </c>
    </row>
    <row r="1478">
      <c r="A1478" s="26" t="n">
        <v>45432</v>
      </c>
      <c r="B1478" s="14" t="inlineStr">
        <is>
          <t>NB-0015</t>
        </is>
      </c>
      <c r="C1478" s="14" t="n">
        <v>33</v>
      </c>
      <c r="D1478" s="14">
        <f>IF(A1478&gt;LastWeek-364,1,0)</f>
        <v/>
      </c>
      <c r="E1478" s="14">
        <f>C1478^2*D1478</f>
        <v/>
      </c>
    </row>
    <row r="1479">
      <c r="A1479" s="26" t="n">
        <v>45439</v>
      </c>
      <c r="B1479" s="14" t="inlineStr">
        <is>
          <t>NB-0015</t>
        </is>
      </c>
      <c r="C1479" s="14" t="n">
        <v>56</v>
      </c>
      <c r="D1479" s="14">
        <f>IF(A1479&gt;LastWeek-364,1,0)</f>
        <v/>
      </c>
      <c r="E1479" s="14">
        <f>C1479^2*D1479</f>
        <v/>
      </c>
    </row>
    <row r="1480">
      <c r="A1480" s="26" t="n">
        <v>45446</v>
      </c>
      <c r="B1480" s="14" t="inlineStr">
        <is>
          <t>NB-0015</t>
        </is>
      </c>
      <c r="C1480" s="14" t="n">
        <v>44</v>
      </c>
      <c r="D1480" s="14">
        <f>IF(A1480&gt;LastWeek-364,1,0)</f>
        <v/>
      </c>
      <c r="E1480" s="14">
        <f>C1480^2*D1480</f>
        <v/>
      </c>
    </row>
    <row r="1481">
      <c r="A1481" s="26" t="n">
        <v>45453</v>
      </c>
      <c r="B1481" s="14" t="inlineStr">
        <is>
          <t>NB-0015</t>
        </is>
      </c>
      <c r="C1481" s="14" t="n">
        <v>21</v>
      </c>
      <c r="D1481" s="14">
        <f>IF(A1481&gt;LastWeek-364,1,0)</f>
        <v/>
      </c>
      <c r="E1481" s="14">
        <f>C1481^2*D1481</f>
        <v/>
      </c>
    </row>
    <row r="1482">
      <c r="A1482" s="26" t="n">
        <v>45460</v>
      </c>
      <c r="B1482" s="14" t="inlineStr">
        <is>
          <t>NB-0015</t>
        </is>
      </c>
      <c r="C1482" s="14" t="n">
        <v>46</v>
      </c>
      <c r="D1482" s="14">
        <f>IF(A1482&gt;LastWeek-364,1,0)</f>
        <v/>
      </c>
      <c r="E1482" s="14">
        <f>C1482^2*D1482</f>
        <v/>
      </c>
    </row>
    <row r="1483">
      <c r="A1483" s="26" t="n">
        <v>45467</v>
      </c>
      <c r="B1483" s="14" t="inlineStr">
        <is>
          <t>NB-0015</t>
        </is>
      </c>
      <c r="C1483" s="14" t="n">
        <v>28</v>
      </c>
      <c r="D1483" s="14">
        <f>IF(A1483&gt;LastWeek-364,1,0)</f>
        <v/>
      </c>
      <c r="E1483" s="14">
        <f>C1483^2*D1483</f>
        <v/>
      </c>
    </row>
    <row r="1484">
      <c r="A1484" s="26" t="n">
        <v>45474</v>
      </c>
      <c r="B1484" s="14" t="inlineStr">
        <is>
          <t>NB-0015</t>
        </is>
      </c>
      <c r="C1484" s="14" t="n">
        <v>31</v>
      </c>
      <c r="D1484" s="14">
        <f>IF(A1484&gt;LastWeek-364,1,0)</f>
        <v/>
      </c>
      <c r="E1484" s="14">
        <f>C1484^2*D1484</f>
        <v/>
      </c>
    </row>
    <row r="1485">
      <c r="A1485" s="26" t="n">
        <v>45481</v>
      </c>
      <c r="B1485" s="14" t="inlineStr">
        <is>
          <t>NB-0015</t>
        </is>
      </c>
      <c r="C1485" s="14" t="n">
        <v>41</v>
      </c>
      <c r="D1485" s="14">
        <f>IF(A1485&gt;LastWeek-364,1,0)</f>
        <v/>
      </c>
      <c r="E1485" s="14">
        <f>C1485^2*D1485</f>
        <v/>
      </c>
    </row>
    <row r="1486">
      <c r="A1486" s="26" t="n">
        <v>45488</v>
      </c>
      <c r="B1486" s="14" t="inlineStr">
        <is>
          <t>NB-0015</t>
        </is>
      </c>
      <c r="C1486" s="14" t="n">
        <v>32</v>
      </c>
      <c r="D1486" s="14">
        <f>IF(A1486&gt;LastWeek-364,1,0)</f>
        <v/>
      </c>
      <c r="E1486" s="14">
        <f>C1486^2*D1486</f>
        <v/>
      </c>
    </row>
    <row r="1487">
      <c r="A1487" s="26" t="n">
        <v>45495</v>
      </c>
      <c r="B1487" s="14" t="inlineStr">
        <is>
          <t>NB-0015</t>
        </is>
      </c>
      <c r="C1487" s="14" t="n">
        <v>49</v>
      </c>
      <c r="D1487" s="14">
        <f>IF(A1487&gt;LastWeek-364,1,0)</f>
        <v/>
      </c>
      <c r="E1487" s="14">
        <f>C1487^2*D1487</f>
        <v/>
      </c>
    </row>
    <row r="1488">
      <c r="A1488" s="26" t="n">
        <v>45502</v>
      </c>
      <c r="B1488" s="14" t="inlineStr">
        <is>
          <t>NB-0015</t>
        </is>
      </c>
      <c r="C1488" s="14" t="n">
        <v>28</v>
      </c>
      <c r="D1488" s="14">
        <f>IF(A1488&gt;LastWeek-364,1,0)</f>
        <v/>
      </c>
      <c r="E1488" s="14">
        <f>C1488^2*D1488</f>
        <v/>
      </c>
    </row>
    <row r="1489">
      <c r="A1489" s="26" t="n">
        <v>45509</v>
      </c>
      <c r="B1489" s="14" t="inlineStr">
        <is>
          <t>NB-0015</t>
        </is>
      </c>
      <c r="C1489" s="14" t="n">
        <v>30</v>
      </c>
      <c r="D1489" s="14">
        <f>IF(A1489&gt;LastWeek-364,1,0)</f>
        <v/>
      </c>
      <c r="E1489" s="14">
        <f>C1489^2*D1489</f>
        <v/>
      </c>
    </row>
    <row r="1490">
      <c r="A1490" s="26" t="n">
        <v>45516</v>
      </c>
      <c r="B1490" s="14" t="inlineStr">
        <is>
          <t>NB-0015</t>
        </is>
      </c>
      <c r="C1490" s="14" t="n">
        <v>30</v>
      </c>
      <c r="D1490" s="14">
        <f>IF(A1490&gt;LastWeek-364,1,0)</f>
        <v/>
      </c>
      <c r="E1490" s="14">
        <f>C1490^2*D1490</f>
        <v/>
      </c>
    </row>
    <row r="1491">
      <c r="A1491" s="26" t="n">
        <v>45523</v>
      </c>
      <c r="B1491" s="14" t="inlineStr">
        <is>
          <t>NB-0015</t>
        </is>
      </c>
      <c r="C1491" s="14" t="n">
        <v>31</v>
      </c>
      <c r="D1491" s="14">
        <f>IF(A1491&gt;LastWeek-364,1,0)</f>
        <v/>
      </c>
      <c r="E1491" s="14">
        <f>C1491^2*D1491</f>
        <v/>
      </c>
    </row>
    <row r="1492">
      <c r="A1492" s="26" t="n">
        <v>45530</v>
      </c>
      <c r="B1492" s="14" t="inlineStr">
        <is>
          <t>NB-0015</t>
        </is>
      </c>
      <c r="C1492" s="14" t="n">
        <v>53</v>
      </c>
      <c r="D1492" s="14">
        <f>IF(A1492&gt;LastWeek-364,1,0)</f>
        <v/>
      </c>
      <c r="E1492" s="14">
        <f>C1492^2*D1492</f>
        <v/>
      </c>
    </row>
    <row r="1493">
      <c r="A1493" s="26" t="n">
        <v>45537</v>
      </c>
      <c r="B1493" s="14" t="inlineStr">
        <is>
          <t>NB-0015</t>
        </is>
      </c>
      <c r="C1493" s="14" t="n">
        <v>47</v>
      </c>
      <c r="D1493" s="14">
        <f>IF(A1493&gt;LastWeek-364,1,0)</f>
        <v/>
      </c>
      <c r="E1493" s="14">
        <f>C1493^2*D1493</f>
        <v/>
      </c>
    </row>
    <row r="1494">
      <c r="A1494" s="26" t="n">
        <v>45544</v>
      </c>
      <c r="B1494" s="14" t="inlineStr">
        <is>
          <t>NB-0015</t>
        </is>
      </c>
      <c r="C1494" s="14" t="n">
        <v>61</v>
      </c>
      <c r="D1494" s="14">
        <f>IF(A1494&gt;LastWeek-364,1,0)</f>
        <v/>
      </c>
      <c r="E1494" s="14">
        <f>C1494^2*D1494</f>
        <v/>
      </c>
    </row>
    <row r="1495">
      <c r="A1495" s="26" t="n">
        <v>45551</v>
      </c>
      <c r="B1495" s="14" t="inlineStr">
        <is>
          <t>NB-0015</t>
        </is>
      </c>
      <c r="C1495" s="14" t="n">
        <v>69</v>
      </c>
      <c r="D1495" s="14">
        <f>IF(A1495&gt;LastWeek-364,1,0)</f>
        <v/>
      </c>
      <c r="E1495" s="14">
        <f>C1495^2*D1495</f>
        <v/>
      </c>
    </row>
    <row r="1496">
      <c r="A1496" s="26" t="n">
        <v>45558</v>
      </c>
      <c r="B1496" s="14" t="inlineStr">
        <is>
          <t>NB-0015</t>
        </is>
      </c>
      <c r="C1496" s="14" t="n">
        <v>27</v>
      </c>
      <c r="D1496" s="14">
        <f>IF(A1496&gt;LastWeek-364,1,0)</f>
        <v/>
      </c>
      <c r="E1496" s="14">
        <f>C1496^2*D1496</f>
        <v/>
      </c>
    </row>
    <row r="1497">
      <c r="A1497" s="26" t="n">
        <v>45565</v>
      </c>
      <c r="B1497" s="14" t="inlineStr">
        <is>
          <t>NB-0015</t>
        </is>
      </c>
      <c r="C1497" s="14" t="n">
        <v>41</v>
      </c>
      <c r="D1497" s="14">
        <f>IF(A1497&gt;LastWeek-364,1,0)</f>
        <v/>
      </c>
      <c r="E1497" s="14">
        <f>C1497^2*D1497</f>
        <v/>
      </c>
    </row>
    <row r="1498">
      <c r="A1498" s="26" t="n">
        <v>45572</v>
      </c>
      <c r="B1498" s="14" t="inlineStr">
        <is>
          <t>NB-0015</t>
        </is>
      </c>
      <c r="C1498" s="14" t="n">
        <v>25</v>
      </c>
      <c r="D1498" s="14">
        <f>IF(A1498&gt;LastWeek-364,1,0)</f>
        <v/>
      </c>
      <c r="E1498" s="14">
        <f>C1498^2*D1498</f>
        <v/>
      </c>
    </row>
    <row r="1499">
      <c r="A1499" s="26" t="n">
        <v>45579</v>
      </c>
      <c r="B1499" s="14" t="inlineStr">
        <is>
          <t>NB-0015</t>
        </is>
      </c>
      <c r="C1499" s="14" t="n">
        <v>31</v>
      </c>
      <c r="D1499" s="14">
        <f>IF(A1499&gt;LastWeek-364,1,0)</f>
        <v/>
      </c>
      <c r="E1499" s="14">
        <f>C1499^2*D1499</f>
        <v/>
      </c>
    </row>
    <row r="1500">
      <c r="A1500" s="26" t="n">
        <v>45586</v>
      </c>
      <c r="B1500" s="14" t="inlineStr">
        <is>
          <t>NB-0015</t>
        </is>
      </c>
      <c r="C1500" s="14" t="n">
        <v>33</v>
      </c>
      <c r="D1500" s="14">
        <f>IF(A1500&gt;LastWeek-364,1,0)</f>
        <v/>
      </c>
      <c r="E1500" s="14">
        <f>C1500^2*D1500</f>
        <v/>
      </c>
    </row>
    <row r="1501">
      <c r="A1501" s="26" t="n">
        <v>45593</v>
      </c>
      <c r="B1501" s="14" t="inlineStr">
        <is>
          <t>NB-0015</t>
        </is>
      </c>
      <c r="C1501" s="14" t="n">
        <v>27</v>
      </c>
      <c r="D1501" s="14">
        <f>IF(A1501&gt;LastWeek-364,1,0)</f>
        <v/>
      </c>
      <c r="E1501" s="14">
        <f>C1501^2*D1501</f>
        <v/>
      </c>
    </row>
    <row r="1502">
      <c r="A1502" s="26" t="n">
        <v>45600</v>
      </c>
      <c r="B1502" s="14" t="inlineStr">
        <is>
          <t>NB-0015</t>
        </is>
      </c>
      <c r="C1502" s="14" t="n">
        <v>27</v>
      </c>
      <c r="D1502" s="14">
        <f>IF(A1502&gt;LastWeek-364,1,0)</f>
        <v/>
      </c>
      <c r="E1502" s="14">
        <f>C1502^2*D1502</f>
        <v/>
      </c>
    </row>
    <row r="1503">
      <c r="A1503" s="26" t="n">
        <v>45607</v>
      </c>
      <c r="B1503" s="14" t="inlineStr">
        <is>
          <t>NB-0015</t>
        </is>
      </c>
      <c r="C1503" s="14" t="n">
        <v>40</v>
      </c>
      <c r="D1503" s="14">
        <f>IF(A1503&gt;LastWeek-364,1,0)</f>
        <v/>
      </c>
      <c r="E1503" s="14">
        <f>C1503^2*D1503</f>
        <v/>
      </c>
    </row>
    <row r="1504">
      <c r="A1504" s="26" t="n">
        <v>45614</v>
      </c>
      <c r="B1504" s="14" t="inlineStr">
        <is>
          <t>NB-0015</t>
        </is>
      </c>
      <c r="C1504" s="14" t="n">
        <v>26</v>
      </c>
      <c r="D1504" s="14">
        <f>IF(A1504&gt;LastWeek-364,1,0)</f>
        <v/>
      </c>
      <c r="E1504" s="14">
        <f>C1504^2*D1504</f>
        <v/>
      </c>
    </row>
    <row r="1505">
      <c r="A1505" s="26" t="n">
        <v>45621</v>
      </c>
      <c r="B1505" s="14" t="inlineStr">
        <is>
          <t>NB-0015</t>
        </is>
      </c>
      <c r="C1505" s="14" t="n">
        <v>54</v>
      </c>
      <c r="D1505" s="14">
        <f>IF(A1505&gt;LastWeek-364,1,0)</f>
        <v/>
      </c>
      <c r="E1505" s="14">
        <f>C1505^2*D1505</f>
        <v/>
      </c>
    </row>
    <row r="1506">
      <c r="A1506" s="26" t="n">
        <v>45628</v>
      </c>
      <c r="B1506" s="14" t="inlineStr">
        <is>
          <t>NB-0015</t>
        </is>
      </c>
      <c r="C1506" s="14" t="n">
        <v>30</v>
      </c>
      <c r="D1506" s="14">
        <f>IF(A1506&gt;LastWeek-364,1,0)</f>
        <v/>
      </c>
      <c r="E1506" s="14">
        <f>C1506^2*D1506</f>
        <v/>
      </c>
    </row>
    <row r="1507">
      <c r="A1507" s="26" t="n">
        <v>45635</v>
      </c>
      <c r="B1507" s="14" t="inlineStr">
        <is>
          <t>NB-0015</t>
        </is>
      </c>
      <c r="C1507" s="14" t="n">
        <v>82</v>
      </c>
      <c r="D1507" s="14">
        <f>IF(A1507&gt;LastWeek-364,1,0)</f>
        <v/>
      </c>
      <c r="E1507" s="14">
        <f>C1507^2*D1507</f>
        <v/>
      </c>
    </row>
    <row r="1508">
      <c r="A1508" s="26" t="n">
        <v>45642</v>
      </c>
      <c r="B1508" s="14" t="inlineStr">
        <is>
          <t>NB-0015</t>
        </is>
      </c>
      <c r="C1508" s="14" t="n">
        <v>37</v>
      </c>
      <c r="D1508" s="14">
        <f>IF(A1508&gt;LastWeek-364,1,0)</f>
        <v/>
      </c>
      <c r="E1508" s="14">
        <f>C1508^2*D1508</f>
        <v/>
      </c>
    </row>
    <row r="1509">
      <c r="A1509" s="26" t="n">
        <v>45649</v>
      </c>
      <c r="B1509" s="14" t="inlineStr">
        <is>
          <t>NB-0015</t>
        </is>
      </c>
      <c r="C1509" s="14" t="n">
        <v>44</v>
      </c>
      <c r="D1509" s="14">
        <f>IF(A1509&gt;LastWeek-364,1,0)</f>
        <v/>
      </c>
      <c r="E1509" s="14">
        <f>C1509^2*D1509</f>
        <v/>
      </c>
    </row>
    <row r="1510">
      <c r="A1510" s="26" t="n">
        <v>45656</v>
      </c>
      <c r="B1510" s="14" t="inlineStr">
        <is>
          <t>NB-0015</t>
        </is>
      </c>
      <c r="C1510" s="14" t="n">
        <v>25</v>
      </c>
      <c r="D1510" s="14">
        <f>IF(A1510&gt;LastWeek-364,1,0)</f>
        <v/>
      </c>
      <c r="E1510" s="14">
        <f>C1510^2*D1510</f>
        <v/>
      </c>
    </row>
    <row r="1511">
      <c r="A1511" s="26" t="n">
        <v>45663</v>
      </c>
      <c r="B1511" s="14" t="inlineStr">
        <is>
          <t>NB-0015</t>
        </is>
      </c>
      <c r="C1511" s="14" t="n">
        <v>68</v>
      </c>
      <c r="D1511" s="14">
        <f>IF(A1511&gt;LastWeek-364,1,0)</f>
        <v/>
      </c>
      <c r="E1511" s="14">
        <f>C1511^2*D1511</f>
        <v/>
      </c>
    </row>
    <row r="1512">
      <c r="A1512" s="26" t="n">
        <v>45670</v>
      </c>
      <c r="B1512" s="14" t="inlineStr">
        <is>
          <t>NB-0015</t>
        </is>
      </c>
      <c r="C1512" s="14" t="n">
        <v>60</v>
      </c>
      <c r="D1512" s="14">
        <f>IF(A1512&gt;LastWeek-364,1,0)</f>
        <v/>
      </c>
      <c r="E1512" s="14">
        <f>C1512^2*D1512</f>
        <v/>
      </c>
    </row>
    <row r="1513">
      <c r="A1513" s="26" t="n">
        <v>45677</v>
      </c>
      <c r="B1513" s="14" t="inlineStr">
        <is>
          <t>NB-0015</t>
        </is>
      </c>
      <c r="C1513" s="14" t="n">
        <v>48</v>
      </c>
      <c r="D1513" s="14">
        <f>IF(A1513&gt;LastWeek-364,1,0)</f>
        <v/>
      </c>
      <c r="E1513" s="14">
        <f>C1513^2*D1513</f>
        <v/>
      </c>
    </row>
    <row r="1514">
      <c r="A1514" s="26" t="n">
        <v>45684</v>
      </c>
      <c r="B1514" s="14" t="inlineStr">
        <is>
          <t>NB-0015</t>
        </is>
      </c>
      <c r="C1514" s="14" t="n">
        <v>25</v>
      </c>
      <c r="D1514" s="14">
        <f>IF(A1514&gt;LastWeek-364,1,0)</f>
        <v/>
      </c>
      <c r="E1514" s="14">
        <f>C1514^2*D1514</f>
        <v/>
      </c>
    </row>
    <row r="1515">
      <c r="A1515" s="26" t="n">
        <v>45691</v>
      </c>
      <c r="B1515" s="14" t="inlineStr">
        <is>
          <t>NB-0015</t>
        </is>
      </c>
      <c r="C1515" s="14" t="n">
        <v>47</v>
      </c>
      <c r="D1515" s="14">
        <f>IF(A1515&gt;LastWeek-364,1,0)</f>
        <v/>
      </c>
      <c r="E1515" s="14">
        <f>C1515^2*D1515</f>
        <v/>
      </c>
    </row>
    <row r="1516">
      <c r="A1516" s="26" t="n">
        <v>45698</v>
      </c>
      <c r="B1516" s="14" t="inlineStr">
        <is>
          <t>NB-0015</t>
        </is>
      </c>
      <c r="C1516" s="14" t="n">
        <v>28</v>
      </c>
      <c r="D1516" s="14">
        <f>IF(A1516&gt;LastWeek-364,1,0)</f>
        <v/>
      </c>
      <c r="E1516" s="14">
        <f>C1516^2*D1516</f>
        <v/>
      </c>
    </row>
    <row r="1517">
      <c r="A1517" s="26" t="n">
        <v>45705</v>
      </c>
      <c r="B1517" s="14" t="inlineStr">
        <is>
          <t>NB-0015</t>
        </is>
      </c>
      <c r="C1517" s="14" t="n">
        <v>65</v>
      </c>
      <c r="D1517" s="14">
        <f>IF(A1517&gt;LastWeek-364,1,0)</f>
        <v/>
      </c>
      <c r="E1517" s="14">
        <f>C1517^2*D1517</f>
        <v/>
      </c>
    </row>
    <row r="1518">
      <c r="A1518" s="26" t="n">
        <v>45712</v>
      </c>
      <c r="B1518" s="14" t="inlineStr">
        <is>
          <t>NB-0015</t>
        </is>
      </c>
      <c r="C1518" s="14" t="n">
        <v>55</v>
      </c>
      <c r="D1518" s="14">
        <f>IF(A1518&gt;LastWeek-364,1,0)</f>
        <v/>
      </c>
      <c r="E1518" s="14">
        <f>C1518^2*D1518</f>
        <v/>
      </c>
    </row>
    <row r="1519">
      <c r="A1519" s="26" t="n">
        <v>45719</v>
      </c>
      <c r="B1519" s="14" t="inlineStr">
        <is>
          <t>NB-0015</t>
        </is>
      </c>
      <c r="C1519" s="14" t="n">
        <v>45</v>
      </c>
      <c r="D1519" s="14">
        <f>IF(A1519&gt;LastWeek-364,1,0)</f>
        <v/>
      </c>
      <c r="E1519" s="14">
        <f>C1519^2*D1519</f>
        <v/>
      </c>
    </row>
    <row r="1520">
      <c r="A1520" s="26" t="n">
        <v>45726</v>
      </c>
      <c r="B1520" s="14" t="inlineStr">
        <is>
          <t>NB-0015</t>
        </is>
      </c>
      <c r="C1520" s="14" t="n">
        <v>9</v>
      </c>
      <c r="D1520" s="14">
        <f>IF(A1520&gt;LastWeek-364,1,0)</f>
        <v/>
      </c>
      <c r="E1520" s="14">
        <f>C1520^2*D1520</f>
        <v/>
      </c>
    </row>
    <row r="1521">
      <c r="A1521" s="26" t="n">
        <v>45733</v>
      </c>
      <c r="B1521" s="14" t="inlineStr">
        <is>
          <t>NB-0015</t>
        </is>
      </c>
      <c r="C1521" s="14" t="n">
        <v>30</v>
      </c>
      <c r="D1521" s="14">
        <f>IF(A1521&gt;LastWeek-364,1,0)</f>
        <v/>
      </c>
      <c r="E1521" s="14">
        <f>C1521^2*D1521</f>
        <v/>
      </c>
    </row>
    <row r="1522">
      <c r="A1522" s="26" t="n">
        <v>45740</v>
      </c>
      <c r="B1522" s="14" t="inlineStr">
        <is>
          <t>NB-0015</t>
        </is>
      </c>
      <c r="C1522" s="14" t="n">
        <v>53</v>
      </c>
      <c r="D1522" s="14">
        <f>IF(A1522&gt;LastWeek-364,1,0)</f>
        <v/>
      </c>
      <c r="E1522" s="14">
        <f>C1522^2*D1522</f>
        <v/>
      </c>
    </row>
    <row r="1523">
      <c r="A1523" s="26" t="n">
        <v>45747</v>
      </c>
      <c r="B1523" s="14" t="inlineStr">
        <is>
          <t>NB-0015</t>
        </is>
      </c>
      <c r="C1523" s="14" t="n">
        <v>60</v>
      </c>
      <c r="D1523" s="14">
        <f>IF(A1523&gt;LastWeek-364,1,0)</f>
        <v/>
      </c>
      <c r="E1523" s="14">
        <f>C1523^2*D1523</f>
        <v/>
      </c>
    </row>
    <row r="1524">
      <c r="A1524" s="26" t="n">
        <v>45754</v>
      </c>
      <c r="B1524" s="14" t="inlineStr">
        <is>
          <t>NB-0015</t>
        </is>
      </c>
      <c r="C1524" s="14" t="n">
        <v>59</v>
      </c>
      <c r="D1524" s="14">
        <f>IF(A1524&gt;LastWeek-364,1,0)</f>
        <v/>
      </c>
      <c r="E1524" s="14">
        <f>C1524^2*D1524</f>
        <v/>
      </c>
    </row>
    <row r="1525">
      <c r="A1525" s="26" t="n">
        <v>45761</v>
      </c>
      <c r="B1525" s="14" t="inlineStr">
        <is>
          <t>NB-0015</t>
        </is>
      </c>
      <c r="C1525" s="14" t="n">
        <v>21</v>
      </c>
      <c r="D1525" s="14">
        <f>IF(A1525&gt;LastWeek-364,1,0)</f>
        <v/>
      </c>
      <c r="E1525" s="14">
        <f>C1525^2*D1525</f>
        <v/>
      </c>
    </row>
    <row r="1526">
      <c r="A1526" s="26" t="n">
        <v>45768</v>
      </c>
      <c r="B1526" s="14" t="inlineStr">
        <is>
          <t>NB-0015</t>
        </is>
      </c>
      <c r="C1526" s="14" t="n">
        <v>47</v>
      </c>
      <c r="D1526" s="14">
        <f>IF(A1526&gt;LastWeek-364,1,0)</f>
        <v/>
      </c>
      <c r="E1526" s="14">
        <f>C1526^2*D1526</f>
        <v/>
      </c>
    </row>
    <row r="1527">
      <c r="A1527" s="26" t="n">
        <v>45775</v>
      </c>
      <c r="B1527" s="14" t="inlineStr">
        <is>
          <t>NB-0015</t>
        </is>
      </c>
      <c r="C1527" s="14" t="n">
        <v>57</v>
      </c>
      <c r="D1527" s="14">
        <f>IF(A1527&gt;LastWeek-364,1,0)</f>
        <v/>
      </c>
      <c r="E1527" s="14">
        <f>C1527^2*D1527</f>
        <v/>
      </c>
    </row>
    <row r="1528">
      <c r="A1528" s="26" t="n">
        <v>45782</v>
      </c>
      <c r="B1528" s="14" t="inlineStr">
        <is>
          <t>NB-0015</t>
        </is>
      </c>
      <c r="C1528" s="14" t="n">
        <v>20</v>
      </c>
      <c r="D1528" s="14">
        <f>IF(A1528&gt;LastWeek-364,1,0)</f>
        <v/>
      </c>
      <c r="E1528" s="14">
        <f>C1528^2*D1528</f>
        <v/>
      </c>
    </row>
    <row r="1529">
      <c r="A1529" s="26" t="n">
        <v>45789</v>
      </c>
      <c r="B1529" s="14" t="inlineStr">
        <is>
          <t>NB-0015</t>
        </is>
      </c>
      <c r="C1529" s="14" t="n">
        <v>43</v>
      </c>
      <c r="D1529" s="14">
        <f>IF(A1529&gt;LastWeek-364,1,0)</f>
        <v/>
      </c>
      <c r="E1529" s="14">
        <f>C1529^2*D1529</f>
        <v/>
      </c>
    </row>
    <row r="1530">
      <c r="A1530" s="26" t="n">
        <v>45796</v>
      </c>
      <c r="B1530" s="14" t="inlineStr">
        <is>
          <t>NB-0015</t>
        </is>
      </c>
      <c r="C1530" s="14" t="n">
        <v>46</v>
      </c>
      <c r="D1530" s="14">
        <f>IF(A1530&gt;LastWeek-364,1,0)</f>
        <v/>
      </c>
      <c r="E1530" s="14">
        <f>C1530^2*D1530</f>
        <v/>
      </c>
    </row>
    <row r="1531">
      <c r="A1531" s="26" t="n">
        <v>45803</v>
      </c>
      <c r="B1531" s="14" t="inlineStr">
        <is>
          <t>NB-0015</t>
        </is>
      </c>
      <c r="C1531" s="14" t="n">
        <v>38</v>
      </c>
      <c r="D1531" s="14">
        <f>IF(A1531&gt;LastWeek-364,1,0)</f>
        <v/>
      </c>
      <c r="E1531" s="14">
        <f>C1531^2*D1531</f>
        <v/>
      </c>
    </row>
    <row r="1532">
      <c r="A1532" s="26" t="n">
        <v>45810</v>
      </c>
      <c r="B1532" s="14" t="inlineStr">
        <is>
          <t>NB-0015</t>
        </is>
      </c>
      <c r="C1532" s="14" t="n">
        <v>17</v>
      </c>
      <c r="D1532" s="14">
        <f>IF(A1532&gt;LastWeek-364,1,0)</f>
        <v/>
      </c>
      <c r="E1532" s="14">
        <f>C1532^2*D1532</f>
        <v/>
      </c>
    </row>
    <row r="1533">
      <c r="A1533" s="26" t="n">
        <v>45817</v>
      </c>
      <c r="B1533" s="14" t="inlineStr">
        <is>
          <t>NB-0015</t>
        </is>
      </c>
      <c r="C1533" s="14" t="n">
        <v>38</v>
      </c>
      <c r="D1533" s="14">
        <f>IF(A1533&gt;LastWeek-364,1,0)</f>
        <v/>
      </c>
      <c r="E1533" s="14">
        <f>C1533^2*D1533</f>
        <v/>
      </c>
    </row>
    <row r="1534">
      <c r="A1534" s="26" t="n">
        <v>45824</v>
      </c>
      <c r="B1534" s="14" t="inlineStr">
        <is>
          <t>NB-0015</t>
        </is>
      </c>
      <c r="C1534" s="14" t="n">
        <v>38</v>
      </c>
      <c r="D1534" s="14">
        <f>IF(A1534&gt;LastWeek-364,1,0)</f>
        <v/>
      </c>
      <c r="E1534" s="14">
        <f>C1534^2*D1534</f>
        <v/>
      </c>
    </row>
    <row r="1535">
      <c r="A1535" s="26" t="n">
        <v>45831</v>
      </c>
      <c r="B1535" s="14" t="inlineStr">
        <is>
          <t>NB-0015</t>
        </is>
      </c>
      <c r="C1535" s="14" t="n">
        <v>40</v>
      </c>
      <c r="D1535" s="14">
        <f>IF(A1535&gt;LastWeek-364,1,0)</f>
        <v/>
      </c>
      <c r="E1535" s="14">
        <f>C1535^2*D1535</f>
        <v/>
      </c>
    </row>
    <row r="1536">
      <c r="A1536" s="26" t="n">
        <v>45838</v>
      </c>
      <c r="B1536" s="14" t="inlineStr">
        <is>
          <t>NB-0015</t>
        </is>
      </c>
      <c r="C1536" s="14" t="n">
        <v>35</v>
      </c>
      <c r="D1536" s="14">
        <f>IF(A1536&gt;LastWeek-364,1,0)</f>
        <v/>
      </c>
      <c r="E1536" s="14">
        <f>C1536^2*D1536</f>
        <v/>
      </c>
    </row>
    <row r="1537">
      <c r="A1537" s="26" t="n">
        <v>45845</v>
      </c>
      <c r="B1537" s="14" t="inlineStr">
        <is>
          <t>NB-0015</t>
        </is>
      </c>
      <c r="C1537" s="14" t="n">
        <v>37</v>
      </c>
      <c r="D1537" s="14">
        <f>IF(A1537&gt;LastWeek-364,1,0)</f>
        <v/>
      </c>
      <c r="E1537" s="14">
        <f>C1537^2*D1537</f>
        <v/>
      </c>
    </row>
    <row r="1538">
      <c r="A1538" s="26" t="n">
        <v>45852</v>
      </c>
      <c r="B1538" s="14" t="inlineStr">
        <is>
          <t>NB-0015</t>
        </is>
      </c>
      <c r="C1538" s="14" t="n">
        <v>42</v>
      </c>
      <c r="D1538" s="14">
        <f>IF(A1538&gt;LastWeek-364,1,0)</f>
        <v/>
      </c>
      <c r="E1538" s="14">
        <f>C1538^2*D1538</f>
        <v/>
      </c>
    </row>
    <row r="1539">
      <c r="A1539" s="26" t="n">
        <v>45859</v>
      </c>
      <c r="B1539" s="14" t="inlineStr">
        <is>
          <t>NB-0015</t>
        </is>
      </c>
      <c r="C1539" s="14" t="n">
        <v>49</v>
      </c>
      <c r="D1539" s="14">
        <f>IF(A1539&gt;LastWeek-364,1,0)</f>
        <v/>
      </c>
      <c r="E1539" s="14">
        <f>C1539^2*D1539</f>
        <v/>
      </c>
    </row>
    <row r="1540">
      <c r="A1540" s="26" t="n">
        <v>45866</v>
      </c>
      <c r="B1540" s="14" t="inlineStr">
        <is>
          <t>NB-0015</t>
        </is>
      </c>
      <c r="C1540" s="14" t="n">
        <v>39</v>
      </c>
      <c r="D1540" s="14">
        <f>IF(A1540&gt;LastWeek-364,1,0)</f>
        <v/>
      </c>
      <c r="E1540" s="14">
        <f>C1540^2*D1540</f>
        <v/>
      </c>
    </row>
    <row r="1541">
      <c r="A1541" s="26" t="n">
        <v>45873</v>
      </c>
      <c r="B1541" s="14" t="inlineStr">
        <is>
          <t>NB-0015</t>
        </is>
      </c>
      <c r="C1541" s="14" t="n">
        <v>38</v>
      </c>
      <c r="D1541" s="14">
        <f>IF(A1541&gt;LastWeek-364,1,0)</f>
        <v/>
      </c>
      <c r="E1541" s="14">
        <f>C1541^2*D1541</f>
        <v/>
      </c>
    </row>
    <row r="1542">
      <c r="A1542" s="26" t="n">
        <v>45880</v>
      </c>
      <c r="B1542" s="14" t="inlineStr">
        <is>
          <t>NB-0015</t>
        </is>
      </c>
      <c r="C1542" s="14" t="n">
        <v>45</v>
      </c>
      <c r="D1542" s="14">
        <f>IF(A1542&gt;LastWeek-364,1,0)</f>
        <v/>
      </c>
      <c r="E1542" s="14">
        <f>C1542^2*D1542</f>
        <v/>
      </c>
    </row>
    <row r="1543">
      <c r="A1543" s="26" t="n">
        <v>45887</v>
      </c>
      <c r="B1543" s="14" t="inlineStr">
        <is>
          <t>NB-0015</t>
        </is>
      </c>
      <c r="C1543" s="14" t="n">
        <v>16</v>
      </c>
      <c r="D1543" s="14">
        <f>IF(A1543&gt;LastWeek-364,1,0)</f>
        <v/>
      </c>
      <c r="E1543" s="14">
        <f>C1543^2*D1543</f>
        <v/>
      </c>
    </row>
    <row r="1544">
      <c r="A1544" s="26" t="n">
        <v>45894</v>
      </c>
      <c r="B1544" s="14" t="inlineStr">
        <is>
          <t>NB-0015</t>
        </is>
      </c>
      <c r="C1544" s="14" t="n">
        <v>51</v>
      </c>
      <c r="D1544" s="14">
        <f>IF(A1544&gt;LastWeek-364,1,0)</f>
        <v/>
      </c>
      <c r="E1544" s="14">
        <f>C1544^2*D1544</f>
        <v/>
      </c>
    </row>
    <row r="1545">
      <c r="A1545" s="26" t="n">
        <v>45901</v>
      </c>
      <c r="B1545" s="14" t="inlineStr">
        <is>
          <t>NB-0015</t>
        </is>
      </c>
      <c r="C1545" s="14" t="n">
        <v>44</v>
      </c>
      <c r="D1545" s="14">
        <f>IF(A1545&gt;LastWeek-364,1,0)</f>
        <v/>
      </c>
      <c r="E1545" s="14">
        <f>C1545^2*D1545</f>
        <v/>
      </c>
    </row>
    <row r="1546">
      <c r="A1546" s="26" t="n">
        <v>45908</v>
      </c>
      <c r="B1546" s="14" t="inlineStr">
        <is>
          <t>NB-0015</t>
        </is>
      </c>
      <c r="C1546" s="14" t="n">
        <v>45</v>
      </c>
      <c r="D1546" s="14">
        <f>IF(A1546&gt;LastWeek-364,1,0)</f>
        <v/>
      </c>
      <c r="E1546" s="14">
        <f>C1546^2*D1546</f>
        <v/>
      </c>
    </row>
    <row r="1547">
      <c r="A1547" s="26" t="n">
        <v>45915</v>
      </c>
      <c r="B1547" s="14" t="inlineStr">
        <is>
          <t>NB-0015</t>
        </is>
      </c>
      <c r="C1547" s="14" t="n">
        <v>59</v>
      </c>
      <c r="D1547" s="14">
        <f>IF(A1547&gt;LastWeek-364,1,0)</f>
        <v/>
      </c>
      <c r="E1547" s="14">
        <f>C1547^2*D1547</f>
        <v/>
      </c>
    </row>
    <row r="1548">
      <c r="A1548" s="26" t="n">
        <v>45922</v>
      </c>
      <c r="B1548" s="14" t="inlineStr">
        <is>
          <t>NB-0015</t>
        </is>
      </c>
      <c r="C1548" s="14" t="n">
        <v>16</v>
      </c>
      <c r="D1548" s="14">
        <f>IF(A1548&gt;LastWeek-364,1,0)</f>
        <v/>
      </c>
      <c r="E1548" s="14">
        <f>C1548^2*D1548</f>
        <v/>
      </c>
    </row>
    <row r="1549">
      <c r="A1549" s="26" t="n">
        <v>45929</v>
      </c>
      <c r="B1549" s="14" t="inlineStr">
        <is>
          <t>NB-0015</t>
        </is>
      </c>
      <c r="C1549" s="14" t="n">
        <v>16</v>
      </c>
      <c r="D1549" s="14">
        <f>IF(A1549&gt;LastWeek-364,1,0)</f>
        <v/>
      </c>
      <c r="E1549" s="14">
        <f>C1549^2*D1549</f>
        <v/>
      </c>
    </row>
    <row r="1550">
      <c r="A1550" s="26" t="n">
        <v>45936</v>
      </c>
      <c r="B1550" s="14" t="inlineStr">
        <is>
          <t>NB-0015</t>
        </is>
      </c>
      <c r="C1550" s="14" t="n">
        <v>50</v>
      </c>
      <c r="D1550" s="14">
        <f>IF(A1550&gt;LastWeek-364,1,0)</f>
        <v/>
      </c>
      <c r="E1550" s="14">
        <f>C1550^2*D1550</f>
        <v/>
      </c>
    </row>
    <row r="1551">
      <c r="A1551" s="26" t="n">
        <v>45943</v>
      </c>
      <c r="B1551" s="14" t="inlineStr">
        <is>
          <t>NB-0015</t>
        </is>
      </c>
      <c r="C1551" s="14" t="n">
        <v>46</v>
      </c>
      <c r="D1551" s="14">
        <f>IF(A1551&gt;LastWeek-364,1,0)</f>
        <v/>
      </c>
      <c r="E1551" s="14">
        <f>C1551^2*D1551</f>
        <v/>
      </c>
    </row>
    <row r="1552">
      <c r="A1552" s="26" t="n">
        <v>45950</v>
      </c>
      <c r="B1552" s="14" t="inlineStr">
        <is>
          <t>NB-0015</t>
        </is>
      </c>
      <c r="C1552" s="14" t="n">
        <v>49</v>
      </c>
      <c r="D1552" s="14">
        <f>IF(A1552&gt;LastWeek-364,1,0)</f>
        <v/>
      </c>
      <c r="E1552" s="14">
        <f>C1552^2*D1552</f>
        <v/>
      </c>
    </row>
    <row r="1553">
      <c r="A1553" s="26" t="n">
        <v>45957</v>
      </c>
      <c r="B1553" s="14" t="inlineStr">
        <is>
          <t>NB-0015</t>
        </is>
      </c>
      <c r="C1553" s="14" t="n">
        <v>40</v>
      </c>
      <c r="D1553" s="14">
        <f>IF(A1553&gt;LastWeek-364,1,0)</f>
        <v/>
      </c>
      <c r="E1553" s="14">
        <f>C1553^2*D1553</f>
        <v/>
      </c>
    </row>
    <row r="1554">
      <c r="A1554" s="26" t="n">
        <v>45964</v>
      </c>
      <c r="B1554" s="14" t="inlineStr">
        <is>
          <t>NB-0015</t>
        </is>
      </c>
      <c r="C1554" s="14" t="n">
        <v>58</v>
      </c>
      <c r="D1554" s="14">
        <f>IF(A1554&gt;LastWeek-364,1,0)</f>
        <v/>
      </c>
      <c r="E1554" s="14">
        <f>C1554^2*D1554</f>
        <v/>
      </c>
    </row>
    <row r="1555">
      <c r="A1555" s="26" t="n">
        <v>45971</v>
      </c>
      <c r="B1555" s="14" t="inlineStr">
        <is>
          <t>NB-0015</t>
        </is>
      </c>
      <c r="C1555" s="14" t="n">
        <v>62</v>
      </c>
      <c r="D1555" s="14">
        <f>IF(A1555&gt;LastWeek-364,1,0)</f>
        <v/>
      </c>
      <c r="E1555" s="14">
        <f>C1555^2*D1555</f>
        <v/>
      </c>
    </row>
    <row r="1556">
      <c r="A1556" s="26" t="n">
        <v>45978</v>
      </c>
      <c r="B1556" s="14" t="inlineStr">
        <is>
          <t>NB-0015</t>
        </is>
      </c>
      <c r="C1556" s="14" t="n">
        <v>55</v>
      </c>
      <c r="D1556" s="14">
        <f>IF(A1556&gt;LastWeek-364,1,0)</f>
        <v/>
      </c>
      <c r="E1556" s="14">
        <f>C1556^2*D1556</f>
        <v/>
      </c>
    </row>
    <row r="1557">
      <c r="A1557" s="26" t="n">
        <v>45985</v>
      </c>
      <c r="B1557" s="14" t="inlineStr">
        <is>
          <t>NB-0015</t>
        </is>
      </c>
      <c r="C1557" s="14" t="n">
        <v>44</v>
      </c>
      <c r="D1557" s="14">
        <f>IF(A1557&gt;LastWeek-364,1,0)</f>
        <v/>
      </c>
      <c r="E1557" s="14">
        <f>C1557^2*D1557</f>
        <v/>
      </c>
    </row>
    <row r="1558">
      <c r="A1558" s="26" t="n">
        <v>45992</v>
      </c>
      <c r="B1558" s="14" t="inlineStr">
        <is>
          <t>NB-0015</t>
        </is>
      </c>
      <c r="C1558" s="14" t="n">
        <v>15</v>
      </c>
      <c r="D1558" s="14">
        <f>IF(A1558&gt;LastWeek-364,1,0)</f>
        <v/>
      </c>
      <c r="E1558" s="14">
        <f>C1558^2*D1558</f>
        <v/>
      </c>
    </row>
    <row r="1559">
      <c r="A1559" s="26" t="n">
        <v>45999</v>
      </c>
      <c r="B1559" s="14" t="inlineStr">
        <is>
          <t>NB-0015</t>
        </is>
      </c>
      <c r="C1559" s="14" t="n">
        <v>61</v>
      </c>
      <c r="D1559" s="14">
        <f>IF(A1559&gt;LastWeek-364,1,0)</f>
        <v/>
      </c>
      <c r="E1559" s="14">
        <f>C1559^2*D1559</f>
        <v/>
      </c>
    </row>
    <row r="1560">
      <c r="A1560" s="26" t="n">
        <v>46006</v>
      </c>
      <c r="B1560" s="14" t="inlineStr">
        <is>
          <t>NB-0015</t>
        </is>
      </c>
      <c r="C1560" s="14" t="n">
        <v>68</v>
      </c>
      <c r="D1560" s="14">
        <f>IF(A1560&gt;LastWeek-364,1,0)</f>
        <v/>
      </c>
      <c r="E1560" s="14">
        <f>C1560^2*D1560</f>
        <v/>
      </c>
    </row>
    <row r="1561">
      <c r="A1561" s="26" t="n">
        <v>46013</v>
      </c>
      <c r="B1561" s="14" t="inlineStr">
        <is>
          <t>NB-0015</t>
        </is>
      </c>
      <c r="C1561" s="14" t="n">
        <v>59</v>
      </c>
      <c r="D1561" s="14">
        <f>IF(A1561&gt;LastWeek-364,1,0)</f>
        <v/>
      </c>
      <c r="E1561" s="14">
        <f>C1561^2*D1561</f>
        <v/>
      </c>
    </row>
    <row r="1562">
      <c r="A1562" s="26" t="n">
        <v>45292</v>
      </c>
      <c r="B1562" s="14" t="inlineStr">
        <is>
          <t>NB-0016</t>
        </is>
      </c>
      <c r="C1562" s="14" t="n">
        <v>18</v>
      </c>
      <c r="D1562" s="14">
        <f>IF(A1562&gt;LastWeek-364,1,0)</f>
        <v/>
      </c>
      <c r="E1562" s="14">
        <f>C1562^2*D1562</f>
        <v/>
      </c>
    </row>
    <row r="1563">
      <c r="A1563" s="26" t="n">
        <v>45299</v>
      </c>
      <c r="B1563" s="14" t="inlineStr">
        <is>
          <t>NB-0016</t>
        </is>
      </c>
      <c r="C1563" s="14" t="n">
        <v>21</v>
      </c>
      <c r="D1563" s="14">
        <f>IF(A1563&gt;LastWeek-364,1,0)</f>
        <v/>
      </c>
      <c r="E1563" s="14">
        <f>C1563^2*D1563</f>
        <v/>
      </c>
    </row>
    <row r="1564">
      <c r="A1564" s="26" t="n">
        <v>45306</v>
      </c>
      <c r="B1564" s="14" t="inlineStr">
        <is>
          <t>NB-0016</t>
        </is>
      </c>
      <c r="C1564" s="14" t="n">
        <v>22</v>
      </c>
      <c r="D1564" s="14">
        <f>IF(A1564&gt;LastWeek-364,1,0)</f>
        <v/>
      </c>
      <c r="E1564" s="14">
        <f>C1564^2*D1564</f>
        <v/>
      </c>
    </row>
    <row r="1565">
      <c r="A1565" s="26" t="n">
        <v>45313</v>
      </c>
      <c r="B1565" s="14" t="inlineStr">
        <is>
          <t>NB-0016</t>
        </is>
      </c>
      <c r="C1565" s="14" t="n">
        <v>23</v>
      </c>
      <c r="D1565" s="14">
        <f>IF(A1565&gt;LastWeek-364,1,0)</f>
        <v/>
      </c>
      <c r="E1565" s="14">
        <f>C1565^2*D1565</f>
        <v/>
      </c>
    </row>
    <row r="1566">
      <c r="A1566" s="26" t="n">
        <v>45320</v>
      </c>
      <c r="B1566" s="14" t="inlineStr">
        <is>
          <t>NB-0016</t>
        </is>
      </c>
      <c r="C1566" s="14" t="n">
        <v>18</v>
      </c>
      <c r="D1566" s="14">
        <f>IF(A1566&gt;LastWeek-364,1,0)</f>
        <v/>
      </c>
      <c r="E1566" s="14">
        <f>C1566^2*D1566</f>
        <v/>
      </c>
    </row>
    <row r="1567">
      <c r="A1567" s="26" t="n">
        <v>45327</v>
      </c>
      <c r="B1567" s="14" t="inlineStr">
        <is>
          <t>NB-0016</t>
        </is>
      </c>
      <c r="C1567" s="14" t="n">
        <v>19</v>
      </c>
      <c r="D1567" s="14">
        <f>IF(A1567&gt;LastWeek-364,1,0)</f>
        <v/>
      </c>
      <c r="E1567" s="14">
        <f>C1567^2*D1567</f>
        <v/>
      </c>
    </row>
    <row r="1568">
      <c r="A1568" s="26" t="n">
        <v>45334</v>
      </c>
      <c r="B1568" s="14" t="inlineStr">
        <is>
          <t>NB-0016</t>
        </is>
      </c>
      <c r="C1568" s="14" t="n">
        <v>21</v>
      </c>
      <c r="D1568" s="14">
        <f>IF(A1568&gt;LastWeek-364,1,0)</f>
        <v/>
      </c>
      <c r="E1568" s="14">
        <f>C1568^2*D1568</f>
        <v/>
      </c>
    </row>
    <row r="1569">
      <c r="A1569" s="26" t="n">
        <v>45341</v>
      </c>
      <c r="B1569" s="14" t="inlineStr">
        <is>
          <t>NB-0016</t>
        </is>
      </c>
      <c r="C1569" s="14" t="n">
        <v>20</v>
      </c>
      <c r="D1569" s="14">
        <f>IF(A1569&gt;LastWeek-364,1,0)</f>
        <v/>
      </c>
      <c r="E1569" s="14">
        <f>C1569^2*D1569</f>
        <v/>
      </c>
    </row>
    <row r="1570">
      <c r="A1570" s="26" t="n">
        <v>45348</v>
      </c>
      <c r="B1570" s="14" t="inlineStr">
        <is>
          <t>NB-0016</t>
        </is>
      </c>
      <c r="C1570" s="14" t="n">
        <v>17</v>
      </c>
      <c r="D1570" s="14">
        <f>IF(A1570&gt;LastWeek-364,1,0)</f>
        <v/>
      </c>
      <c r="E1570" s="14">
        <f>C1570^2*D1570</f>
        <v/>
      </c>
    </row>
    <row r="1571">
      <c r="A1571" s="26" t="n">
        <v>45355</v>
      </c>
      <c r="B1571" s="14" t="inlineStr">
        <is>
          <t>NB-0016</t>
        </is>
      </c>
      <c r="C1571" s="14" t="n">
        <v>21</v>
      </c>
      <c r="D1571" s="14">
        <f>IF(A1571&gt;LastWeek-364,1,0)</f>
        <v/>
      </c>
      <c r="E1571" s="14">
        <f>C1571^2*D1571</f>
        <v/>
      </c>
    </row>
    <row r="1572">
      <c r="A1572" s="26" t="n">
        <v>45362</v>
      </c>
      <c r="B1572" s="14" t="inlineStr">
        <is>
          <t>NB-0016</t>
        </is>
      </c>
      <c r="C1572" s="14" t="n">
        <v>21</v>
      </c>
      <c r="D1572" s="14">
        <f>IF(A1572&gt;LastWeek-364,1,0)</f>
        <v/>
      </c>
      <c r="E1572" s="14">
        <f>C1572^2*D1572</f>
        <v/>
      </c>
    </row>
    <row r="1573">
      <c r="A1573" s="26" t="n">
        <v>45369</v>
      </c>
      <c r="B1573" s="14" t="inlineStr">
        <is>
          <t>NB-0016</t>
        </is>
      </c>
      <c r="C1573" s="14" t="n">
        <v>20</v>
      </c>
      <c r="D1573" s="14">
        <f>IF(A1573&gt;LastWeek-364,1,0)</f>
        <v/>
      </c>
      <c r="E1573" s="14">
        <f>C1573^2*D1573</f>
        <v/>
      </c>
    </row>
    <row r="1574">
      <c r="A1574" s="26" t="n">
        <v>45376</v>
      </c>
      <c r="B1574" s="14" t="inlineStr">
        <is>
          <t>NB-0016</t>
        </is>
      </c>
      <c r="C1574" s="14" t="n">
        <v>20</v>
      </c>
      <c r="D1574" s="14">
        <f>IF(A1574&gt;LastWeek-364,1,0)</f>
        <v/>
      </c>
      <c r="E1574" s="14">
        <f>C1574^2*D1574</f>
        <v/>
      </c>
    </row>
    <row r="1575">
      <c r="A1575" s="26" t="n">
        <v>45383</v>
      </c>
      <c r="B1575" s="14" t="inlineStr">
        <is>
          <t>NB-0016</t>
        </is>
      </c>
      <c r="C1575" s="14" t="n">
        <v>19</v>
      </c>
      <c r="D1575" s="14">
        <f>IF(A1575&gt;LastWeek-364,1,0)</f>
        <v/>
      </c>
      <c r="E1575" s="14">
        <f>C1575^2*D1575</f>
        <v/>
      </c>
    </row>
    <row r="1576">
      <c r="A1576" s="26" t="n">
        <v>45390</v>
      </c>
      <c r="B1576" s="14" t="inlineStr">
        <is>
          <t>NB-0016</t>
        </is>
      </c>
      <c r="C1576" s="14" t="n">
        <v>23</v>
      </c>
      <c r="D1576" s="14">
        <f>IF(A1576&gt;LastWeek-364,1,0)</f>
        <v/>
      </c>
      <c r="E1576" s="14">
        <f>C1576^2*D1576</f>
        <v/>
      </c>
    </row>
    <row r="1577">
      <c r="A1577" s="26" t="n">
        <v>45397</v>
      </c>
      <c r="B1577" s="14" t="inlineStr">
        <is>
          <t>NB-0016</t>
        </is>
      </c>
      <c r="C1577" s="14" t="n">
        <v>17</v>
      </c>
      <c r="D1577" s="14">
        <f>IF(A1577&gt;LastWeek-364,1,0)</f>
        <v/>
      </c>
      <c r="E1577" s="14">
        <f>C1577^2*D1577</f>
        <v/>
      </c>
    </row>
    <row r="1578">
      <c r="A1578" s="26" t="n">
        <v>45404</v>
      </c>
      <c r="B1578" s="14" t="inlineStr">
        <is>
          <t>NB-0016</t>
        </is>
      </c>
      <c r="C1578" s="14" t="n">
        <v>18</v>
      </c>
      <c r="D1578" s="14">
        <f>IF(A1578&gt;LastWeek-364,1,0)</f>
        <v/>
      </c>
      <c r="E1578" s="14">
        <f>C1578^2*D1578</f>
        <v/>
      </c>
    </row>
    <row r="1579">
      <c r="A1579" s="26" t="n">
        <v>45411</v>
      </c>
      <c r="B1579" s="14" t="inlineStr">
        <is>
          <t>NB-0016</t>
        </is>
      </c>
      <c r="C1579" s="14" t="n">
        <v>19</v>
      </c>
      <c r="D1579" s="14">
        <f>IF(A1579&gt;LastWeek-364,1,0)</f>
        <v/>
      </c>
      <c r="E1579" s="14">
        <f>C1579^2*D1579</f>
        <v/>
      </c>
    </row>
    <row r="1580">
      <c r="A1580" s="26" t="n">
        <v>45418</v>
      </c>
      <c r="B1580" s="14" t="inlineStr">
        <is>
          <t>NB-0016</t>
        </is>
      </c>
      <c r="C1580" s="14" t="n">
        <v>21</v>
      </c>
      <c r="D1580" s="14">
        <f>IF(A1580&gt;LastWeek-364,1,0)</f>
        <v/>
      </c>
      <c r="E1580" s="14">
        <f>C1580^2*D1580</f>
        <v/>
      </c>
    </row>
    <row r="1581">
      <c r="A1581" s="26" t="n">
        <v>45425</v>
      </c>
      <c r="B1581" s="14" t="inlineStr">
        <is>
          <t>NB-0016</t>
        </is>
      </c>
      <c r="C1581" s="14" t="n">
        <v>16</v>
      </c>
      <c r="D1581" s="14">
        <f>IF(A1581&gt;LastWeek-364,1,0)</f>
        <v/>
      </c>
      <c r="E1581" s="14">
        <f>C1581^2*D1581</f>
        <v/>
      </c>
    </row>
    <row r="1582">
      <c r="A1582" s="26" t="n">
        <v>45432</v>
      </c>
      <c r="B1582" s="14" t="inlineStr">
        <is>
          <t>NB-0016</t>
        </is>
      </c>
      <c r="C1582" s="14" t="n">
        <v>16</v>
      </c>
      <c r="D1582" s="14">
        <f>IF(A1582&gt;LastWeek-364,1,0)</f>
        <v/>
      </c>
      <c r="E1582" s="14">
        <f>C1582^2*D1582</f>
        <v/>
      </c>
    </row>
    <row r="1583">
      <c r="A1583" s="26" t="n">
        <v>45439</v>
      </c>
      <c r="B1583" s="14" t="inlineStr">
        <is>
          <t>NB-0016</t>
        </is>
      </c>
      <c r="C1583" s="14" t="n">
        <v>15</v>
      </c>
      <c r="D1583" s="14">
        <f>IF(A1583&gt;LastWeek-364,1,0)</f>
        <v/>
      </c>
      <c r="E1583" s="14">
        <f>C1583^2*D1583</f>
        <v/>
      </c>
    </row>
    <row r="1584">
      <c r="A1584" s="26" t="n">
        <v>45446</v>
      </c>
      <c r="B1584" s="14" t="inlineStr">
        <is>
          <t>NB-0016</t>
        </is>
      </c>
      <c r="C1584" s="14" t="n">
        <v>19</v>
      </c>
      <c r="D1584" s="14">
        <f>IF(A1584&gt;LastWeek-364,1,0)</f>
        <v/>
      </c>
      <c r="E1584" s="14">
        <f>C1584^2*D1584</f>
        <v/>
      </c>
    </row>
    <row r="1585">
      <c r="A1585" s="26" t="n">
        <v>45453</v>
      </c>
      <c r="B1585" s="14" t="inlineStr">
        <is>
          <t>NB-0016</t>
        </is>
      </c>
      <c r="C1585" s="14" t="n">
        <v>16</v>
      </c>
      <c r="D1585" s="14">
        <f>IF(A1585&gt;LastWeek-364,1,0)</f>
        <v/>
      </c>
      <c r="E1585" s="14">
        <f>C1585^2*D1585</f>
        <v/>
      </c>
    </row>
    <row r="1586">
      <c r="A1586" s="26" t="n">
        <v>45460</v>
      </c>
      <c r="B1586" s="14" t="inlineStr">
        <is>
          <t>NB-0016</t>
        </is>
      </c>
      <c r="C1586" s="14" t="n">
        <v>18</v>
      </c>
      <c r="D1586" s="14">
        <f>IF(A1586&gt;LastWeek-364,1,0)</f>
        <v/>
      </c>
      <c r="E1586" s="14">
        <f>C1586^2*D1586</f>
        <v/>
      </c>
    </row>
    <row r="1587">
      <c r="A1587" s="26" t="n">
        <v>45467</v>
      </c>
      <c r="B1587" s="14" t="inlineStr">
        <is>
          <t>NB-0016</t>
        </is>
      </c>
      <c r="C1587" s="14" t="n">
        <v>20</v>
      </c>
      <c r="D1587" s="14">
        <f>IF(A1587&gt;LastWeek-364,1,0)</f>
        <v/>
      </c>
      <c r="E1587" s="14">
        <f>C1587^2*D1587</f>
        <v/>
      </c>
    </row>
    <row r="1588">
      <c r="A1588" s="26" t="n">
        <v>45474</v>
      </c>
      <c r="B1588" s="14" t="inlineStr">
        <is>
          <t>NB-0016</t>
        </is>
      </c>
      <c r="C1588" s="14" t="n">
        <v>18</v>
      </c>
      <c r="D1588" s="14">
        <f>IF(A1588&gt;LastWeek-364,1,0)</f>
        <v/>
      </c>
      <c r="E1588" s="14">
        <f>C1588^2*D1588</f>
        <v/>
      </c>
    </row>
    <row r="1589">
      <c r="A1589" s="26" t="n">
        <v>45481</v>
      </c>
      <c r="B1589" s="14" t="inlineStr">
        <is>
          <t>NB-0016</t>
        </is>
      </c>
      <c r="C1589" s="14" t="n">
        <v>19</v>
      </c>
      <c r="D1589" s="14">
        <f>IF(A1589&gt;LastWeek-364,1,0)</f>
        <v/>
      </c>
      <c r="E1589" s="14">
        <f>C1589^2*D1589</f>
        <v/>
      </c>
    </row>
    <row r="1590">
      <c r="A1590" s="26" t="n">
        <v>45488</v>
      </c>
      <c r="B1590" s="14" t="inlineStr">
        <is>
          <t>NB-0016</t>
        </is>
      </c>
      <c r="C1590" s="14" t="n">
        <v>18</v>
      </c>
      <c r="D1590" s="14">
        <f>IF(A1590&gt;LastWeek-364,1,0)</f>
        <v/>
      </c>
      <c r="E1590" s="14">
        <f>C1590^2*D1590</f>
        <v/>
      </c>
    </row>
    <row r="1591">
      <c r="A1591" s="26" t="n">
        <v>45495</v>
      </c>
      <c r="B1591" s="14" t="inlineStr">
        <is>
          <t>NB-0016</t>
        </is>
      </c>
      <c r="C1591" s="14" t="n">
        <v>21</v>
      </c>
      <c r="D1591" s="14">
        <f>IF(A1591&gt;LastWeek-364,1,0)</f>
        <v/>
      </c>
      <c r="E1591" s="14">
        <f>C1591^2*D1591</f>
        <v/>
      </c>
    </row>
    <row r="1592">
      <c r="A1592" s="26" t="n">
        <v>45502</v>
      </c>
      <c r="B1592" s="14" t="inlineStr">
        <is>
          <t>NB-0016</t>
        </is>
      </c>
      <c r="C1592" s="14" t="n">
        <v>20</v>
      </c>
      <c r="D1592" s="14">
        <f>IF(A1592&gt;LastWeek-364,1,0)</f>
        <v/>
      </c>
      <c r="E1592" s="14">
        <f>C1592^2*D1592</f>
        <v/>
      </c>
    </row>
    <row r="1593">
      <c r="A1593" s="26" t="n">
        <v>45509</v>
      </c>
      <c r="B1593" s="14" t="inlineStr">
        <is>
          <t>NB-0016</t>
        </is>
      </c>
      <c r="C1593" s="14" t="n">
        <v>18</v>
      </c>
      <c r="D1593" s="14">
        <f>IF(A1593&gt;LastWeek-364,1,0)</f>
        <v/>
      </c>
      <c r="E1593" s="14">
        <f>C1593^2*D1593</f>
        <v/>
      </c>
    </row>
    <row r="1594">
      <c r="A1594" s="26" t="n">
        <v>45516</v>
      </c>
      <c r="B1594" s="14" t="inlineStr">
        <is>
          <t>NB-0016</t>
        </is>
      </c>
      <c r="C1594" s="14" t="n">
        <v>19</v>
      </c>
      <c r="D1594" s="14">
        <f>IF(A1594&gt;LastWeek-364,1,0)</f>
        <v/>
      </c>
      <c r="E1594" s="14">
        <f>C1594^2*D1594</f>
        <v/>
      </c>
    </row>
    <row r="1595">
      <c r="A1595" s="26" t="n">
        <v>45523</v>
      </c>
      <c r="B1595" s="14" t="inlineStr">
        <is>
          <t>NB-0016</t>
        </is>
      </c>
      <c r="C1595" s="14" t="n">
        <v>22</v>
      </c>
      <c r="D1595" s="14">
        <f>IF(A1595&gt;LastWeek-364,1,0)</f>
        <v/>
      </c>
      <c r="E1595" s="14">
        <f>C1595^2*D1595</f>
        <v/>
      </c>
    </row>
    <row r="1596">
      <c r="A1596" s="26" t="n">
        <v>45530</v>
      </c>
      <c r="B1596" s="14" t="inlineStr">
        <is>
          <t>NB-0016</t>
        </is>
      </c>
      <c r="C1596" s="14" t="n">
        <v>21</v>
      </c>
      <c r="D1596" s="14">
        <f>IF(A1596&gt;LastWeek-364,1,0)</f>
        <v/>
      </c>
      <c r="E1596" s="14">
        <f>C1596^2*D1596</f>
        <v/>
      </c>
    </row>
    <row r="1597">
      <c r="A1597" s="26" t="n">
        <v>45537</v>
      </c>
      <c r="B1597" s="14" t="inlineStr">
        <is>
          <t>NB-0016</t>
        </is>
      </c>
      <c r="C1597" s="14" t="n">
        <v>17</v>
      </c>
      <c r="D1597" s="14">
        <f>IF(A1597&gt;LastWeek-364,1,0)</f>
        <v/>
      </c>
      <c r="E1597" s="14">
        <f>C1597^2*D1597</f>
        <v/>
      </c>
    </row>
    <row r="1598">
      <c r="A1598" s="26" t="n">
        <v>45544</v>
      </c>
      <c r="B1598" s="14" t="inlineStr">
        <is>
          <t>NB-0016</t>
        </is>
      </c>
      <c r="C1598" s="14" t="n">
        <v>21</v>
      </c>
      <c r="D1598" s="14">
        <f>IF(A1598&gt;LastWeek-364,1,0)</f>
        <v/>
      </c>
      <c r="E1598" s="14">
        <f>C1598^2*D1598</f>
        <v/>
      </c>
    </row>
    <row r="1599">
      <c r="A1599" s="26" t="n">
        <v>45551</v>
      </c>
      <c r="B1599" s="14" t="inlineStr">
        <is>
          <t>NB-0016</t>
        </is>
      </c>
      <c r="C1599" s="14" t="n">
        <v>18</v>
      </c>
      <c r="D1599" s="14">
        <f>IF(A1599&gt;LastWeek-364,1,0)</f>
        <v/>
      </c>
      <c r="E1599" s="14">
        <f>C1599^2*D1599</f>
        <v/>
      </c>
    </row>
    <row r="1600">
      <c r="A1600" s="26" t="n">
        <v>45558</v>
      </c>
      <c r="B1600" s="14" t="inlineStr">
        <is>
          <t>NB-0016</t>
        </is>
      </c>
      <c r="C1600" s="14" t="n">
        <v>24</v>
      </c>
      <c r="D1600" s="14">
        <f>IF(A1600&gt;LastWeek-364,1,0)</f>
        <v/>
      </c>
      <c r="E1600" s="14">
        <f>C1600^2*D1600</f>
        <v/>
      </c>
    </row>
    <row r="1601">
      <c r="A1601" s="26" t="n">
        <v>45565</v>
      </c>
      <c r="B1601" s="14" t="inlineStr">
        <is>
          <t>NB-0016</t>
        </is>
      </c>
      <c r="C1601" s="14" t="n">
        <v>23</v>
      </c>
      <c r="D1601" s="14">
        <f>IF(A1601&gt;LastWeek-364,1,0)</f>
        <v/>
      </c>
      <c r="E1601" s="14">
        <f>C1601^2*D1601</f>
        <v/>
      </c>
    </row>
    <row r="1602">
      <c r="A1602" s="26" t="n">
        <v>45572</v>
      </c>
      <c r="B1602" s="14" t="inlineStr">
        <is>
          <t>NB-0016</t>
        </is>
      </c>
      <c r="C1602" s="14" t="n">
        <v>21</v>
      </c>
      <c r="D1602" s="14">
        <f>IF(A1602&gt;LastWeek-364,1,0)</f>
        <v/>
      </c>
      <c r="E1602" s="14">
        <f>C1602^2*D1602</f>
        <v/>
      </c>
    </row>
    <row r="1603">
      <c r="A1603" s="26" t="n">
        <v>45579</v>
      </c>
      <c r="B1603" s="14" t="inlineStr">
        <is>
          <t>NB-0016</t>
        </is>
      </c>
      <c r="C1603" s="14" t="n">
        <v>21</v>
      </c>
      <c r="D1603" s="14">
        <f>IF(A1603&gt;LastWeek-364,1,0)</f>
        <v/>
      </c>
      <c r="E1603" s="14">
        <f>C1603^2*D1603</f>
        <v/>
      </c>
    </row>
    <row r="1604">
      <c r="A1604" s="26" t="n">
        <v>45586</v>
      </c>
      <c r="B1604" s="14" t="inlineStr">
        <is>
          <t>NB-0016</t>
        </is>
      </c>
      <c r="C1604" s="14" t="n">
        <v>20</v>
      </c>
      <c r="D1604" s="14">
        <f>IF(A1604&gt;LastWeek-364,1,0)</f>
        <v/>
      </c>
      <c r="E1604" s="14">
        <f>C1604^2*D1604</f>
        <v/>
      </c>
    </row>
    <row r="1605">
      <c r="A1605" s="26" t="n">
        <v>45593</v>
      </c>
      <c r="B1605" s="14" t="inlineStr">
        <is>
          <t>NB-0016</t>
        </is>
      </c>
      <c r="C1605" s="14" t="n">
        <v>23</v>
      </c>
      <c r="D1605" s="14">
        <f>IF(A1605&gt;LastWeek-364,1,0)</f>
        <v/>
      </c>
      <c r="E1605" s="14">
        <f>C1605^2*D1605</f>
        <v/>
      </c>
    </row>
    <row r="1606">
      <c r="A1606" s="26" t="n">
        <v>45600</v>
      </c>
      <c r="B1606" s="14" t="inlineStr">
        <is>
          <t>NB-0016</t>
        </is>
      </c>
      <c r="C1606" s="14" t="n">
        <v>20</v>
      </c>
      <c r="D1606" s="14">
        <f>IF(A1606&gt;LastWeek-364,1,0)</f>
        <v/>
      </c>
      <c r="E1606" s="14">
        <f>C1606^2*D1606</f>
        <v/>
      </c>
    </row>
    <row r="1607">
      <c r="A1607" s="26" t="n">
        <v>45607</v>
      </c>
      <c r="B1607" s="14" t="inlineStr">
        <is>
          <t>NB-0016</t>
        </is>
      </c>
      <c r="C1607" s="14" t="n">
        <v>22</v>
      </c>
      <c r="D1607" s="14">
        <f>IF(A1607&gt;LastWeek-364,1,0)</f>
        <v/>
      </c>
      <c r="E1607" s="14">
        <f>C1607^2*D1607</f>
        <v/>
      </c>
    </row>
    <row r="1608">
      <c r="A1608" s="26" t="n">
        <v>45614</v>
      </c>
      <c r="B1608" s="14" t="inlineStr">
        <is>
          <t>NB-0016</t>
        </is>
      </c>
      <c r="C1608" s="14" t="n">
        <v>24</v>
      </c>
      <c r="D1608" s="14">
        <f>IF(A1608&gt;LastWeek-364,1,0)</f>
        <v/>
      </c>
      <c r="E1608" s="14">
        <f>C1608^2*D1608</f>
        <v/>
      </c>
    </row>
    <row r="1609">
      <c r="A1609" s="26" t="n">
        <v>45621</v>
      </c>
      <c r="B1609" s="14" t="inlineStr">
        <is>
          <t>NB-0016</t>
        </is>
      </c>
      <c r="C1609" s="14" t="n">
        <v>20</v>
      </c>
      <c r="D1609" s="14">
        <f>IF(A1609&gt;LastWeek-364,1,0)</f>
        <v/>
      </c>
      <c r="E1609" s="14">
        <f>C1609^2*D1609</f>
        <v/>
      </c>
    </row>
    <row r="1610">
      <c r="A1610" s="26" t="n">
        <v>45628</v>
      </c>
      <c r="B1610" s="14" t="inlineStr">
        <is>
          <t>NB-0016</t>
        </is>
      </c>
      <c r="C1610" s="14" t="n">
        <v>20</v>
      </c>
      <c r="D1610" s="14">
        <f>IF(A1610&gt;LastWeek-364,1,0)</f>
        <v/>
      </c>
      <c r="E1610" s="14">
        <f>C1610^2*D1610</f>
        <v/>
      </c>
    </row>
    <row r="1611">
      <c r="A1611" s="26" t="n">
        <v>45635</v>
      </c>
      <c r="B1611" s="14" t="inlineStr">
        <is>
          <t>NB-0016</t>
        </is>
      </c>
      <c r="C1611" s="14" t="n">
        <v>19</v>
      </c>
      <c r="D1611" s="14">
        <f>IF(A1611&gt;LastWeek-364,1,0)</f>
        <v/>
      </c>
      <c r="E1611" s="14">
        <f>C1611^2*D1611</f>
        <v/>
      </c>
    </row>
    <row r="1612">
      <c r="A1612" s="26" t="n">
        <v>45642</v>
      </c>
      <c r="B1612" s="14" t="inlineStr">
        <is>
          <t>NB-0016</t>
        </is>
      </c>
      <c r="C1612" s="14" t="n">
        <v>19</v>
      </c>
      <c r="D1612" s="14">
        <f>IF(A1612&gt;LastWeek-364,1,0)</f>
        <v/>
      </c>
      <c r="E1612" s="14">
        <f>C1612^2*D1612</f>
        <v/>
      </c>
    </row>
    <row r="1613">
      <c r="A1613" s="26" t="n">
        <v>45649</v>
      </c>
      <c r="B1613" s="14" t="inlineStr">
        <is>
          <t>NB-0016</t>
        </is>
      </c>
      <c r="C1613" s="14" t="n">
        <v>18</v>
      </c>
      <c r="D1613" s="14">
        <f>IF(A1613&gt;LastWeek-364,1,0)</f>
        <v/>
      </c>
      <c r="E1613" s="14">
        <f>C1613^2*D1613</f>
        <v/>
      </c>
    </row>
    <row r="1614">
      <c r="A1614" s="26" t="n">
        <v>45656</v>
      </c>
      <c r="B1614" s="14" t="inlineStr">
        <is>
          <t>NB-0016</t>
        </is>
      </c>
      <c r="C1614" s="14" t="n">
        <v>24</v>
      </c>
      <c r="D1614" s="14">
        <f>IF(A1614&gt;LastWeek-364,1,0)</f>
        <v/>
      </c>
      <c r="E1614" s="14">
        <f>C1614^2*D1614</f>
        <v/>
      </c>
    </row>
    <row r="1615">
      <c r="A1615" s="26" t="n">
        <v>45663</v>
      </c>
      <c r="B1615" s="14" t="inlineStr">
        <is>
          <t>NB-0016</t>
        </is>
      </c>
      <c r="C1615" s="14" t="n">
        <v>27</v>
      </c>
      <c r="D1615" s="14">
        <f>IF(A1615&gt;LastWeek-364,1,0)</f>
        <v/>
      </c>
      <c r="E1615" s="14">
        <f>C1615^2*D1615</f>
        <v/>
      </c>
    </row>
    <row r="1616">
      <c r="A1616" s="26" t="n">
        <v>45670</v>
      </c>
      <c r="B1616" s="14" t="inlineStr">
        <is>
          <t>NB-0016</t>
        </is>
      </c>
      <c r="C1616" s="14" t="n">
        <v>26</v>
      </c>
      <c r="D1616" s="14">
        <f>IF(A1616&gt;LastWeek-364,1,0)</f>
        <v/>
      </c>
      <c r="E1616" s="14">
        <f>C1616^2*D1616</f>
        <v/>
      </c>
    </row>
    <row r="1617">
      <c r="A1617" s="26" t="n">
        <v>45677</v>
      </c>
      <c r="B1617" s="14" t="inlineStr">
        <is>
          <t>NB-0016</t>
        </is>
      </c>
      <c r="C1617" s="14" t="n">
        <v>18</v>
      </c>
      <c r="D1617" s="14">
        <f>IF(A1617&gt;LastWeek-364,1,0)</f>
        <v/>
      </c>
      <c r="E1617" s="14">
        <f>C1617^2*D1617</f>
        <v/>
      </c>
    </row>
    <row r="1618">
      <c r="A1618" s="26" t="n">
        <v>45684</v>
      </c>
      <c r="B1618" s="14" t="inlineStr">
        <is>
          <t>NB-0016</t>
        </is>
      </c>
      <c r="C1618" s="14" t="n">
        <v>24</v>
      </c>
      <c r="D1618" s="14">
        <f>IF(A1618&gt;LastWeek-364,1,0)</f>
        <v/>
      </c>
      <c r="E1618" s="14">
        <f>C1618^2*D1618</f>
        <v/>
      </c>
    </row>
    <row r="1619">
      <c r="A1619" s="26" t="n">
        <v>45691</v>
      </c>
      <c r="B1619" s="14" t="inlineStr">
        <is>
          <t>NB-0016</t>
        </is>
      </c>
      <c r="C1619" s="14" t="n">
        <v>26</v>
      </c>
      <c r="D1619" s="14">
        <f>IF(A1619&gt;LastWeek-364,1,0)</f>
        <v/>
      </c>
      <c r="E1619" s="14">
        <f>C1619^2*D1619</f>
        <v/>
      </c>
    </row>
    <row r="1620">
      <c r="A1620" s="26" t="n">
        <v>45698</v>
      </c>
      <c r="B1620" s="14" t="inlineStr">
        <is>
          <t>NB-0016</t>
        </is>
      </c>
      <c r="C1620" s="14" t="n">
        <v>21</v>
      </c>
      <c r="D1620" s="14">
        <f>IF(A1620&gt;LastWeek-364,1,0)</f>
        <v/>
      </c>
      <c r="E1620" s="14">
        <f>C1620^2*D1620</f>
        <v/>
      </c>
    </row>
    <row r="1621">
      <c r="A1621" s="26" t="n">
        <v>45705</v>
      </c>
      <c r="B1621" s="14" t="inlineStr">
        <is>
          <t>NB-0016</t>
        </is>
      </c>
      <c r="C1621" s="14" t="n">
        <v>23</v>
      </c>
      <c r="D1621" s="14">
        <f>IF(A1621&gt;LastWeek-364,1,0)</f>
        <v/>
      </c>
      <c r="E1621" s="14">
        <f>C1621^2*D1621</f>
        <v/>
      </c>
    </row>
    <row r="1622">
      <c r="A1622" s="26" t="n">
        <v>45712</v>
      </c>
      <c r="B1622" s="14" t="inlineStr">
        <is>
          <t>NB-0016</t>
        </is>
      </c>
      <c r="C1622" s="14" t="n">
        <v>17</v>
      </c>
      <c r="D1622" s="14">
        <f>IF(A1622&gt;LastWeek-364,1,0)</f>
        <v/>
      </c>
      <c r="E1622" s="14">
        <f>C1622^2*D1622</f>
        <v/>
      </c>
    </row>
    <row r="1623">
      <c r="A1623" s="26" t="n">
        <v>45719</v>
      </c>
      <c r="B1623" s="14" t="inlineStr">
        <is>
          <t>NB-0016</t>
        </is>
      </c>
      <c r="C1623" s="14" t="n">
        <v>23</v>
      </c>
      <c r="D1623" s="14">
        <f>IF(A1623&gt;LastWeek-364,1,0)</f>
        <v/>
      </c>
      <c r="E1623" s="14">
        <f>C1623^2*D1623</f>
        <v/>
      </c>
    </row>
    <row r="1624">
      <c r="A1624" s="26" t="n">
        <v>45726</v>
      </c>
      <c r="B1624" s="14" t="inlineStr">
        <is>
          <t>NB-0016</t>
        </is>
      </c>
      <c r="C1624" s="14" t="n">
        <v>20</v>
      </c>
      <c r="D1624" s="14">
        <f>IF(A1624&gt;LastWeek-364,1,0)</f>
        <v/>
      </c>
      <c r="E1624" s="14">
        <f>C1624^2*D1624</f>
        <v/>
      </c>
    </row>
    <row r="1625">
      <c r="A1625" s="26" t="n">
        <v>45733</v>
      </c>
      <c r="B1625" s="14" t="inlineStr">
        <is>
          <t>NB-0016</t>
        </is>
      </c>
      <c r="C1625" s="14" t="n">
        <v>23</v>
      </c>
      <c r="D1625" s="14">
        <f>IF(A1625&gt;LastWeek-364,1,0)</f>
        <v/>
      </c>
      <c r="E1625" s="14">
        <f>C1625^2*D1625</f>
        <v/>
      </c>
    </row>
    <row r="1626">
      <c r="A1626" s="26" t="n">
        <v>45740</v>
      </c>
      <c r="B1626" s="14" t="inlineStr">
        <is>
          <t>NB-0016</t>
        </is>
      </c>
      <c r="C1626" s="14" t="n">
        <v>18</v>
      </c>
      <c r="D1626" s="14">
        <f>IF(A1626&gt;LastWeek-364,1,0)</f>
        <v/>
      </c>
      <c r="E1626" s="14">
        <f>C1626^2*D1626</f>
        <v/>
      </c>
    </row>
    <row r="1627">
      <c r="A1627" s="26" t="n">
        <v>45747</v>
      </c>
      <c r="B1627" s="14" t="inlineStr">
        <is>
          <t>NB-0016</t>
        </is>
      </c>
      <c r="C1627" s="14" t="n">
        <v>23</v>
      </c>
      <c r="D1627" s="14">
        <f>IF(A1627&gt;LastWeek-364,1,0)</f>
        <v/>
      </c>
      <c r="E1627" s="14">
        <f>C1627^2*D1627</f>
        <v/>
      </c>
    </row>
    <row r="1628">
      <c r="A1628" s="26" t="n">
        <v>45754</v>
      </c>
      <c r="B1628" s="14" t="inlineStr">
        <is>
          <t>NB-0016</t>
        </is>
      </c>
      <c r="C1628" s="14" t="n">
        <v>25</v>
      </c>
      <c r="D1628" s="14">
        <f>IF(A1628&gt;LastWeek-364,1,0)</f>
        <v/>
      </c>
      <c r="E1628" s="14">
        <f>C1628^2*D1628</f>
        <v/>
      </c>
    </row>
    <row r="1629">
      <c r="A1629" s="26" t="n">
        <v>45761</v>
      </c>
      <c r="B1629" s="14" t="inlineStr">
        <is>
          <t>NB-0016</t>
        </is>
      </c>
      <c r="C1629" s="14" t="n">
        <v>20</v>
      </c>
      <c r="D1629" s="14">
        <f>IF(A1629&gt;LastWeek-364,1,0)</f>
        <v/>
      </c>
      <c r="E1629" s="14">
        <f>C1629^2*D1629</f>
        <v/>
      </c>
    </row>
    <row r="1630">
      <c r="A1630" s="26" t="n">
        <v>45768</v>
      </c>
      <c r="B1630" s="14" t="inlineStr">
        <is>
          <t>NB-0016</t>
        </is>
      </c>
      <c r="C1630" s="14" t="n">
        <v>19</v>
      </c>
      <c r="D1630" s="14">
        <f>IF(A1630&gt;LastWeek-364,1,0)</f>
        <v/>
      </c>
      <c r="E1630" s="14">
        <f>C1630^2*D1630</f>
        <v/>
      </c>
    </row>
    <row r="1631">
      <c r="A1631" s="26" t="n">
        <v>45775</v>
      </c>
      <c r="B1631" s="14" t="inlineStr">
        <is>
          <t>NB-0016</t>
        </is>
      </c>
      <c r="C1631" s="14" t="n">
        <v>16</v>
      </c>
      <c r="D1631" s="14">
        <f>IF(A1631&gt;LastWeek-364,1,0)</f>
        <v/>
      </c>
      <c r="E1631" s="14">
        <f>C1631^2*D1631</f>
        <v/>
      </c>
    </row>
    <row r="1632">
      <c r="A1632" s="26" t="n">
        <v>45782</v>
      </c>
      <c r="B1632" s="14" t="inlineStr">
        <is>
          <t>NB-0016</t>
        </is>
      </c>
      <c r="C1632" s="14" t="n">
        <v>21</v>
      </c>
      <c r="D1632" s="14">
        <f>IF(A1632&gt;LastWeek-364,1,0)</f>
        <v/>
      </c>
      <c r="E1632" s="14">
        <f>C1632^2*D1632</f>
        <v/>
      </c>
    </row>
    <row r="1633">
      <c r="A1633" s="26" t="n">
        <v>45789</v>
      </c>
      <c r="B1633" s="14" t="inlineStr">
        <is>
          <t>NB-0016</t>
        </is>
      </c>
      <c r="C1633" s="14" t="n">
        <v>20</v>
      </c>
      <c r="D1633" s="14">
        <f>IF(A1633&gt;LastWeek-364,1,0)</f>
        <v/>
      </c>
      <c r="E1633" s="14">
        <f>C1633^2*D1633</f>
        <v/>
      </c>
    </row>
    <row r="1634">
      <c r="A1634" s="26" t="n">
        <v>45796</v>
      </c>
      <c r="B1634" s="14" t="inlineStr">
        <is>
          <t>NB-0016</t>
        </is>
      </c>
      <c r="C1634" s="14" t="n">
        <v>18</v>
      </c>
      <c r="D1634" s="14">
        <f>IF(A1634&gt;LastWeek-364,1,0)</f>
        <v/>
      </c>
      <c r="E1634" s="14">
        <f>C1634^2*D1634</f>
        <v/>
      </c>
    </row>
    <row r="1635">
      <c r="A1635" s="26" t="n">
        <v>45803</v>
      </c>
      <c r="B1635" s="14" t="inlineStr">
        <is>
          <t>NB-0016</t>
        </is>
      </c>
      <c r="C1635" s="14" t="n">
        <v>23</v>
      </c>
      <c r="D1635" s="14">
        <f>IF(A1635&gt;LastWeek-364,1,0)</f>
        <v/>
      </c>
      <c r="E1635" s="14">
        <f>C1635^2*D1635</f>
        <v/>
      </c>
    </row>
    <row r="1636">
      <c r="A1636" s="26" t="n">
        <v>45810</v>
      </c>
      <c r="B1636" s="14" t="inlineStr">
        <is>
          <t>NB-0016</t>
        </is>
      </c>
      <c r="C1636" s="14" t="n">
        <v>20</v>
      </c>
      <c r="D1636" s="14">
        <f>IF(A1636&gt;LastWeek-364,1,0)</f>
        <v/>
      </c>
      <c r="E1636" s="14">
        <f>C1636^2*D1636</f>
        <v/>
      </c>
    </row>
    <row r="1637">
      <c r="A1637" s="26" t="n">
        <v>45817</v>
      </c>
      <c r="B1637" s="14" t="inlineStr">
        <is>
          <t>NB-0016</t>
        </is>
      </c>
      <c r="C1637" s="14" t="n">
        <v>19</v>
      </c>
      <c r="D1637" s="14">
        <f>IF(A1637&gt;LastWeek-364,1,0)</f>
        <v/>
      </c>
      <c r="E1637" s="14">
        <f>C1637^2*D1637</f>
        <v/>
      </c>
    </row>
    <row r="1638">
      <c r="A1638" s="26" t="n">
        <v>45824</v>
      </c>
      <c r="B1638" s="14" t="inlineStr">
        <is>
          <t>NB-0016</t>
        </is>
      </c>
      <c r="C1638" s="14" t="n">
        <v>20</v>
      </c>
      <c r="D1638" s="14">
        <f>IF(A1638&gt;LastWeek-364,1,0)</f>
        <v/>
      </c>
      <c r="E1638" s="14">
        <f>C1638^2*D1638</f>
        <v/>
      </c>
    </row>
    <row r="1639">
      <c r="A1639" s="26" t="n">
        <v>45831</v>
      </c>
      <c r="B1639" s="14" t="inlineStr">
        <is>
          <t>NB-0016</t>
        </is>
      </c>
      <c r="C1639" s="14" t="n">
        <v>24</v>
      </c>
      <c r="D1639" s="14">
        <f>IF(A1639&gt;LastWeek-364,1,0)</f>
        <v/>
      </c>
      <c r="E1639" s="14">
        <f>C1639^2*D1639</f>
        <v/>
      </c>
    </row>
    <row r="1640">
      <c r="A1640" s="26" t="n">
        <v>45838</v>
      </c>
      <c r="B1640" s="14" t="inlineStr">
        <is>
          <t>NB-0016</t>
        </is>
      </c>
      <c r="C1640" s="14" t="n">
        <v>23</v>
      </c>
      <c r="D1640" s="14">
        <f>IF(A1640&gt;LastWeek-364,1,0)</f>
        <v/>
      </c>
      <c r="E1640" s="14">
        <f>C1640^2*D1640</f>
        <v/>
      </c>
    </row>
    <row r="1641">
      <c r="A1641" s="26" t="n">
        <v>45845</v>
      </c>
      <c r="B1641" s="14" t="inlineStr">
        <is>
          <t>NB-0016</t>
        </is>
      </c>
      <c r="C1641" s="14" t="n">
        <v>21</v>
      </c>
      <c r="D1641" s="14">
        <f>IF(A1641&gt;LastWeek-364,1,0)</f>
        <v/>
      </c>
      <c r="E1641" s="14">
        <f>C1641^2*D1641</f>
        <v/>
      </c>
    </row>
    <row r="1642">
      <c r="A1642" s="26" t="n">
        <v>45852</v>
      </c>
      <c r="B1642" s="14" t="inlineStr">
        <is>
          <t>NB-0016</t>
        </is>
      </c>
      <c r="C1642" s="14" t="n">
        <v>23</v>
      </c>
      <c r="D1642" s="14">
        <f>IF(A1642&gt;LastWeek-364,1,0)</f>
        <v/>
      </c>
      <c r="E1642" s="14">
        <f>C1642^2*D1642</f>
        <v/>
      </c>
    </row>
    <row r="1643">
      <c r="A1643" s="26" t="n">
        <v>45859</v>
      </c>
      <c r="B1643" s="14" t="inlineStr">
        <is>
          <t>NB-0016</t>
        </is>
      </c>
      <c r="C1643" s="14" t="n">
        <v>19</v>
      </c>
      <c r="D1643" s="14">
        <f>IF(A1643&gt;LastWeek-364,1,0)</f>
        <v/>
      </c>
      <c r="E1643" s="14">
        <f>C1643^2*D1643</f>
        <v/>
      </c>
    </row>
    <row r="1644">
      <c r="A1644" s="26" t="n">
        <v>45866</v>
      </c>
      <c r="B1644" s="14" t="inlineStr">
        <is>
          <t>NB-0016</t>
        </is>
      </c>
      <c r="C1644" s="14" t="n">
        <v>22</v>
      </c>
      <c r="D1644" s="14">
        <f>IF(A1644&gt;LastWeek-364,1,0)</f>
        <v/>
      </c>
      <c r="E1644" s="14">
        <f>C1644^2*D1644</f>
        <v/>
      </c>
    </row>
    <row r="1645">
      <c r="A1645" s="26" t="n">
        <v>45873</v>
      </c>
      <c r="B1645" s="14" t="inlineStr">
        <is>
          <t>NB-0016</t>
        </is>
      </c>
      <c r="C1645" s="14" t="n">
        <v>22</v>
      </c>
      <c r="D1645" s="14">
        <f>IF(A1645&gt;LastWeek-364,1,0)</f>
        <v/>
      </c>
      <c r="E1645" s="14">
        <f>C1645^2*D1645</f>
        <v/>
      </c>
    </row>
    <row r="1646">
      <c r="A1646" s="26" t="n">
        <v>45880</v>
      </c>
      <c r="B1646" s="14" t="inlineStr">
        <is>
          <t>NB-0016</t>
        </is>
      </c>
      <c r="C1646" s="14" t="n">
        <v>21</v>
      </c>
      <c r="D1646" s="14">
        <f>IF(A1646&gt;LastWeek-364,1,0)</f>
        <v/>
      </c>
      <c r="E1646" s="14">
        <f>C1646^2*D1646</f>
        <v/>
      </c>
    </row>
    <row r="1647">
      <c r="A1647" s="26" t="n">
        <v>45887</v>
      </c>
      <c r="B1647" s="14" t="inlineStr">
        <is>
          <t>NB-0016</t>
        </is>
      </c>
      <c r="C1647" s="14" t="n">
        <v>23</v>
      </c>
      <c r="D1647" s="14">
        <f>IF(A1647&gt;LastWeek-364,1,0)</f>
        <v/>
      </c>
      <c r="E1647" s="14">
        <f>C1647^2*D1647</f>
        <v/>
      </c>
    </row>
    <row r="1648">
      <c r="A1648" s="26" t="n">
        <v>45894</v>
      </c>
      <c r="B1648" s="14" t="inlineStr">
        <is>
          <t>NB-0016</t>
        </is>
      </c>
      <c r="C1648" s="14" t="n">
        <v>20</v>
      </c>
      <c r="D1648" s="14">
        <f>IF(A1648&gt;LastWeek-364,1,0)</f>
        <v/>
      </c>
      <c r="E1648" s="14">
        <f>C1648^2*D1648</f>
        <v/>
      </c>
    </row>
    <row r="1649">
      <c r="A1649" s="26" t="n">
        <v>45901</v>
      </c>
      <c r="B1649" s="14" t="inlineStr">
        <is>
          <t>NB-0016</t>
        </is>
      </c>
      <c r="C1649" s="14" t="n">
        <v>24</v>
      </c>
      <c r="D1649" s="14">
        <f>IF(A1649&gt;LastWeek-364,1,0)</f>
        <v/>
      </c>
      <c r="E1649" s="14">
        <f>C1649^2*D1649</f>
        <v/>
      </c>
    </row>
    <row r="1650">
      <c r="A1650" s="26" t="n">
        <v>45908</v>
      </c>
      <c r="B1650" s="14" t="inlineStr">
        <is>
          <t>NB-0016</t>
        </is>
      </c>
      <c r="C1650" s="14" t="n">
        <v>24</v>
      </c>
      <c r="D1650" s="14">
        <f>IF(A1650&gt;LastWeek-364,1,0)</f>
        <v/>
      </c>
      <c r="E1650" s="14">
        <f>C1650^2*D1650</f>
        <v/>
      </c>
    </row>
    <row r="1651">
      <c r="A1651" s="26" t="n">
        <v>45915</v>
      </c>
      <c r="B1651" s="14" t="inlineStr">
        <is>
          <t>NB-0016</t>
        </is>
      </c>
      <c r="C1651" s="14" t="n">
        <v>15</v>
      </c>
      <c r="D1651" s="14">
        <f>IF(A1651&gt;LastWeek-364,1,0)</f>
        <v/>
      </c>
      <c r="E1651" s="14">
        <f>C1651^2*D1651</f>
        <v/>
      </c>
    </row>
    <row r="1652">
      <c r="A1652" s="26" t="n">
        <v>45922</v>
      </c>
      <c r="B1652" s="14" t="inlineStr">
        <is>
          <t>NB-0016</t>
        </is>
      </c>
      <c r="C1652" s="14" t="n">
        <v>26</v>
      </c>
      <c r="D1652" s="14">
        <f>IF(A1652&gt;LastWeek-364,1,0)</f>
        <v/>
      </c>
      <c r="E1652" s="14">
        <f>C1652^2*D1652</f>
        <v/>
      </c>
    </row>
    <row r="1653">
      <c r="A1653" s="26" t="n">
        <v>45929</v>
      </c>
      <c r="B1653" s="14" t="inlineStr">
        <is>
          <t>NB-0016</t>
        </is>
      </c>
      <c r="C1653" s="14" t="n">
        <v>15</v>
      </c>
      <c r="D1653" s="14">
        <f>IF(A1653&gt;LastWeek-364,1,0)</f>
        <v/>
      </c>
      <c r="E1653" s="14">
        <f>C1653^2*D1653</f>
        <v/>
      </c>
    </row>
    <row r="1654">
      <c r="A1654" s="26" t="n">
        <v>45936</v>
      </c>
      <c r="B1654" s="14" t="inlineStr">
        <is>
          <t>NB-0016</t>
        </is>
      </c>
      <c r="C1654" s="14" t="n">
        <v>22</v>
      </c>
      <c r="D1654" s="14">
        <f>IF(A1654&gt;LastWeek-364,1,0)</f>
        <v/>
      </c>
      <c r="E1654" s="14">
        <f>C1654^2*D1654</f>
        <v/>
      </c>
    </row>
    <row r="1655">
      <c r="A1655" s="26" t="n">
        <v>45943</v>
      </c>
      <c r="B1655" s="14" t="inlineStr">
        <is>
          <t>NB-0016</t>
        </is>
      </c>
      <c r="C1655" s="14" t="n">
        <v>26</v>
      </c>
      <c r="D1655" s="14">
        <f>IF(A1655&gt;LastWeek-364,1,0)</f>
        <v/>
      </c>
      <c r="E1655" s="14">
        <f>C1655^2*D1655</f>
        <v/>
      </c>
    </row>
    <row r="1656">
      <c r="A1656" s="26" t="n">
        <v>45950</v>
      </c>
      <c r="B1656" s="14" t="inlineStr">
        <is>
          <t>NB-0016</t>
        </is>
      </c>
      <c r="C1656" s="14" t="n">
        <v>23</v>
      </c>
      <c r="D1656" s="14">
        <f>IF(A1656&gt;LastWeek-364,1,0)</f>
        <v/>
      </c>
      <c r="E1656" s="14">
        <f>C1656^2*D1656</f>
        <v/>
      </c>
    </row>
    <row r="1657">
      <c r="A1657" s="26" t="n">
        <v>45957</v>
      </c>
      <c r="B1657" s="14" t="inlineStr">
        <is>
          <t>NB-0016</t>
        </is>
      </c>
      <c r="C1657" s="14" t="n">
        <v>20</v>
      </c>
      <c r="D1657" s="14">
        <f>IF(A1657&gt;LastWeek-364,1,0)</f>
        <v/>
      </c>
      <c r="E1657" s="14">
        <f>C1657^2*D1657</f>
        <v/>
      </c>
    </row>
    <row r="1658">
      <c r="A1658" s="26" t="n">
        <v>45964</v>
      </c>
      <c r="B1658" s="14" t="inlineStr">
        <is>
          <t>NB-0016</t>
        </is>
      </c>
      <c r="C1658" s="14" t="n">
        <v>21</v>
      </c>
      <c r="D1658" s="14">
        <f>IF(A1658&gt;LastWeek-364,1,0)</f>
        <v/>
      </c>
      <c r="E1658" s="14">
        <f>C1658^2*D1658</f>
        <v/>
      </c>
    </row>
    <row r="1659">
      <c r="A1659" s="26" t="n">
        <v>45971</v>
      </c>
      <c r="B1659" s="14" t="inlineStr">
        <is>
          <t>NB-0016</t>
        </is>
      </c>
      <c r="C1659" s="14" t="n">
        <v>27</v>
      </c>
      <c r="D1659" s="14">
        <f>IF(A1659&gt;LastWeek-364,1,0)</f>
        <v/>
      </c>
      <c r="E1659" s="14">
        <f>C1659^2*D1659</f>
        <v/>
      </c>
    </row>
    <row r="1660">
      <c r="A1660" s="26" t="n">
        <v>45978</v>
      </c>
      <c r="B1660" s="14" t="inlineStr">
        <is>
          <t>NB-0016</t>
        </is>
      </c>
      <c r="C1660" s="14" t="n">
        <v>19</v>
      </c>
      <c r="D1660" s="14">
        <f>IF(A1660&gt;LastWeek-364,1,0)</f>
        <v/>
      </c>
      <c r="E1660" s="14">
        <f>C1660^2*D1660</f>
        <v/>
      </c>
    </row>
    <row r="1661">
      <c r="A1661" s="26" t="n">
        <v>45985</v>
      </c>
      <c r="B1661" s="14" t="inlineStr">
        <is>
          <t>NB-0016</t>
        </is>
      </c>
      <c r="C1661" s="14" t="n">
        <v>28</v>
      </c>
      <c r="D1661" s="14">
        <f>IF(A1661&gt;LastWeek-364,1,0)</f>
        <v/>
      </c>
      <c r="E1661" s="14">
        <f>C1661^2*D1661</f>
        <v/>
      </c>
    </row>
    <row r="1662">
      <c r="A1662" s="26" t="n">
        <v>45992</v>
      </c>
      <c r="B1662" s="14" t="inlineStr">
        <is>
          <t>NB-0016</t>
        </is>
      </c>
      <c r="C1662" s="14" t="n">
        <v>25</v>
      </c>
      <c r="D1662" s="14">
        <f>IF(A1662&gt;LastWeek-364,1,0)</f>
        <v/>
      </c>
      <c r="E1662" s="14">
        <f>C1662^2*D1662</f>
        <v/>
      </c>
    </row>
    <row r="1663">
      <c r="A1663" s="26" t="n">
        <v>45999</v>
      </c>
      <c r="B1663" s="14" t="inlineStr">
        <is>
          <t>NB-0016</t>
        </is>
      </c>
      <c r="C1663" s="14" t="n">
        <v>22</v>
      </c>
      <c r="D1663" s="14">
        <f>IF(A1663&gt;LastWeek-364,1,0)</f>
        <v/>
      </c>
      <c r="E1663" s="14">
        <f>C1663^2*D1663</f>
        <v/>
      </c>
    </row>
    <row r="1664">
      <c r="A1664" s="26" t="n">
        <v>46006</v>
      </c>
      <c r="B1664" s="14" t="inlineStr">
        <is>
          <t>NB-0016</t>
        </is>
      </c>
      <c r="C1664" s="14" t="n">
        <v>24</v>
      </c>
      <c r="D1664" s="14">
        <f>IF(A1664&gt;LastWeek-364,1,0)</f>
        <v/>
      </c>
      <c r="E1664" s="14">
        <f>C1664^2*D1664</f>
        <v/>
      </c>
    </row>
    <row r="1665">
      <c r="A1665" s="26" t="n">
        <v>46013</v>
      </c>
      <c r="B1665" s="14" t="inlineStr">
        <is>
          <t>NB-0016</t>
        </is>
      </c>
      <c r="C1665" s="14" t="n">
        <v>22</v>
      </c>
      <c r="D1665" s="14">
        <f>IF(A1665&gt;LastWeek-364,1,0)</f>
        <v/>
      </c>
      <c r="E1665" s="14">
        <f>C1665^2*D1665</f>
        <v/>
      </c>
    </row>
    <row r="1666">
      <c r="A1666" s="26" t="n">
        <v>45292</v>
      </c>
      <c r="B1666" s="14" t="inlineStr">
        <is>
          <t>NB-0017</t>
        </is>
      </c>
      <c r="C1666" s="14" t="n">
        <v>75</v>
      </c>
      <c r="D1666" s="14">
        <f>IF(A1666&gt;LastWeek-364,1,0)</f>
        <v/>
      </c>
      <c r="E1666" s="14">
        <f>C1666^2*D1666</f>
        <v/>
      </c>
    </row>
    <row r="1667">
      <c r="A1667" s="26" t="n">
        <v>45299</v>
      </c>
      <c r="B1667" s="14" t="inlineStr">
        <is>
          <t>NB-0017</t>
        </is>
      </c>
      <c r="C1667" s="14" t="n">
        <v>73</v>
      </c>
      <c r="D1667" s="14">
        <f>IF(A1667&gt;LastWeek-364,1,0)</f>
        <v/>
      </c>
      <c r="E1667" s="14">
        <f>C1667^2*D1667</f>
        <v/>
      </c>
    </row>
    <row r="1668">
      <c r="A1668" s="26" t="n">
        <v>45306</v>
      </c>
      <c r="B1668" s="14" t="inlineStr">
        <is>
          <t>NB-0017</t>
        </is>
      </c>
      <c r="C1668" s="14" t="n">
        <v>25</v>
      </c>
      <c r="D1668" s="14">
        <f>IF(A1668&gt;LastWeek-364,1,0)</f>
        <v/>
      </c>
      <c r="E1668" s="14">
        <f>C1668^2*D1668</f>
        <v/>
      </c>
    </row>
    <row r="1669">
      <c r="A1669" s="26" t="n">
        <v>45313</v>
      </c>
      <c r="B1669" s="14" t="inlineStr">
        <is>
          <t>NB-0017</t>
        </is>
      </c>
      <c r="C1669" s="14" t="n">
        <v>51</v>
      </c>
      <c r="D1669" s="14">
        <f>IF(A1669&gt;LastWeek-364,1,0)</f>
        <v/>
      </c>
      <c r="E1669" s="14">
        <f>C1669^2*D1669</f>
        <v/>
      </c>
    </row>
    <row r="1670">
      <c r="A1670" s="26" t="n">
        <v>45320</v>
      </c>
      <c r="B1670" s="14" t="inlineStr">
        <is>
          <t>NB-0017</t>
        </is>
      </c>
      <c r="C1670" s="14" t="n">
        <v>41</v>
      </c>
      <c r="D1670" s="14">
        <f>IF(A1670&gt;LastWeek-364,1,0)</f>
        <v/>
      </c>
      <c r="E1670" s="14">
        <f>C1670^2*D1670</f>
        <v/>
      </c>
    </row>
    <row r="1671">
      <c r="A1671" s="26" t="n">
        <v>45327</v>
      </c>
      <c r="B1671" s="14" t="inlineStr">
        <is>
          <t>NB-0017</t>
        </is>
      </c>
      <c r="C1671" s="14" t="n">
        <v>84</v>
      </c>
      <c r="D1671" s="14">
        <f>IF(A1671&gt;LastWeek-364,1,0)</f>
        <v/>
      </c>
      <c r="E1671" s="14">
        <f>C1671^2*D1671</f>
        <v/>
      </c>
    </row>
    <row r="1672">
      <c r="A1672" s="26" t="n">
        <v>45334</v>
      </c>
      <c r="B1672" s="14" t="inlineStr">
        <is>
          <t>NB-0017</t>
        </is>
      </c>
      <c r="C1672" s="14" t="n">
        <v>32</v>
      </c>
      <c r="D1672" s="14">
        <f>IF(A1672&gt;LastWeek-364,1,0)</f>
        <v/>
      </c>
      <c r="E1672" s="14">
        <f>C1672^2*D1672</f>
        <v/>
      </c>
    </row>
    <row r="1673">
      <c r="A1673" s="26" t="n">
        <v>45341</v>
      </c>
      <c r="B1673" s="14" t="inlineStr">
        <is>
          <t>NB-0017</t>
        </is>
      </c>
      <c r="C1673" s="14" t="n">
        <v>90</v>
      </c>
      <c r="D1673" s="14">
        <f>IF(A1673&gt;LastWeek-364,1,0)</f>
        <v/>
      </c>
      <c r="E1673" s="14">
        <f>C1673^2*D1673</f>
        <v/>
      </c>
    </row>
    <row r="1674">
      <c r="A1674" s="26" t="n">
        <v>45348</v>
      </c>
      <c r="B1674" s="14" t="inlineStr">
        <is>
          <t>NB-0017</t>
        </is>
      </c>
      <c r="C1674" s="14" t="n">
        <v>58</v>
      </c>
      <c r="D1674" s="14">
        <f>IF(A1674&gt;LastWeek-364,1,0)</f>
        <v/>
      </c>
      <c r="E1674" s="14">
        <f>C1674^2*D1674</f>
        <v/>
      </c>
    </row>
    <row r="1675">
      <c r="A1675" s="26" t="n">
        <v>45355</v>
      </c>
      <c r="B1675" s="14" t="inlineStr">
        <is>
          <t>NB-0017</t>
        </is>
      </c>
      <c r="C1675" s="14" t="n">
        <v>35</v>
      </c>
      <c r="D1675" s="14">
        <f>IF(A1675&gt;LastWeek-364,1,0)</f>
        <v/>
      </c>
      <c r="E1675" s="14">
        <f>C1675^2*D1675</f>
        <v/>
      </c>
    </row>
    <row r="1676">
      <c r="A1676" s="26" t="n">
        <v>45362</v>
      </c>
      <c r="B1676" s="14" t="inlineStr">
        <is>
          <t>NB-0017</t>
        </is>
      </c>
      <c r="C1676" s="14" t="n">
        <v>45</v>
      </c>
      <c r="D1676" s="14">
        <f>IF(A1676&gt;LastWeek-364,1,0)</f>
        <v/>
      </c>
      <c r="E1676" s="14">
        <f>C1676^2*D1676</f>
        <v/>
      </c>
    </row>
    <row r="1677">
      <c r="A1677" s="26" t="n">
        <v>45369</v>
      </c>
      <c r="B1677" s="14" t="inlineStr">
        <is>
          <t>NB-0017</t>
        </is>
      </c>
      <c r="C1677" s="14" t="n">
        <v>42</v>
      </c>
      <c r="D1677" s="14">
        <f>IF(A1677&gt;LastWeek-364,1,0)</f>
        <v/>
      </c>
      <c r="E1677" s="14">
        <f>C1677^2*D1677</f>
        <v/>
      </c>
    </row>
    <row r="1678">
      <c r="A1678" s="26" t="n">
        <v>45376</v>
      </c>
      <c r="B1678" s="14" t="inlineStr">
        <is>
          <t>NB-0017</t>
        </is>
      </c>
      <c r="C1678" s="14" t="n">
        <v>33</v>
      </c>
      <c r="D1678" s="14">
        <f>IF(A1678&gt;LastWeek-364,1,0)</f>
        <v/>
      </c>
      <c r="E1678" s="14">
        <f>C1678^2*D1678</f>
        <v/>
      </c>
    </row>
    <row r="1679">
      <c r="A1679" s="26" t="n">
        <v>45383</v>
      </c>
      <c r="B1679" s="14" t="inlineStr">
        <is>
          <t>NB-0017</t>
        </is>
      </c>
      <c r="C1679" s="14" t="n">
        <v>59</v>
      </c>
      <c r="D1679" s="14">
        <f>IF(A1679&gt;LastWeek-364,1,0)</f>
        <v/>
      </c>
      <c r="E1679" s="14">
        <f>C1679^2*D1679</f>
        <v/>
      </c>
    </row>
    <row r="1680">
      <c r="A1680" s="26" t="n">
        <v>45390</v>
      </c>
      <c r="B1680" s="14" t="inlineStr">
        <is>
          <t>NB-0017</t>
        </is>
      </c>
      <c r="C1680" s="14" t="n">
        <v>33</v>
      </c>
      <c r="D1680" s="14">
        <f>IF(A1680&gt;LastWeek-364,1,0)</f>
        <v/>
      </c>
      <c r="E1680" s="14">
        <f>C1680^2*D1680</f>
        <v/>
      </c>
    </row>
    <row r="1681">
      <c r="A1681" s="26" t="n">
        <v>45397</v>
      </c>
      <c r="B1681" s="14" t="inlineStr">
        <is>
          <t>NB-0017</t>
        </is>
      </c>
      <c r="C1681" s="14" t="n">
        <v>15</v>
      </c>
      <c r="D1681" s="14">
        <f>IF(A1681&gt;LastWeek-364,1,0)</f>
        <v/>
      </c>
      <c r="E1681" s="14">
        <f>C1681^2*D1681</f>
        <v/>
      </c>
    </row>
    <row r="1682">
      <c r="A1682" s="26" t="n">
        <v>45404</v>
      </c>
      <c r="B1682" s="14" t="inlineStr">
        <is>
          <t>NB-0017</t>
        </is>
      </c>
      <c r="C1682" s="14" t="n">
        <v>49</v>
      </c>
      <c r="D1682" s="14">
        <f>IF(A1682&gt;LastWeek-364,1,0)</f>
        <v/>
      </c>
      <c r="E1682" s="14">
        <f>C1682^2*D1682</f>
        <v/>
      </c>
    </row>
    <row r="1683">
      <c r="A1683" s="26" t="n">
        <v>45411</v>
      </c>
      <c r="B1683" s="14" t="inlineStr">
        <is>
          <t>NB-0017</t>
        </is>
      </c>
      <c r="C1683" s="14" t="n">
        <v>22</v>
      </c>
      <c r="D1683" s="14">
        <f>IF(A1683&gt;LastWeek-364,1,0)</f>
        <v/>
      </c>
      <c r="E1683" s="14">
        <f>C1683^2*D1683</f>
        <v/>
      </c>
    </row>
    <row r="1684">
      <c r="A1684" s="26" t="n">
        <v>45418</v>
      </c>
      <c r="B1684" s="14" t="inlineStr">
        <is>
          <t>NB-0017</t>
        </is>
      </c>
      <c r="C1684" s="14" t="n">
        <v>42</v>
      </c>
      <c r="D1684" s="14">
        <f>IF(A1684&gt;LastWeek-364,1,0)</f>
        <v/>
      </c>
      <c r="E1684" s="14">
        <f>C1684^2*D1684</f>
        <v/>
      </c>
    </row>
    <row r="1685">
      <c r="A1685" s="26" t="n">
        <v>45425</v>
      </c>
      <c r="B1685" s="14" t="inlineStr">
        <is>
          <t>NB-0017</t>
        </is>
      </c>
      <c r="C1685" s="14" t="n">
        <v>39</v>
      </c>
      <c r="D1685" s="14">
        <f>IF(A1685&gt;LastWeek-364,1,0)</f>
        <v/>
      </c>
      <c r="E1685" s="14">
        <f>C1685^2*D1685</f>
        <v/>
      </c>
    </row>
    <row r="1686">
      <c r="A1686" s="26" t="n">
        <v>45432</v>
      </c>
      <c r="B1686" s="14" t="inlineStr">
        <is>
          <t>NB-0017</t>
        </is>
      </c>
      <c r="C1686" s="14" t="n">
        <v>39</v>
      </c>
      <c r="D1686" s="14">
        <f>IF(A1686&gt;LastWeek-364,1,0)</f>
        <v/>
      </c>
      <c r="E1686" s="14">
        <f>C1686^2*D1686</f>
        <v/>
      </c>
    </row>
    <row r="1687">
      <c r="A1687" s="26" t="n">
        <v>45439</v>
      </c>
      <c r="B1687" s="14" t="inlineStr">
        <is>
          <t>NB-0017</t>
        </is>
      </c>
      <c r="C1687" s="14" t="n">
        <v>93</v>
      </c>
      <c r="D1687" s="14">
        <f>IF(A1687&gt;LastWeek-364,1,0)</f>
        <v/>
      </c>
      <c r="E1687" s="14">
        <f>C1687^2*D1687</f>
        <v/>
      </c>
    </row>
    <row r="1688">
      <c r="A1688" s="26" t="n">
        <v>45446</v>
      </c>
      <c r="B1688" s="14" t="inlineStr">
        <is>
          <t>NB-0017</t>
        </is>
      </c>
      <c r="C1688" s="14" t="n">
        <v>57</v>
      </c>
      <c r="D1688" s="14">
        <f>IF(A1688&gt;LastWeek-364,1,0)</f>
        <v/>
      </c>
      <c r="E1688" s="14">
        <f>C1688^2*D1688</f>
        <v/>
      </c>
    </row>
    <row r="1689">
      <c r="A1689" s="26" t="n">
        <v>45453</v>
      </c>
      <c r="B1689" s="14" t="inlineStr">
        <is>
          <t>NB-0017</t>
        </is>
      </c>
      <c r="C1689" s="14" t="n">
        <v>60</v>
      </c>
      <c r="D1689" s="14">
        <f>IF(A1689&gt;LastWeek-364,1,0)</f>
        <v/>
      </c>
      <c r="E1689" s="14">
        <f>C1689^2*D1689</f>
        <v/>
      </c>
    </row>
    <row r="1690">
      <c r="A1690" s="26" t="n">
        <v>45460</v>
      </c>
      <c r="B1690" s="14" t="inlineStr">
        <is>
          <t>NB-0017</t>
        </is>
      </c>
      <c r="C1690" s="14" t="n">
        <v>22</v>
      </c>
      <c r="D1690" s="14">
        <f>IF(A1690&gt;LastWeek-364,1,0)</f>
        <v/>
      </c>
      <c r="E1690" s="14">
        <f>C1690^2*D1690</f>
        <v/>
      </c>
    </row>
    <row r="1691">
      <c r="A1691" s="26" t="n">
        <v>45467</v>
      </c>
      <c r="B1691" s="14" t="inlineStr">
        <is>
          <t>NB-0017</t>
        </is>
      </c>
      <c r="C1691" s="14" t="n">
        <v>43</v>
      </c>
      <c r="D1691" s="14">
        <f>IF(A1691&gt;LastWeek-364,1,0)</f>
        <v/>
      </c>
      <c r="E1691" s="14">
        <f>C1691^2*D1691</f>
        <v/>
      </c>
    </row>
    <row r="1692">
      <c r="A1692" s="26" t="n">
        <v>45474</v>
      </c>
      <c r="B1692" s="14" t="inlineStr">
        <is>
          <t>NB-0017</t>
        </is>
      </c>
      <c r="C1692" s="14" t="n">
        <v>59</v>
      </c>
      <c r="D1692" s="14">
        <f>IF(A1692&gt;LastWeek-364,1,0)</f>
        <v/>
      </c>
      <c r="E1692" s="14">
        <f>C1692^2*D1692</f>
        <v/>
      </c>
    </row>
    <row r="1693">
      <c r="A1693" s="26" t="n">
        <v>45481</v>
      </c>
      <c r="B1693" s="14" t="inlineStr">
        <is>
          <t>NB-0017</t>
        </is>
      </c>
      <c r="C1693" s="14" t="n">
        <v>36</v>
      </c>
      <c r="D1693" s="14">
        <f>IF(A1693&gt;LastWeek-364,1,0)</f>
        <v/>
      </c>
      <c r="E1693" s="14">
        <f>C1693^2*D1693</f>
        <v/>
      </c>
    </row>
    <row r="1694">
      <c r="A1694" s="26" t="n">
        <v>45488</v>
      </c>
      <c r="B1694" s="14" t="inlineStr">
        <is>
          <t>NB-0017</t>
        </is>
      </c>
      <c r="C1694" s="14" t="n">
        <v>73</v>
      </c>
      <c r="D1694" s="14">
        <f>IF(A1694&gt;LastWeek-364,1,0)</f>
        <v/>
      </c>
      <c r="E1694" s="14">
        <f>C1694^2*D1694</f>
        <v/>
      </c>
    </row>
    <row r="1695">
      <c r="A1695" s="26" t="n">
        <v>45495</v>
      </c>
      <c r="B1695" s="14" t="inlineStr">
        <is>
          <t>NB-0017</t>
        </is>
      </c>
      <c r="C1695" s="14" t="n">
        <v>33</v>
      </c>
      <c r="D1695" s="14">
        <f>IF(A1695&gt;LastWeek-364,1,0)</f>
        <v/>
      </c>
      <c r="E1695" s="14">
        <f>C1695^2*D1695</f>
        <v/>
      </c>
    </row>
    <row r="1696">
      <c r="A1696" s="26" t="n">
        <v>45502</v>
      </c>
      <c r="B1696" s="14" t="inlineStr">
        <is>
          <t>NB-0017</t>
        </is>
      </c>
      <c r="C1696" s="14" t="n">
        <v>50</v>
      </c>
      <c r="D1696" s="14">
        <f>IF(A1696&gt;LastWeek-364,1,0)</f>
        <v/>
      </c>
      <c r="E1696" s="14">
        <f>C1696^2*D1696</f>
        <v/>
      </c>
    </row>
    <row r="1697">
      <c r="A1697" s="26" t="n">
        <v>45509</v>
      </c>
      <c r="B1697" s="14" t="inlineStr">
        <is>
          <t>NB-0017</t>
        </is>
      </c>
      <c r="C1697" s="14" t="n">
        <v>45</v>
      </c>
      <c r="D1697" s="14">
        <f>IF(A1697&gt;LastWeek-364,1,0)</f>
        <v/>
      </c>
      <c r="E1697" s="14">
        <f>C1697^2*D1697</f>
        <v/>
      </c>
    </row>
    <row r="1698">
      <c r="A1698" s="26" t="n">
        <v>45516</v>
      </c>
      <c r="B1698" s="14" t="inlineStr">
        <is>
          <t>NB-0017</t>
        </is>
      </c>
      <c r="C1698" s="14" t="n">
        <v>59</v>
      </c>
      <c r="D1698" s="14">
        <f>IF(A1698&gt;LastWeek-364,1,0)</f>
        <v/>
      </c>
      <c r="E1698" s="14">
        <f>C1698^2*D1698</f>
        <v/>
      </c>
    </row>
    <row r="1699">
      <c r="A1699" s="26" t="n">
        <v>45523</v>
      </c>
      <c r="B1699" s="14" t="inlineStr">
        <is>
          <t>NB-0017</t>
        </is>
      </c>
      <c r="C1699" s="14" t="n">
        <v>44</v>
      </c>
      <c r="D1699" s="14">
        <f>IF(A1699&gt;LastWeek-364,1,0)</f>
        <v/>
      </c>
      <c r="E1699" s="14">
        <f>C1699^2*D1699</f>
        <v/>
      </c>
    </row>
    <row r="1700">
      <c r="A1700" s="26" t="n">
        <v>45530</v>
      </c>
      <c r="B1700" s="14" t="inlineStr">
        <is>
          <t>NB-0017</t>
        </is>
      </c>
      <c r="C1700" s="14" t="n">
        <v>52</v>
      </c>
      <c r="D1700" s="14">
        <f>IF(A1700&gt;LastWeek-364,1,0)</f>
        <v/>
      </c>
      <c r="E1700" s="14">
        <f>C1700^2*D1700</f>
        <v/>
      </c>
    </row>
    <row r="1701">
      <c r="A1701" s="26" t="n">
        <v>45537</v>
      </c>
      <c r="B1701" s="14" t="inlineStr">
        <is>
          <t>NB-0017</t>
        </is>
      </c>
      <c r="C1701" s="14" t="n">
        <v>53</v>
      </c>
      <c r="D1701" s="14">
        <f>IF(A1701&gt;LastWeek-364,1,0)</f>
        <v/>
      </c>
      <c r="E1701" s="14">
        <f>C1701^2*D1701</f>
        <v/>
      </c>
    </row>
    <row r="1702">
      <c r="A1702" s="26" t="n">
        <v>45544</v>
      </c>
      <c r="B1702" s="14" t="inlineStr">
        <is>
          <t>NB-0017</t>
        </is>
      </c>
      <c r="C1702" s="14" t="n">
        <v>43</v>
      </c>
      <c r="D1702" s="14">
        <f>IF(A1702&gt;LastWeek-364,1,0)</f>
        <v/>
      </c>
      <c r="E1702" s="14">
        <f>C1702^2*D1702</f>
        <v/>
      </c>
    </row>
    <row r="1703">
      <c r="A1703" s="26" t="n">
        <v>45551</v>
      </c>
      <c r="B1703" s="14" t="inlineStr">
        <is>
          <t>NB-0017</t>
        </is>
      </c>
      <c r="C1703" s="14" t="n">
        <v>67</v>
      </c>
      <c r="D1703" s="14">
        <f>IF(A1703&gt;LastWeek-364,1,0)</f>
        <v/>
      </c>
      <c r="E1703" s="14">
        <f>C1703^2*D1703</f>
        <v/>
      </c>
    </row>
    <row r="1704">
      <c r="A1704" s="26" t="n">
        <v>45558</v>
      </c>
      <c r="B1704" s="14" t="inlineStr">
        <is>
          <t>NB-0017</t>
        </is>
      </c>
      <c r="C1704" s="14" t="n">
        <v>63</v>
      </c>
      <c r="D1704" s="14">
        <f>IF(A1704&gt;LastWeek-364,1,0)</f>
        <v/>
      </c>
      <c r="E1704" s="14">
        <f>C1704^2*D1704</f>
        <v/>
      </c>
    </row>
    <row r="1705">
      <c r="A1705" s="26" t="n">
        <v>45565</v>
      </c>
      <c r="B1705" s="14" t="inlineStr">
        <is>
          <t>NB-0017</t>
        </is>
      </c>
      <c r="C1705" s="14" t="n">
        <v>57</v>
      </c>
      <c r="D1705" s="14">
        <f>IF(A1705&gt;LastWeek-364,1,0)</f>
        <v/>
      </c>
      <c r="E1705" s="14">
        <f>C1705^2*D1705</f>
        <v/>
      </c>
    </row>
    <row r="1706">
      <c r="A1706" s="26" t="n">
        <v>45572</v>
      </c>
      <c r="B1706" s="14" t="inlineStr">
        <is>
          <t>NB-0017</t>
        </is>
      </c>
      <c r="C1706" s="14" t="n">
        <v>50</v>
      </c>
      <c r="D1706" s="14">
        <f>IF(A1706&gt;LastWeek-364,1,0)</f>
        <v/>
      </c>
      <c r="E1706" s="14">
        <f>C1706^2*D1706</f>
        <v/>
      </c>
    </row>
    <row r="1707">
      <c r="A1707" s="26" t="n">
        <v>45579</v>
      </c>
      <c r="B1707" s="14" t="inlineStr">
        <is>
          <t>NB-0017</t>
        </is>
      </c>
      <c r="C1707" s="14" t="n">
        <v>75</v>
      </c>
      <c r="D1707" s="14">
        <f>IF(A1707&gt;LastWeek-364,1,0)</f>
        <v/>
      </c>
      <c r="E1707" s="14">
        <f>C1707^2*D1707</f>
        <v/>
      </c>
    </row>
    <row r="1708">
      <c r="A1708" s="26" t="n">
        <v>45586</v>
      </c>
      <c r="B1708" s="14" t="inlineStr">
        <is>
          <t>NB-0017</t>
        </is>
      </c>
      <c r="C1708" s="14" t="n">
        <v>55</v>
      </c>
      <c r="D1708" s="14">
        <f>IF(A1708&gt;LastWeek-364,1,0)</f>
        <v/>
      </c>
      <c r="E1708" s="14">
        <f>C1708^2*D1708</f>
        <v/>
      </c>
    </row>
    <row r="1709">
      <c r="A1709" s="26" t="n">
        <v>45593</v>
      </c>
      <c r="B1709" s="14" t="inlineStr">
        <is>
          <t>NB-0017</t>
        </is>
      </c>
      <c r="C1709" s="14" t="n">
        <v>54</v>
      </c>
      <c r="D1709" s="14">
        <f>IF(A1709&gt;LastWeek-364,1,0)</f>
        <v/>
      </c>
      <c r="E1709" s="14">
        <f>C1709^2*D1709</f>
        <v/>
      </c>
    </row>
    <row r="1710">
      <c r="A1710" s="26" t="n">
        <v>45600</v>
      </c>
      <c r="B1710" s="14" t="inlineStr">
        <is>
          <t>NB-0017</t>
        </is>
      </c>
      <c r="C1710" s="14" t="n">
        <v>63</v>
      </c>
      <c r="D1710" s="14">
        <f>IF(A1710&gt;LastWeek-364,1,0)</f>
        <v/>
      </c>
      <c r="E1710" s="14">
        <f>C1710^2*D1710</f>
        <v/>
      </c>
    </row>
    <row r="1711">
      <c r="A1711" s="26" t="n">
        <v>45607</v>
      </c>
      <c r="B1711" s="14" t="inlineStr">
        <is>
          <t>NB-0017</t>
        </is>
      </c>
      <c r="C1711" s="14" t="n">
        <v>96</v>
      </c>
      <c r="D1711" s="14">
        <f>IF(A1711&gt;LastWeek-364,1,0)</f>
        <v/>
      </c>
      <c r="E1711" s="14">
        <f>C1711^2*D1711</f>
        <v/>
      </c>
    </row>
    <row r="1712">
      <c r="A1712" s="26" t="n">
        <v>45614</v>
      </c>
      <c r="B1712" s="14" t="inlineStr">
        <is>
          <t>NB-0017</t>
        </is>
      </c>
      <c r="C1712" s="14" t="n">
        <v>33</v>
      </c>
      <c r="D1712" s="14">
        <f>IF(A1712&gt;LastWeek-364,1,0)</f>
        <v/>
      </c>
      <c r="E1712" s="14">
        <f>C1712^2*D1712</f>
        <v/>
      </c>
    </row>
    <row r="1713">
      <c r="A1713" s="26" t="n">
        <v>45621</v>
      </c>
      <c r="B1713" s="14" t="inlineStr">
        <is>
          <t>NB-0017</t>
        </is>
      </c>
      <c r="C1713" s="14" t="n">
        <v>77</v>
      </c>
      <c r="D1713" s="14">
        <f>IF(A1713&gt;LastWeek-364,1,0)</f>
        <v/>
      </c>
      <c r="E1713" s="14">
        <f>C1713^2*D1713</f>
        <v/>
      </c>
    </row>
    <row r="1714">
      <c r="A1714" s="26" t="n">
        <v>45628</v>
      </c>
      <c r="B1714" s="14" t="inlineStr">
        <is>
          <t>NB-0017</t>
        </is>
      </c>
      <c r="C1714" s="14" t="n">
        <v>22</v>
      </c>
      <c r="D1714" s="14">
        <f>IF(A1714&gt;LastWeek-364,1,0)</f>
        <v/>
      </c>
      <c r="E1714" s="14">
        <f>C1714^2*D1714</f>
        <v/>
      </c>
    </row>
    <row r="1715">
      <c r="A1715" s="26" t="n">
        <v>45635</v>
      </c>
      <c r="B1715" s="14" t="inlineStr">
        <is>
          <t>NB-0017</t>
        </is>
      </c>
      <c r="C1715" s="14" t="n">
        <v>67</v>
      </c>
      <c r="D1715" s="14">
        <f>IF(A1715&gt;LastWeek-364,1,0)</f>
        <v/>
      </c>
      <c r="E1715" s="14">
        <f>C1715^2*D1715</f>
        <v/>
      </c>
    </row>
    <row r="1716">
      <c r="A1716" s="26" t="n">
        <v>45642</v>
      </c>
      <c r="B1716" s="14" t="inlineStr">
        <is>
          <t>NB-0017</t>
        </is>
      </c>
      <c r="C1716" s="14" t="n">
        <v>95</v>
      </c>
      <c r="D1716" s="14">
        <f>IF(A1716&gt;LastWeek-364,1,0)</f>
        <v/>
      </c>
      <c r="E1716" s="14">
        <f>C1716^2*D1716</f>
        <v/>
      </c>
    </row>
    <row r="1717">
      <c r="A1717" s="26" t="n">
        <v>45649</v>
      </c>
      <c r="B1717" s="14" t="inlineStr">
        <is>
          <t>NB-0017</t>
        </is>
      </c>
      <c r="C1717" s="14" t="n">
        <v>73</v>
      </c>
      <c r="D1717" s="14">
        <f>IF(A1717&gt;LastWeek-364,1,0)</f>
        <v/>
      </c>
      <c r="E1717" s="14">
        <f>C1717^2*D1717</f>
        <v/>
      </c>
    </row>
    <row r="1718">
      <c r="A1718" s="26" t="n">
        <v>45656</v>
      </c>
      <c r="B1718" s="14" t="inlineStr">
        <is>
          <t>NB-0017</t>
        </is>
      </c>
      <c r="C1718" s="14" t="n">
        <v>66</v>
      </c>
      <c r="D1718" s="14">
        <f>IF(A1718&gt;LastWeek-364,1,0)</f>
        <v/>
      </c>
      <c r="E1718" s="14">
        <f>C1718^2*D1718</f>
        <v/>
      </c>
    </row>
    <row r="1719">
      <c r="A1719" s="26" t="n">
        <v>45663</v>
      </c>
      <c r="B1719" s="14" t="inlineStr">
        <is>
          <t>NB-0017</t>
        </is>
      </c>
      <c r="C1719" s="14" t="n">
        <v>51</v>
      </c>
      <c r="D1719" s="14">
        <f>IF(A1719&gt;LastWeek-364,1,0)</f>
        <v/>
      </c>
      <c r="E1719" s="14">
        <f>C1719^2*D1719</f>
        <v/>
      </c>
    </row>
    <row r="1720">
      <c r="A1720" s="26" t="n">
        <v>45670</v>
      </c>
      <c r="B1720" s="14" t="inlineStr">
        <is>
          <t>NB-0017</t>
        </is>
      </c>
      <c r="C1720" s="14" t="n">
        <v>63</v>
      </c>
      <c r="D1720" s="14">
        <f>IF(A1720&gt;LastWeek-364,1,0)</f>
        <v/>
      </c>
      <c r="E1720" s="14">
        <f>C1720^2*D1720</f>
        <v/>
      </c>
    </row>
    <row r="1721">
      <c r="A1721" s="26" t="n">
        <v>45677</v>
      </c>
      <c r="B1721" s="14" t="inlineStr">
        <is>
          <t>NB-0017</t>
        </is>
      </c>
      <c r="C1721" s="14" t="n">
        <v>57</v>
      </c>
      <c r="D1721" s="14">
        <f>IF(A1721&gt;LastWeek-364,1,0)</f>
        <v/>
      </c>
      <c r="E1721" s="14">
        <f>C1721^2*D1721</f>
        <v/>
      </c>
    </row>
    <row r="1722">
      <c r="A1722" s="26" t="n">
        <v>45684</v>
      </c>
      <c r="B1722" s="14" t="inlineStr">
        <is>
          <t>NB-0017</t>
        </is>
      </c>
      <c r="C1722" s="14" t="n">
        <v>46</v>
      </c>
      <c r="D1722" s="14">
        <f>IF(A1722&gt;LastWeek-364,1,0)</f>
        <v/>
      </c>
      <c r="E1722" s="14">
        <f>C1722^2*D1722</f>
        <v/>
      </c>
    </row>
    <row r="1723">
      <c r="A1723" s="26" t="n">
        <v>45691</v>
      </c>
      <c r="B1723" s="14" t="inlineStr">
        <is>
          <t>NB-0017</t>
        </is>
      </c>
      <c r="C1723" s="14" t="n">
        <v>56</v>
      </c>
      <c r="D1723" s="14">
        <f>IF(A1723&gt;LastWeek-364,1,0)</f>
        <v/>
      </c>
      <c r="E1723" s="14">
        <f>C1723^2*D1723</f>
        <v/>
      </c>
    </row>
    <row r="1724">
      <c r="A1724" s="26" t="n">
        <v>45698</v>
      </c>
      <c r="B1724" s="14" t="inlineStr">
        <is>
          <t>NB-0017</t>
        </is>
      </c>
      <c r="C1724" s="14" t="n">
        <v>67</v>
      </c>
      <c r="D1724" s="14">
        <f>IF(A1724&gt;LastWeek-364,1,0)</f>
        <v/>
      </c>
      <c r="E1724" s="14">
        <f>C1724^2*D1724</f>
        <v/>
      </c>
    </row>
    <row r="1725">
      <c r="A1725" s="26" t="n">
        <v>45705</v>
      </c>
      <c r="B1725" s="14" t="inlineStr">
        <is>
          <t>NB-0017</t>
        </is>
      </c>
      <c r="C1725" s="14" t="n">
        <v>46</v>
      </c>
      <c r="D1725" s="14">
        <f>IF(A1725&gt;LastWeek-364,1,0)</f>
        <v/>
      </c>
      <c r="E1725" s="14">
        <f>C1725^2*D1725</f>
        <v/>
      </c>
    </row>
    <row r="1726">
      <c r="A1726" s="26" t="n">
        <v>45712</v>
      </c>
      <c r="B1726" s="14" t="inlineStr">
        <is>
          <t>NB-0017</t>
        </is>
      </c>
      <c r="C1726" s="14" t="n">
        <v>45</v>
      </c>
      <c r="D1726" s="14">
        <f>IF(A1726&gt;LastWeek-364,1,0)</f>
        <v/>
      </c>
      <c r="E1726" s="14">
        <f>C1726^2*D1726</f>
        <v/>
      </c>
    </row>
    <row r="1727">
      <c r="A1727" s="26" t="n">
        <v>45719</v>
      </c>
      <c r="B1727" s="14" t="inlineStr">
        <is>
          <t>NB-0017</t>
        </is>
      </c>
      <c r="C1727" s="14" t="n">
        <v>34</v>
      </c>
      <c r="D1727" s="14">
        <f>IF(A1727&gt;LastWeek-364,1,0)</f>
        <v/>
      </c>
      <c r="E1727" s="14">
        <f>C1727^2*D1727</f>
        <v/>
      </c>
    </row>
    <row r="1728">
      <c r="A1728" s="26" t="n">
        <v>45726</v>
      </c>
      <c r="B1728" s="14" t="inlineStr">
        <is>
          <t>NB-0017</t>
        </is>
      </c>
      <c r="C1728" s="14" t="n">
        <v>70</v>
      </c>
      <c r="D1728" s="14">
        <f>IF(A1728&gt;LastWeek-364,1,0)</f>
        <v/>
      </c>
      <c r="E1728" s="14">
        <f>C1728^2*D1728</f>
        <v/>
      </c>
    </row>
    <row r="1729">
      <c r="A1729" s="26" t="n">
        <v>45733</v>
      </c>
      <c r="B1729" s="14" t="inlineStr">
        <is>
          <t>NB-0017</t>
        </is>
      </c>
      <c r="C1729" s="14" t="n">
        <v>73</v>
      </c>
      <c r="D1729" s="14">
        <f>IF(A1729&gt;LastWeek-364,1,0)</f>
        <v/>
      </c>
      <c r="E1729" s="14">
        <f>C1729^2*D1729</f>
        <v/>
      </c>
    </row>
    <row r="1730">
      <c r="A1730" s="26" t="n">
        <v>45740</v>
      </c>
      <c r="B1730" s="14" t="inlineStr">
        <is>
          <t>NB-0017</t>
        </is>
      </c>
      <c r="C1730" s="14" t="n">
        <v>66</v>
      </c>
      <c r="D1730" s="14">
        <f>IF(A1730&gt;LastWeek-364,1,0)</f>
        <v/>
      </c>
      <c r="E1730" s="14">
        <f>C1730^2*D1730</f>
        <v/>
      </c>
    </row>
    <row r="1731">
      <c r="A1731" s="26" t="n">
        <v>45747</v>
      </c>
      <c r="B1731" s="14" t="inlineStr">
        <is>
          <t>NB-0017</t>
        </is>
      </c>
      <c r="C1731" s="14" t="n">
        <v>81</v>
      </c>
      <c r="D1731" s="14">
        <f>IF(A1731&gt;LastWeek-364,1,0)</f>
        <v/>
      </c>
      <c r="E1731" s="14">
        <f>C1731^2*D1731</f>
        <v/>
      </c>
    </row>
    <row r="1732">
      <c r="A1732" s="26" t="n">
        <v>45754</v>
      </c>
      <c r="B1732" s="14" t="inlineStr">
        <is>
          <t>NB-0017</t>
        </is>
      </c>
      <c r="C1732" s="14" t="n">
        <v>63</v>
      </c>
      <c r="D1732" s="14">
        <f>IF(A1732&gt;LastWeek-364,1,0)</f>
        <v/>
      </c>
      <c r="E1732" s="14">
        <f>C1732^2*D1732</f>
        <v/>
      </c>
    </row>
    <row r="1733">
      <c r="A1733" s="26" t="n">
        <v>45761</v>
      </c>
      <c r="B1733" s="14" t="inlineStr">
        <is>
          <t>NB-0017</t>
        </is>
      </c>
      <c r="C1733" s="14" t="n">
        <v>69</v>
      </c>
      <c r="D1733" s="14">
        <f>IF(A1733&gt;LastWeek-364,1,0)</f>
        <v/>
      </c>
      <c r="E1733" s="14">
        <f>C1733^2*D1733</f>
        <v/>
      </c>
    </row>
    <row r="1734">
      <c r="A1734" s="26" t="n">
        <v>45768</v>
      </c>
      <c r="B1734" s="14" t="inlineStr">
        <is>
          <t>NB-0017</t>
        </is>
      </c>
      <c r="C1734" s="14" t="n">
        <v>67</v>
      </c>
      <c r="D1734" s="14">
        <f>IF(A1734&gt;LastWeek-364,1,0)</f>
        <v/>
      </c>
      <c r="E1734" s="14">
        <f>C1734^2*D1734</f>
        <v/>
      </c>
    </row>
    <row r="1735">
      <c r="A1735" s="26" t="n">
        <v>45775</v>
      </c>
      <c r="B1735" s="14" t="inlineStr">
        <is>
          <t>NB-0017</t>
        </is>
      </c>
      <c r="C1735" s="14" t="n">
        <v>58</v>
      </c>
      <c r="D1735" s="14">
        <f>IF(A1735&gt;LastWeek-364,1,0)</f>
        <v/>
      </c>
      <c r="E1735" s="14">
        <f>C1735^2*D1735</f>
        <v/>
      </c>
    </row>
    <row r="1736">
      <c r="A1736" s="26" t="n">
        <v>45782</v>
      </c>
      <c r="B1736" s="14" t="inlineStr">
        <is>
          <t>NB-0017</t>
        </is>
      </c>
      <c r="C1736" s="14" t="n">
        <v>49</v>
      </c>
      <c r="D1736" s="14">
        <f>IF(A1736&gt;LastWeek-364,1,0)</f>
        <v/>
      </c>
      <c r="E1736" s="14">
        <f>C1736^2*D1736</f>
        <v/>
      </c>
    </row>
    <row r="1737">
      <c r="A1737" s="26" t="n">
        <v>45789</v>
      </c>
      <c r="B1737" s="14" t="inlineStr">
        <is>
          <t>NB-0017</t>
        </is>
      </c>
      <c r="C1737" s="14" t="n">
        <v>105</v>
      </c>
      <c r="D1737" s="14">
        <f>IF(A1737&gt;LastWeek-364,1,0)</f>
        <v/>
      </c>
      <c r="E1737" s="14">
        <f>C1737^2*D1737</f>
        <v/>
      </c>
    </row>
    <row r="1738">
      <c r="A1738" s="26" t="n">
        <v>45796</v>
      </c>
      <c r="B1738" s="14" t="inlineStr">
        <is>
          <t>NB-0017</t>
        </is>
      </c>
      <c r="C1738" s="14" t="n">
        <v>51</v>
      </c>
      <c r="D1738" s="14">
        <f>IF(A1738&gt;LastWeek-364,1,0)</f>
        <v/>
      </c>
      <c r="E1738" s="14">
        <f>C1738^2*D1738</f>
        <v/>
      </c>
    </row>
    <row r="1739">
      <c r="A1739" s="26" t="n">
        <v>45803</v>
      </c>
      <c r="B1739" s="14" t="inlineStr">
        <is>
          <t>NB-0017</t>
        </is>
      </c>
      <c r="C1739" s="14" t="n">
        <v>46</v>
      </c>
      <c r="D1739" s="14">
        <f>IF(A1739&gt;LastWeek-364,1,0)</f>
        <v/>
      </c>
      <c r="E1739" s="14">
        <f>C1739^2*D1739</f>
        <v/>
      </c>
    </row>
    <row r="1740">
      <c r="A1740" s="26" t="n">
        <v>45810</v>
      </c>
      <c r="B1740" s="14" t="inlineStr">
        <is>
          <t>NB-0017</t>
        </is>
      </c>
      <c r="C1740" s="14" t="n">
        <v>68</v>
      </c>
      <c r="D1740" s="14">
        <f>IF(A1740&gt;LastWeek-364,1,0)</f>
        <v/>
      </c>
      <c r="E1740" s="14">
        <f>C1740^2*D1740</f>
        <v/>
      </c>
    </row>
    <row r="1741">
      <c r="A1741" s="26" t="n">
        <v>45817</v>
      </c>
      <c r="B1741" s="14" t="inlineStr">
        <is>
          <t>NB-0017</t>
        </is>
      </c>
      <c r="C1741" s="14" t="n">
        <v>64</v>
      </c>
      <c r="D1741" s="14">
        <f>IF(A1741&gt;LastWeek-364,1,0)</f>
        <v/>
      </c>
      <c r="E1741" s="14">
        <f>C1741^2*D1741</f>
        <v/>
      </c>
    </row>
    <row r="1742">
      <c r="A1742" s="26" t="n">
        <v>45824</v>
      </c>
      <c r="B1742" s="14" t="inlineStr">
        <is>
          <t>NB-0017</t>
        </is>
      </c>
      <c r="C1742" s="14" t="n">
        <v>31</v>
      </c>
      <c r="D1742" s="14">
        <f>IF(A1742&gt;LastWeek-364,1,0)</f>
        <v/>
      </c>
      <c r="E1742" s="14">
        <f>C1742^2*D1742</f>
        <v/>
      </c>
    </row>
    <row r="1743">
      <c r="A1743" s="26" t="n">
        <v>45831</v>
      </c>
      <c r="B1743" s="14" t="inlineStr">
        <is>
          <t>NB-0017</t>
        </is>
      </c>
      <c r="C1743" s="14" t="n">
        <v>82</v>
      </c>
      <c r="D1743" s="14">
        <f>IF(A1743&gt;LastWeek-364,1,0)</f>
        <v/>
      </c>
      <c r="E1743" s="14">
        <f>C1743^2*D1743</f>
        <v/>
      </c>
    </row>
    <row r="1744">
      <c r="A1744" s="26" t="n">
        <v>45838</v>
      </c>
      <c r="B1744" s="14" t="inlineStr">
        <is>
          <t>NB-0017</t>
        </is>
      </c>
      <c r="C1744" s="14" t="n">
        <v>57</v>
      </c>
      <c r="D1744" s="14">
        <f>IF(A1744&gt;LastWeek-364,1,0)</f>
        <v/>
      </c>
      <c r="E1744" s="14">
        <f>C1744^2*D1744</f>
        <v/>
      </c>
    </row>
    <row r="1745">
      <c r="A1745" s="26" t="n">
        <v>45845</v>
      </c>
      <c r="B1745" s="14" t="inlineStr">
        <is>
          <t>NB-0017</t>
        </is>
      </c>
      <c r="C1745" s="14" t="n">
        <v>37</v>
      </c>
      <c r="D1745" s="14">
        <f>IF(A1745&gt;LastWeek-364,1,0)</f>
        <v/>
      </c>
      <c r="E1745" s="14">
        <f>C1745^2*D1745</f>
        <v/>
      </c>
    </row>
    <row r="1746">
      <c r="A1746" s="26" t="n">
        <v>45852</v>
      </c>
      <c r="B1746" s="14" t="inlineStr">
        <is>
          <t>NB-0017</t>
        </is>
      </c>
      <c r="C1746" s="14" t="n">
        <v>83</v>
      </c>
      <c r="D1746" s="14">
        <f>IF(A1746&gt;LastWeek-364,1,0)</f>
        <v/>
      </c>
      <c r="E1746" s="14">
        <f>C1746^2*D1746</f>
        <v/>
      </c>
    </row>
    <row r="1747">
      <c r="A1747" s="26" t="n">
        <v>45859</v>
      </c>
      <c r="B1747" s="14" t="inlineStr">
        <is>
          <t>NB-0017</t>
        </is>
      </c>
      <c r="C1747" s="14" t="n">
        <v>72</v>
      </c>
      <c r="D1747" s="14">
        <f>IF(A1747&gt;LastWeek-364,1,0)</f>
        <v/>
      </c>
      <c r="E1747" s="14">
        <f>C1747^2*D1747</f>
        <v/>
      </c>
    </row>
    <row r="1748">
      <c r="A1748" s="26" t="n">
        <v>45866</v>
      </c>
      <c r="B1748" s="14" t="inlineStr">
        <is>
          <t>NB-0017</t>
        </is>
      </c>
      <c r="C1748" s="14" t="n">
        <v>34</v>
      </c>
      <c r="D1748" s="14">
        <f>IF(A1748&gt;LastWeek-364,1,0)</f>
        <v/>
      </c>
      <c r="E1748" s="14">
        <f>C1748^2*D1748</f>
        <v/>
      </c>
    </row>
    <row r="1749">
      <c r="A1749" s="26" t="n">
        <v>45873</v>
      </c>
      <c r="B1749" s="14" t="inlineStr">
        <is>
          <t>NB-0017</t>
        </is>
      </c>
      <c r="C1749" s="14" t="n">
        <v>96</v>
      </c>
      <c r="D1749" s="14">
        <f>IF(A1749&gt;LastWeek-364,1,0)</f>
        <v/>
      </c>
      <c r="E1749" s="14">
        <f>C1749^2*D1749</f>
        <v/>
      </c>
    </row>
    <row r="1750">
      <c r="A1750" s="26" t="n">
        <v>45880</v>
      </c>
      <c r="B1750" s="14" t="inlineStr">
        <is>
          <t>NB-0017</t>
        </is>
      </c>
      <c r="C1750" s="14" t="n">
        <v>74</v>
      </c>
      <c r="D1750" s="14">
        <f>IF(A1750&gt;LastWeek-364,1,0)</f>
        <v/>
      </c>
      <c r="E1750" s="14">
        <f>C1750^2*D1750</f>
        <v/>
      </c>
    </row>
    <row r="1751">
      <c r="A1751" s="26" t="n">
        <v>45887</v>
      </c>
      <c r="B1751" s="14" t="inlineStr">
        <is>
          <t>NB-0017</t>
        </is>
      </c>
      <c r="C1751" s="14" t="n">
        <v>60</v>
      </c>
      <c r="D1751" s="14">
        <f>IF(A1751&gt;LastWeek-364,1,0)</f>
        <v/>
      </c>
      <c r="E1751" s="14">
        <f>C1751^2*D1751</f>
        <v/>
      </c>
    </row>
    <row r="1752">
      <c r="A1752" s="26" t="n">
        <v>45894</v>
      </c>
      <c r="B1752" s="14" t="inlineStr">
        <is>
          <t>NB-0017</t>
        </is>
      </c>
      <c r="C1752" s="14" t="n">
        <v>93</v>
      </c>
      <c r="D1752" s="14">
        <f>IF(A1752&gt;LastWeek-364,1,0)</f>
        <v/>
      </c>
      <c r="E1752" s="14">
        <f>C1752^2*D1752</f>
        <v/>
      </c>
    </row>
    <row r="1753">
      <c r="A1753" s="26" t="n">
        <v>45901</v>
      </c>
      <c r="B1753" s="14" t="inlineStr">
        <is>
          <t>NB-0017</t>
        </is>
      </c>
      <c r="C1753" s="14" t="n">
        <v>64</v>
      </c>
      <c r="D1753" s="14">
        <f>IF(A1753&gt;LastWeek-364,1,0)</f>
        <v/>
      </c>
      <c r="E1753" s="14">
        <f>C1753^2*D1753</f>
        <v/>
      </c>
    </row>
    <row r="1754">
      <c r="A1754" s="26" t="n">
        <v>45908</v>
      </c>
      <c r="B1754" s="14" t="inlineStr">
        <is>
          <t>NB-0017</t>
        </is>
      </c>
      <c r="C1754" s="14" t="n">
        <v>61</v>
      </c>
      <c r="D1754" s="14">
        <f>IF(A1754&gt;LastWeek-364,1,0)</f>
        <v/>
      </c>
      <c r="E1754" s="14">
        <f>C1754^2*D1754</f>
        <v/>
      </c>
    </row>
    <row r="1755">
      <c r="A1755" s="26" t="n">
        <v>45915</v>
      </c>
      <c r="B1755" s="14" t="inlineStr">
        <is>
          <t>NB-0017</t>
        </is>
      </c>
      <c r="C1755" s="14" t="n">
        <v>48</v>
      </c>
      <c r="D1755" s="14">
        <f>IF(A1755&gt;LastWeek-364,1,0)</f>
        <v/>
      </c>
      <c r="E1755" s="14">
        <f>C1755^2*D1755</f>
        <v/>
      </c>
    </row>
    <row r="1756">
      <c r="A1756" s="26" t="n">
        <v>45922</v>
      </c>
      <c r="B1756" s="14" t="inlineStr">
        <is>
          <t>NB-0017</t>
        </is>
      </c>
      <c r="C1756" s="14" t="n">
        <v>75</v>
      </c>
      <c r="D1756" s="14">
        <f>IF(A1756&gt;LastWeek-364,1,0)</f>
        <v/>
      </c>
      <c r="E1756" s="14">
        <f>C1756^2*D1756</f>
        <v/>
      </c>
    </row>
    <row r="1757">
      <c r="A1757" s="26" t="n">
        <v>45929</v>
      </c>
      <c r="B1757" s="14" t="inlineStr">
        <is>
          <t>NB-0017</t>
        </is>
      </c>
      <c r="C1757" s="14" t="n">
        <v>73</v>
      </c>
      <c r="D1757" s="14">
        <f>IF(A1757&gt;LastWeek-364,1,0)</f>
        <v/>
      </c>
      <c r="E1757" s="14">
        <f>C1757^2*D1757</f>
        <v/>
      </c>
    </row>
    <row r="1758">
      <c r="A1758" s="26" t="n">
        <v>45936</v>
      </c>
      <c r="B1758" s="14" t="inlineStr">
        <is>
          <t>NB-0017</t>
        </is>
      </c>
      <c r="C1758" s="14" t="n">
        <v>63</v>
      </c>
      <c r="D1758" s="14">
        <f>IF(A1758&gt;LastWeek-364,1,0)</f>
        <v/>
      </c>
      <c r="E1758" s="14">
        <f>C1758^2*D1758</f>
        <v/>
      </c>
    </row>
    <row r="1759">
      <c r="A1759" s="26" t="n">
        <v>45943</v>
      </c>
      <c r="B1759" s="14" t="inlineStr">
        <is>
          <t>NB-0017</t>
        </is>
      </c>
      <c r="C1759" s="14" t="n">
        <v>47</v>
      </c>
      <c r="D1759" s="14">
        <f>IF(A1759&gt;LastWeek-364,1,0)</f>
        <v/>
      </c>
      <c r="E1759" s="14">
        <f>C1759^2*D1759</f>
        <v/>
      </c>
    </row>
    <row r="1760">
      <c r="A1760" s="26" t="n">
        <v>45950</v>
      </c>
      <c r="B1760" s="14" t="inlineStr">
        <is>
          <t>NB-0017</t>
        </is>
      </c>
      <c r="C1760" s="14" t="n">
        <v>67</v>
      </c>
      <c r="D1760" s="14">
        <f>IF(A1760&gt;LastWeek-364,1,0)</f>
        <v/>
      </c>
      <c r="E1760" s="14">
        <f>C1760^2*D1760</f>
        <v/>
      </c>
    </row>
    <row r="1761">
      <c r="A1761" s="26" t="n">
        <v>45957</v>
      </c>
      <c r="B1761" s="14" t="inlineStr">
        <is>
          <t>NB-0017</t>
        </is>
      </c>
      <c r="C1761" s="14" t="n">
        <v>63</v>
      </c>
      <c r="D1761" s="14">
        <f>IF(A1761&gt;LastWeek-364,1,0)</f>
        <v/>
      </c>
      <c r="E1761" s="14">
        <f>C1761^2*D1761</f>
        <v/>
      </c>
    </row>
    <row r="1762">
      <c r="A1762" s="26" t="n">
        <v>45964</v>
      </c>
      <c r="B1762" s="14" t="inlineStr">
        <is>
          <t>NB-0017</t>
        </is>
      </c>
      <c r="C1762" s="14" t="n">
        <v>36</v>
      </c>
      <c r="D1762" s="14">
        <f>IF(A1762&gt;LastWeek-364,1,0)</f>
        <v/>
      </c>
      <c r="E1762" s="14">
        <f>C1762^2*D1762</f>
        <v/>
      </c>
    </row>
    <row r="1763">
      <c r="A1763" s="26" t="n">
        <v>45971</v>
      </c>
      <c r="B1763" s="14" t="inlineStr">
        <is>
          <t>NB-0017</t>
        </is>
      </c>
      <c r="C1763" s="14" t="n">
        <v>33</v>
      </c>
      <c r="D1763" s="14">
        <f>IF(A1763&gt;LastWeek-364,1,0)</f>
        <v/>
      </c>
      <c r="E1763" s="14">
        <f>C1763^2*D1763</f>
        <v/>
      </c>
    </row>
    <row r="1764">
      <c r="A1764" s="26" t="n">
        <v>45978</v>
      </c>
      <c r="B1764" s="14" t="inlineStr">
        <is>
          <t>NB-0017</t>
        </is>
      </c>
      <c r="C1764" s="14" t="n">
        <v>78</v>
      </c>
      <c r="D1764" s="14">
        <f>IF(A1764&gt;LastWeek-364,1,0)</f>
        <v/>
      </c>
      <c r="E1764" s="14">
        <f>C1764^2*D1764</f>
        <v/>
      </c>
    </row>
    <row r="1765">
      <c r="A1765" s="26" t="n">
        <v>45985</v>
      </c>
      <c r="B1765" s="14" t="inlineStr">
        <is>
          <t>NB-0017</t>
        </is>
      </c>
      <c r="C1765" s="14" t="n">
        <v>8</v>
      </c>
      <c r="D1765" s="14">
        <f>IF(A1765&gt;LastWeek-364,1,0)</f>
        <v/>
      </c>
      <c r="E1765" s="14">
        <f>C1765^2*D1765</f>
        <v/>
      </c>
    </row>
    <row r="1766">
      <c r="A1766" s="26" t="n">
        <v>45992</v>
      </c>
      <c r="B1766" s="14" t="inlineStr">
        <is>
          <t>NB-0017</t>
        </is>
      </c>
      <c r="C1766" s="14" t="n">
        <v>71</v>
      </c>
      <c r="D1766" s="14">
        <f>IF(A1766&gt;LastWeek-364,1,0)</f>
        <v/>
      </c>
      <c r="E1766" s="14">
        <f>C1766^2*D1766</f>
        <v/>
      </c>
    </row>
    <row r="1767">
      <c r="A1767" s="26" t="n">
        <v>45999</v>
      </c>
      <c r="B1767" s="14" t="inlineStr">
        <is>
          <t>NB-0017</t>
        </is>
      </c>
      <c r="C1767" s="14" t="n">
        <v>56</v>
      </c>
      <c r="D1767" s="14">
        <f>IF(A1767&gt;LastWeek-364,1,0)</f>
        <v/>
      </c>
      <c r="E1767" s="14">
        <f>C1767^2*D1767</f>
        <v/>
      </c>
    </row>
    <row r="1768">
      <c r="A1768" s="26" t="n">
        <v>46006</v>
      </c>
      <c r="B1768" s="14" t="inlineStr">
        <is>
          <t>NB-0017</t>
        </is>
      </c>
      <c r="C1768" s="14" t="n">
        <v>96</v>
      </c>
      <c r="D1768" s="14">
        <f>IF(A1768&gt;LastWeek-364,1,0)</f>
        <v/>
      </c>
      <c r="E1768" s="14">
        <f>C1768^2*D1768</f>
        <v/>
      </c>
    </row>
    <row r="1769">
      <c r="A1769" s="26" t="n">
        <v>46013</v>
      </c>
      <c r="B1769" s="14" t="inlineStr">
        <is>
          <t>NB-0017</t>
        </is>
      </c>
      <c r="C1769" s="14" t="n">
        <v>56</v>
      </c>
      <c r="D1769" s="14">
        <f>IF(A1769&gt;LastWeek-364,1,0)</f>
        <v/>
      </c>
      <c r="E1769" s="14">
        <f>C1769^2*D1769</f>
        <v/>
      </c>
    </row>
    <row r="1770">
      <c r="A1770" s="26" t="n">
        <v>45292</v>
      </c>
      <c r="B1770" s="14" t="inlineStr">
        <is>
          <t>NB-0018</t>
        </is>
      </c>
      <c r="C1770" s="14" t="n">
        <v>32</v>
      </c>
      <c r="D1770" s="14">
        <f>IF(A1770&gt;LastWeek-364,1,0)</f>
        <v/>
      </c>
      <c r="E1770" s="14">
        <f>C1770^2*D1770</f>
        <v/>
      </c>
    </row>
    <row r="1771">
      <c r="A1771" s="26" t="n">
        <v>45299</v>
      </c>
      <c r="B1771" s="14" t="inlineStr">
        <is>
          <t>NB-0018</t>
        </is>
      </c>
      <c r="C1771" s="14" t="n">
        <v>25</v>
      </c>
      <c r="D1771" s="14">
        <f>IF(A1771&gt;LastWeek-364,1,0)</f>
        <v/>
      </c>
      <c r="E1771" s="14">
        <f>C1771^2*D1771</f>
        <v/>
      </c>
    </row>
    <row r="1772">
      <c r="A1772" s="26" t="n">
        <v>45306</v>
      </c>
      <c r="B1772" s="14" t="inlineStr">
        <is>
          <t>NB-0018</t>
        </is>
      </c>
      <c r="C1772" s="14" t="n">
        <v>29</v>
      </c>
      <c r="D1772" s="14">
        <f>IF(A1772&gt;LastWeek-364,1,0)</f>
        <v/>
      </c>
      <c r="E1772" s="14">
        <f>C1772^2*D1772</f>
        <v/>
      </c>
    </row>
    <row r="1773">
      <c r="A1773" s="26" t="n">
        <v>45313</v>
      </c>
      <c r="B1773" s="14" t="inlineStr">
        <is>
          <t>NB-0018</t>
        </is>
      </c>
      <c r="C1773" s="14" t="n">
        <v>32</v>
      </c>
      <c r="D1773" s="14">
        <f>IF(A1773&gt;LastWeek-364,1,0)</f>
        <v/>
      </c>
      <c r="E1773" s="14">
        <f>C1773^2*D1773</f>
        <v/>
      </c>
    </row>
    <row r="1774">
      <c r="A1774" s="26" t="n">
        <v>45320</v>
      </c>
      <c r="B1774" s="14" t="inlineStr">
        <is>
          <t>NB-0018</t>
        </is>
      </c>
      <c r="C1774" s="14" t="n">
        <v>25</v>
      </c>
      <c r="D1774" s="14">
        <f>IF(A1774&gt;LastWeek-364,1,0)</f>
        <v/>
      </c>
      <c r="E1774" s="14">
        <f>C1774^2*D1774</f>
        <v/>
      </c>
    </row>
    <row r="1775">
      <c r="A1775" s="26" t="n">
        <v>45327</v>
      </c>
      <c r="B1775" s="14" t="inlineStr">
        <is>
          <t>NB-0018</t>
        </is>
      </c>
      <c r="C1775" s="14" t="n">
        <v>34</v>
      </c>
      <c r="D1775" s="14">
        <f>IF(A1775&gt;LastWeek-364,1,0)</f>
        <v/>
      </c>
      <c r="E1775" s="14">
        <f>C1775^2*D1775</f>
        <v/>
      </c>
    </row>
    <row r="1776">
      <c r="A1776" s="26" t="n">
        <v>45334</v>
      </c>
      <c r="B1776" s="14" t="inlineStr">
        <is>
          <t>NB-0018</t>
        </is>
      </c>
      <c r="C1776" s="14" t="n">
        <v>22</v>
      </c>
      <c r="D1776" s="14">
        <f>IF(A1776&gt;LastWeek-364,1,0)</f>
        <v/>
      </c>
      <c r="E1776" s="14">
        <f>C1776^2*D1776</f>
        <v/>
      </c>
    </row>
    <row r="1777">
      <c r="A1777" s="26" t="n">
        <v>45341</v>
      </c>
      <c r="B1777" s="14" t="inlineStr">
        <is>
          <t>NB-0018</t>
        </is>
      </c>
      <c r="C1777" s="14" t="n">
        <v>29</v>
      </c>
      <c r="D1777" s="14">
        <f>IF(A1777&gt;LastWeek-364,1,0)</f>
        <v/>
      </c>
      <c r="E1777" s="14">
        <f>C1777^2*D1777</f>
        <v/>
      </c>
    </row>
    <row r="1778">
      <c r="A1778" s="26" t="n">
        <v>45348</v>
      </c>
      <c r="B1778" s="14" t="inlineStr">
        <is>
          <t>NB-0018</t>
        </is>
      </c>
      <c r="C1778" s="14" t="n">
        <v>33</v>
      </c>
      <c r="D1778" s="14">
        <f>IF(A1778&gt;LastWeek-364,1,0)</f>
        <v/>
      </c>
      <c r="E1778" s="14">
        <f>C1778^2*D1778</f>
        <v/>
      </c>
    </row>
    <row r="1779">
      <c r="A1779" s="26" t="n">
        <v>45355</v>
      </c>
      <c r="B1779" s="14" t="inlineStr">
        <is>
          <t>NB-0018</t>
        </is>
      </c>
      <c r="C1779" s="14" t="n">
        <v>31</v>
      </c>
      <c r="D1779" s="14">
        <f>IF(A1779&gt;LastWeek-364,1,0)</f>
        <v/>
      </c>
      <c r="E1779" s="14">
        <f>C1779^2*D1779</f>
        <v/>
      </c>
    </row>
    <row r="1780">
      <c r="A1780" s="26" t="n">
        <v>45362</v>
      </c>
      <c r="B1780" s="14" t="inlineStr">
        <is>
          <t>NB-0018</t>
        </is>
      </c>
      <c r="C1780" s="14" t="n">
        <v>38</v>
      </c>
      <c r="D1780" s="14">
        <f>IF(A1780&gt;LastWeek-364,1,0)</f>
        <v/>
      </c>
      <c r="E1780" s="14">
        <f>C1780^2*D1780</f>
        <v/>
      </c>
    </row>
    <row r="1781">
      <c r="A1781" s="26" t="n">
        <v>45369</v>
      </c>
      <c r="B1781" s="14" t="inlineStr">
        <is>
          <t>NB-0018</t>
        </is>
      </c>
      <c r="C1781" s="14" t="n">
        <v>23</v>
      </c>
      <c r="D1781" s="14">
        <f>IF(A1781&gt;LastWeek-364,1,0)</f>
        <v/>
      </c>
      <c r="E1781" s="14">
        <f>C1781^2*D1781</f>
        <v/>
      </c>
    </row>
    <row r="1782">
      <c r="A1782" s="26" t="n">
        <v>45376</v>
      </c>
      <c r="B1782" s="14" t="inlineStr">
        <is>
          <t>NB-0018</t>
        </is>
      </c>
      <c r="C1782" s="14" t="n">
        <v>19</v>
      </c>
      <c r="D1782" s="14">
        <f>IF(A1782&gt;LastWeek-364,1,0)</f>
        <v/>
      </c>
      <c r="E1782" s="14">
        <f>C1782^2*D1782</f>
        <v/>
      </c>
    </row>
    <row r="1783">
      <c r="A1783" s="26" t="n">
        <v>45383</v>
      </c>
      <c r="B1783" s="14" t="inlineStr">
        <is>
          <t>NB-0018</t>
        </is>
      </c>
      <c r="C1783" s="14" t="n">
        <v>21</v>
      </c>
      <c r="D1783" s="14">
        <f>IF(A1783&gt;LastWeek-364,1,0)</f>
        <v/>
      </c>
      <c r="E1783" s="14">
        <f>C1783^2*D1783</f>
        <v/>
      </c>
    </row>
    <row r="1784">
      <c r="A1784" s="26" t="n">
        <v>45390</v>
      </c>
      <c r="B1784" s="14" t="inlineStr">
        <is>
          <t>NB-0018</t>
        </is>
      </c>
      <c r="C1784" s="14" t="n">
        <v>30</v>
      </c>
      <c r="D1784" s="14">
        <f>IF(A1784&gt;LastWeek-364,1,0)</f>
        <v/>
      </c>
      <c r="E1784" s="14">
        <f>C1784^2*D1784</f>
        <v/>
      </c>
    </row>
    <row r="1785">
      <c r="A1785" s="26" t="n">
        <v>45397</v>
      </c>
      <c r="B1785" s="14" t="inlineStr">
        <is>
          <t>NB-0018</t>
        </is>
      </c>
      <c r="C1785" s="14" t="n">
        <v>29</v>
      </c>
      <c r="D1785" s="14">
        <f>IF(A1785&gt;LastWeek-364,1,0)</f>
        <v/>
      </c>
      <c r="E1785" s="14">
        <f>C1785^2*D1785</f>
        <v/>
      </c>
    </row>
    <row r="1786">
      <c r="A1786" s="26" t="n">
        <v>45404</v>
      </c>
      <c r="B1786" s="14" t="inlineStr">
        <is>
          <t>NB-0018</t>
        </is>
      </c>
      <c r="C1786" s="14" t="n">
        <v>27</v>
      </c>
      <c r="D1786" s="14">
        <f>IF(A1786&gt;LastWeek-364,1,0)</f>
        <v/>
      </c>
      <c r="E1786" s="14">
        <f>C1786^2*D1786</f>
        <v/>
      </c>
    </row>
    <row r="1787">
      <c r="A1787" s="26" t="n">
        <v>45411</v>
      </c>
      <c r="B1787" s="14" t="inlineStr">
        <is>
          <t>NB-0018</t>
        </is>
      </c>
      <c r="C1787" s="14" t="n">
        <v>20</v>
      </c>
      <c r="D1787" s="14">
        <f>IF(A1787&gt;LastWeek-364,1,0)</f>
        <v/>
      </c>
      <c r="E1787" s="14">
        <f>C1787^2*D1787</f>
        <v/>
      </c>
    </row>
    <row r="1788">
      <c r="A1788" s="26" t="n">
        <v>45418</v>
      </c>
      <c r="B1788" s="14" t="inlineStr">
        <is>
          <t>NB-0018</t>
        </is>
      </c>
      <c r="C1788" s="14" t="n">
        <v>30</v>
      </c>
      <c r="D1788" s="14">
        <f>IF(A1788&gt;LastWeek-364,1,0)</f>
        <v/>
      </c>
      <c r="E1788" s="14">
        <f>C1788^2*D1788</f>
        <v/>
      </c>
    </row>
    <row r="1789">
      <c r="A1789" s="26" t="n">
        <v>45425</v>
      </c>
      <c r="B1789" s="14" t="inlineStr">
        <is>
          <t>NB-0018</t>
        </is>
      </c>
      <c r="C1789" s="14" t="n">
        <v>19</v>
      </c>
      <c r="D1789" s="14">
        <f>IF(A1789&gt;LastWeek-364,1,0)</f>
        <v/>
      </c>
      <c r="E1789" s="14">
        <f>C1789^2*D1789</f>
        <v/>
      </c>
    </row>
    <row r="1790">
      <c r="A1790" s="26" t="n">
        <v>45432</v>
      </c>
      <c r="B1790" s="14" t="inlineStr">
        <is>
          <t>NB-0018</t>
        </is>
      </c>
      <c r="C1790" s="14" t="n">
        <v>32</v>
      </c>
      <c r="D1790" s="14">
        <f>IF(A1790&gt;LastWeek-364,1,0)</f>
        <v/>
      </c>
      <c r="E1790" s="14">
        <f>C1790^2*D1790</f>
        <v/>
      </c>
    </row>
    <row r="1791">
      <c r="A1791" s="26" t="n">
        <v>45439</v>
      </c>
      <c r="B1791" s="14" t="inlineStr">
        <is>
          <t>NB-0018</t>
        </is>
      </c>
      <c r="C1791" s="14" t="n">
        <v>41</v>
      </c>
      <c r="D1791" s="14">
        <f>IF(A1791&gt;LastWeek-364,1,0)</f>
        <v/>
      </c>
      <c r="E1791" s="14">
        <f>C1791^2*D1791</f>
        <v/>
      </c>
    </row>
    <row r="1792">
      <c r="A1792" s="26" t="n">
        <v>45446</v>
      </c>
      <c r="B1792" s="14" t="inlineStr">
        <is>
          <t>NB-0018</t>
        </is>
      </c>
      <c r="C1792" s="14" t="n">
        <v>28</v>
      </c>
      <c r="D1792" s="14">
        <f>IF(A1792&gt;LastWeek-364,1,0)</f>
        <v/>
      </c>
      <c r="E1792" s="14">
        <f>C1792^2*D1792</f>
        <v/>
      </c>
    </row>
    <row r="1793">
      <c r="A1793" s="26" t="n">
        <v>45453</v>
      </c>
      <c r="B1793" s="14" t="inlineStr">
        <is>
          <t>NB-0018</t>
        </is>
      </c>
      <c r="C1793" s="14" t="n">
        <v>29</v>
      </c>
      <c r="D1793" s="14">
        <f>IF(A1793&gt;LastWeek-364,1,0)</f>
        <v/>
      </c>
      <c r="E1793" s="14">
        <f>C1793^2*D1793</f>
        <v/>
      </c>
    </row>
    <row r="1794">
      <c r="A1794" s="26" t="n">
        <v>45460</v>
      </c>
      <c r="B1794" s="14" t="inlineStr">
        <is>
          <t>NB-0018</t>
        </is>
      </c>
      <c r="C1794" s="14" t="n">
        <v>23</v>
      </c>
      <c r="D1794" s="14">
        <f>IF(A1794&gt;LastWeek-364,1,0)</f>
        <v/>
      </c>
      <c r="E1794" s="14">
        <f>C1794^2*D1794</f>
        <v/>
      </c>
    </row>
    <row r="1795">
      <c r="A1795" s="26" t="n">
        <v>45467</v>
      </c>
      <c r="B1795" s="14" t="inlineStr">
        <is>
          <t>NB-0018</t>
        </is>
      </c>
      <c r="C1795" s="14" t="n">
        <v>16</v>
      </c>
      <c r="D1795" s="14">
        <f>IF(A1795&gt;LastWeek-364,1,0)</f>
        <v/>
      </c>
      <c r="E1795" s="14">
        <f>C1795^2*D1795</f>
        <v/>
      </c>
    </row>
    <row r="1796">
      <c r="A1796" s="26" t="n">
        <v>45474</v>
      </c>
      <c r="B1796" s="14" t="inlineStr">
        <is>
          <t>NB-0018</t>
        </is>
      </c>
      <c r="C1796" s="14" t="n">
        <v>22</v>
      </c>
      <c r="D1796" s="14">
        <f>IF(A1796&gt;LastWeek-364,1,0)</f>
        <v/>
      </c>
      <c r="E1796" s="14">
        <f>C1796^2*D1796</f>
        <v/>
      </c>
    </row>
    <row r="1797">
      <c r="A1797" s="26" t="n">
        <v>45481</v>
      </c>
      <c r="B1797" s="14" t="inlineStr">
        <is>
          <t>NB-0018</t>
        </is>
      </c>
      <c r="C1797" s="14" t="n">
        <v>19</v>
      </c>
      <c r="D1797" s="14">
        <f>IF(A1797&gt;LastWeek-364,1,0)</f>
        <v/>
      </c>
      <c r="E1797" s="14">
        <f>C1797^2*D1797</f>
        <v/>
      </c>
    </row>
    <row r="1798">
      <c r="A1798" s="26" t="n">
        <v>45488</v>
      </c>
      <c r="B1798" s="14" t="inlineStr">
        <is>
          <t>NB-0018</t>
        </is>
      </c>
      <c r="C1798" s="14" t="n">
        <v>17</v>
      </c>
      <c r="D1798" s="14">
        <f>IF(A1798&gt;LastWeek-364,1,0)</f>
        <v/>
      </c>
      <c r="E1798" s="14">
        <f>C1798^2*D1798</f>
        <v/>
      </c>
    </row>
    <row r="1799">
      <c r="A1799" s="26" t="n">
        <v>45495</v>
      </c>
      <c r="B1799" s="14" t="inlineStr">
        <is>
          <t>NB-0018</t>
        </is>
      </c>
      <c r="C1799" s="14" t="n">
        <v>35</v>
      </c>
      <c r="D1799" s="14">
        <f>IF(A1799&gt;LastWeek-364,1,0)</f>
        <v/>
      </c>
      <c r="E1799" s="14">
        <f>C1799^2*D1799</f>
        <v/>
      </c>
    </row>
    <row r="1800">
      <c r="A1800" s="26" t="n">
        <v>45502</v>
      </c>
      <c r="B1800" s="14" t="inlineStr">
        <is>
          <t>NB-0018</t>
        </is>
      </c>
      <c r="C1800" s="14" t="n">
        <v>27</v>
      </c>
      <c r="D1800" s="14">
        <f>IF(A1800&gt;LastWeek-364,1,0)</f>
        <v/>
      </c>
      <c r="E1800" s="14">
        <f>C1800^2*D1800</f>
        <v/>
      </c>
    </row>
    <row r="1801">
      <c r="A1801" s="26" t="n">
        <v>45509</v>
      </c>
      <c r="B1801" s="14" t="inlineStr">
        <is>
          <t>NB-0018</t>
        </is>
      </c>
      <c r="C1801" s="14" t="n">
        <v>27</v>
      </c>
      <c r="D1801" s="14">
        <f>IF(A1801&gt;LastWeek-364,1,0)</f>
        <v/>
      </c>
      <c r="E1801" s="14">
        <f>C1801^2*D1801</f>
        <v/>
      </c>
    </row>
    <row r="1802">
      <c r="A1802" s="26" t="n">
        <v>45516</v>
      </c>
      <c r="B1802" s="14" t="inlineStr">
        <is>
          <t>NB-0018</t>
        </is>
      </c>
      <c r="C1802" s="14" t="n">
        <v>24</v>
      </c>
      <c r="D1802" s="14">
        <f>IF(A1802&gt;LastWeek-364,1,0)</f>
        <v/>
      </c>
      <c r="E1802" s="14">
        <f>C1802^2*D1802</f>
        <v/>
      </c>
    </row>
    <row r="1803">
      <c r="A1803" s="26" t="n">
        <v>45523</v>
      </c>
      <c r="B1803" s="14" t="inlineStr">
        <is>
          <t>NB-0018</t>
        </is>
      </c>
      <c r="C1803" s="14" t="n">
        <v>24</v>
      </c>
      <c r="D1803" s="14">
        <f>IF(A1803&gt;LastWeek-364,1,0)</f>
        <v/>
      </c>
      <c r="E1803" s="14">
        <f>C1803^2*D1803</f>
        <v/>
      </c>
    </row>
    <row r="1804">
      <c r="A1804" s="26" t="n">
        <v>45530</v>
      </c>
      <c r="B1804" s="14" t="inlineStr">
        <is>
          <t>NB-0018</t>
        </is>
      </c>
      <c r="C1804" s="14" t="n">
        <v>31</v>
      </c>
      <c r="D1804" s="14">
        <f>IF(A1804&gt;LastWeek-364,1,0)</f>
        <v/>
      </c>
      <c r="E1804" s="14">
        <f>C1804^2*D1804</f>
        <v/>
      </c>
    </row>
    <row r="1805">
      <c r="A1805" s="26" t="n">
        <v>45537</v>
      </c>
      <c r="B1805" s="14" t="inlineStr">
        <is>
          <t>NB-0018</t>
        </is>
      </c>
      <c r="C1805" s="14" t="n">
        <v>25</v>
      </c>
      <c r="D1805" s="14">
        <f>IF(A1805&gt;LastWeek-364,1,0)</f>
        <v/>
      </c>
      <c r="E1805" s="14">
        <f>C1805^2*D1805</f>
        <v/>
      </c>
    </row>
    <row r="1806">
      <c r="A1806" s="26" t="n">
        <v>45544</v>
      </c>
      <c r="B1806" s="14" t="inlineStr">
        <is>
          <t>NB-0018</t>
        </is>
      </c>
      <c r="C1806" s="14" t="n">
        <v>28</v>
      </c>
      <c r="D1806" s="14">
        <f>IF(A1806&gt;LastWeek-364,1,0)</f>
        <v/>
      </c>
      <c r="E1806" s="14">
        <f>C1806^2*D1806</f>
        <v/>
      </c>
    </row>
    <row r="1807">
      <c r="A1807" s="26" t="n">
        <v>45551</v>
      </c>
      <c r="B1807" s="14" t="inlineStr">
        <is>
          <t>NB-0018</t>
        </is>
      </c>
      <c r="C1807" s="14" t="n">
        <v>25</v>
      </c>
      <c r="D1807" s="14">
        <f>IF(A1807&gt;LastWeek-364,1,0)</f>
        <v/>
      </c>
      <c r="E1807" s="14">
        <f>C1807^2*D1807</f>
        <v/>
      </c>
    </row>
    <row r="1808">
      <c r="A1808" s="26" t="n">
        <v>45558</v>
      </c>
      <c r="B1808" s="14" t="inlineStr">
        <is>
          <t>NB-0018</t>
        </is>
      </c>
      <c r="C1808" s="14" t="n">
        <v>24</v>
      </c>
      <c r="D1808" s="14">
        <f>IF(A1808&gt;LastWeek-364,1,0)</f>
        <v/>
      </c>
      <c r="E1808" s="14">
        <f>C1808^2*D1808</f>
        <v/>
      </c>
    </row>
    <row r="1809">
      <c r="A1809" s="26" t="n">
        <v>45565</v>
      </c>
      <c r="B1809" s="14" t="inlineStr">
        <is>
          <t>NB-0018</t>
        </is>
      </c>
      <c r="C1809" s="14" t="n">
        <v>18</v>
      </c>
      <c r="D1809" s="14">
        <f>IF(A1809&gt;LastWeek-364,1,0)</f>
        <v/>
      </c>
      <c r="E1809" s="14">
        <f>C1809^2*D1809</f>
        <v/>
      </c>
    </row>
    <row r="1810">
      <c r="A1810" s="26" t="n">
        <v>45572</v>
      </c>
      <c r="B1810" s="14" t="inlineStr">
        <is>
          <t>NB-0018</t>
        </is>
      </c>
      <c r="C1810" s="14" t="n">
        <v>15</v>
      </c>
      <c r="D1810" s="14">
        <f>IF(A1810&gt;LastWeek-364,1,0)</f>
        <v/>
      </c>
      <c r="E1810" s="14">
        <f>C1810^2*D1810</f>
        <v/>
      </c>
    </row>
    <row r="1811">
      <c r="A1811" s="26" t="n">
        <v>45579</v>
      </c>
      <c r="B1811" s="14" t="inlineStr">
        <is>
          <t>NB-0018</t>
        </is>
      </c>
      <c r="C1811" s="14" t="n">
        <v>24</v>
      </c>
      <c r="D1811" s="14">
        <f>IF(A1811&gt;LastWeek-364,1,0)</f>
        <v/>
      </c>
      <c r="E1811" s="14">
        <f>C1811^2*D1811</f>
        <v/>
      </c>
    </row>
    <row r="1812">
      <c r="A1812" s="26" t="n">
        <v>45586</v>
      </c>
      <c r="B1812" s="14" t="inlineStr">
        <is>
          <t>NB-0018</t>
        </is>
      </c>
      <c r="C1812" s="14" t="n">
        <v>26</v>
      </c>
      <c r="D1812" s="14">
        <f>IF(A1812&gt;LastWeek-364,1,0)</f>
        <v/>
      </c>
      <c r="E1812" s="14">
        <f>C1812^2*D1812</f>
        <v/>
      </c>
    </row>
    <row r="1813">
      <c r="A1813" s="26" t="n">
        <v>45593</v>
      </c>
      <c r="B1813" s="14" t="inlineStr">
        <is>
          <t>NB-0018</t>
        </is>
      </c>
      <c r="C1813" s="14" t="n">
        <v>19</v>
      </c>
      <c r="D1813" s="14">
        <f>IF(A1813&gt;LastWeek-364,1,0)</f>
        <v/>
      </c>
      <c r="E1813" s="14">
        <f>C1813^2*D1813</f>
        <v/>
      </c>
    </row>
    <row r="1814">
      <c r="A1814" s="26" t="n">
        <v>45600</v>
      </c>
      <c r="B1814" s="14" t="inlineStr">
        <is>
          <t>NB-0018</t>
        </is>
      </c>
      <c r="C1814" s="14" t="n">
        <v>26</v>
      </c>
      <c r="D1814" s="14">
        <f>IF(A1814&gt;LastWeek-364,1,0)</f>
        <v/>
      </c>
      <c r="E1814" s="14">
        <f>C1814^2*D1814</f>
        <v/>
      </c>
    </row>
    <row r="1815">
      <c r="A1815" s="26" t="n">
        <v>45607</v>
      </c>
      <c r="B1815" s="14" t="inlineStr">
        <is>
          <t>NB-0018</t>
        </is>
      </c>
      <c r="C1815" s="14" t="n">
        <v>26</v>
      </c>
      <c r="D1815" s="14">
        <f>IF(A1815&gt;LastWeek-364,1,0)</f>
        <v/>
      </c>
      <c r="E1815" s="14">
        <f>C1815^2*D1815</f>
        <v/>
      </c>
    </row>
    <row r="1816">
      <c r="A1816" s="26" t="n">
        <v>45614</v>
      </c>
      <c r="B1816" s="14" t="inlineStr">
        <is>
          <t>NB-0018</t>
        </is>
      </c>
      <c r="C1816" s="14" t="n">
        <v>14</v>
      </c>
      <c r="D1816" s="14">
        <f>IF(A1816&gt;LastWeek-364,1,0)</f>
        <v/>
      </c>
      <c r="E1816" s="14">
        <f>C1816^2*D1816</f>
        <v/>
      </c>
    </row>
    <row r="1817">
      <c r="A1817" s="26" t="n">
        <v>45621</v>
      </c>
      <c r="B1817" s="14" t="inlineStr">
        <is>
          <t>NB-0018</t>
        </is>
      </c>
      <c r="C1817" s="14" t="n">
        <v>21</v>
      </c>
      <c r="D1817" s="14">
        <f>IF(A1817&gt;LastWeek-364,1,0)</f>
        <v/>
      </c>
      <c r="E1817" s="14">
        <f>C1817^2*D1817</f>
        <v/>
      </c>
    </row>
    <row r="1818">
      <c r="A1818" s="26" t="n">
        <v>45628</v>
      </c>
      <c r="B1818" s="14" t="inlineStr">
        <is>
          <t>NB-0018</t>
        </is>
      </c>
      <c r="C1818" s="14" t="n">
        <v>29</v>
      </c>
      <c r="D1818" s="14">
        <f>IF(A1818&gt;LastWeek-364,1,0)</f>
        <v/>
      </c>
      <c r="E1818" s="14">
        <f>C1818^2*D1818</f>
        <v/>
      </c>
    </row>
    <row r="1819">
      <c r="A1819" s="26" t="n">
        <v>45635</v>
      </c>
      <c r="B1819" s="14" t="inlineStr">
        <is>
          <t>NB-0018</t>
        </is>
      </c>
      <c r="C1819" s="14" t="n">
        <v>28</v>
      </c>
      <c r="D1819" s="14">
        <f>IF(A1819&gt;LastWeek-364,1,0)</f>
        <v/>
      </c>
      <c r="E1819" s="14">
        <f>C1819^2*D1819</f>
        <v/>
      </c>
    </row>
    <row r="1820">
      <c r="A1820" s="26" t="n">
        <v>45642</v>
      </c>
      <c r="B1820" s="14" t="inlineStr">
        <is>
          <t>NB-0018</t>
        </is>
      </c>
      <c r="C1820" s="14" t="n">
        <v>20</v>
      </c>
      <c r="D1820" s="14">
        <f>IF(A1820&gt;LastWeek-364,1,0)</f>
        <v/>
      </c>
      <c r="E1820" s="14">
        <f>C1820^2*D1820</f>
        <v/>
      </c>
    </row>
    <row r="1821">
      <c r="A1821" s="26" t="n">
        <v>45649</v>
      </c>
      <c r="B1821" s="14" t="inlineStr">
        <is>
          <t>NB-0018</t>
        </is>
      </c>
      <c r="C1821" s="14" t="n">
        <v>27</v>
      </c>
      <c r="D1821" s="14">
        <f>IF(A1821&gt;LastWeek-364,1,0)</f>
        <v/>
      </c>
      <c r="E1821" s="14">
        <f>C1821^2*D1821</f>
        <v/>
      </c>
    </row>
    <row r="1822">
      <c r="A1822" s="26" t="n">
        <v>45656</v>
      </c>
      <c r="B1822" s="14" t="inlineStr">
        <is>
          <t>NB-0018</t>
        </is>
      </c>
      <c r="C1822" s="14" t="n">
        <v>32</v>
      </c>
      <c r="D1822" s="14">
        <f>IF(A1822&gt;LastWeek-364,1,0)</f>
        <v/>
      </c>
      <c r="E1822" s="14">
        <f>C1822^2*D1822</f>
        <v/>
      </c>
    </row>
    <row r="1823">
      <c r="A1823" s="26" t="n">
        <v>45663</v>
      </c>
      <c r="B1823" s="14" t="inlineStr">
        <is>
          <t>NB-0018</t>
        </is>
      </c>
      <c r="C1823" s="14" t="n">
        <v>31</v>
      </c>
      <c r="D1823" s="14">
        <f>IF(A1823&gt;LastWeek-364,1,0)</f>
        <v/>
      </c>
      <c r="E1823" s="14">
        <f>C1823^2*D1823</f>
        <v/>
      </c>
    </row>
    <row r="1824">
      <c r="A1824" s="26" t="n">
        <v>45670</v>
      </c>
      <c r="B1824" s="14" t="inlineStr">
        <is>
          <t>NB-0018</t>
        </is>
      </c>
      <c r="C1824" s="14" t="n">
        <v>26</v>
      </c>
      <c r="D1824" s="14">
        <f>IF(A1824&gt;LastWeek-364,1,0)</f>
        <v/>
      </c>
      <c r="E1824" s="14">
        <f>C1824^2*D1824</f>
        <v/>
      </c>
    </row>
    <row r="1825">
      <c r="A1825" s="26" t="n">
        <v>45677</v>
      </c>
      <c r="B1825" s="14" t="inlineStr">
        <is>
          <t>NB-0018</t>
        </is>
      </c>
      <c r="C1825" s="14" t="n">
        <v>24</v>
      </c>
      <c r="D1825" s="14">
        <f>IF(A1825&gt;LastWeek-364,1,0)</f>
        <v/>
      </c>
      <c r="E1825" s="14">
        <f>C1825^2*D1825</f>
        <v/>
      </c>
    </row>
    <row r="1826">
      <c r="A1826" s="26" t="n">
        <v>45684</v>
      </c>
      <c r="B1826" s="14" t="inlineStr">
        <is>
          <t>NB-0018</t>
        </is>
      </c>
      <c r="C1826" s="14" t="n">
        <v>23</v>
      </c>
      <c r="D1826" s="14">
        <f>IF(A1826&gt;LastWeek-364,1,0)</f>
        <v/>
      </c>
      <c r="E1826" s="14">
        <f>C1826^2*D1826</f>
        <v/>
      </c>
    </row>
    <row r="1827">
      <c r="A1827" s="26" t="n">
        <v>45691</v>
      </c>
      <c r="B1827" s="14" t="inlineStr">
        <is>
          <t>NB-0018</t>
        </is>
      </c>
      <c r="C1827" s="14" t="n">
        <v>29</v>
      </c>
      <c r="D1827" s="14">
        <f>IF(A1827&gt;LastWeek-364,1,0)</f>
        <v/>
      </c>
      <c r="E1827" s="14">
        <f>C1827^2*D1827</f>
        <v/>
      </c>
    </row>
    <row r="1828">
      <c r="A1828" s="26" t="n">
        <v>45698</v>
      </c>
      <c r="B1828" s="14" t="inlineStr">
        <is>
          <t>NB-0018</t>
        </is>
      </c>
      <c r="C1828" s="14" t="n">
        <v>27</v>
      </c>
      <c r="D1828" s="14">
        <f>IF(A1828&gt;LastWeek-364,1,0)</f>
        <v/>
      </c>
      <c r="E1828" s="14">
        <f>C1828^2*D1828</f>
        <v/>
      </c>
    </row>
    <row r="1829">
      <c r="A1829" s="26" t="n">
        <v>45705</v>
      </c>
      <c r="B1829" s="14" t="inlineStr">
        <is>
          <t>NB-0018</t>
        </is>
      </c>
      <c r="C1829" s="14" t="n">
        <v>29</v>
      </c>
      <c r="D1829" s="14">
        <f>IF(A1829&gt;LastWeek-364,1,0)</f>
        <v/>
      </c>
      <c r="E1829" s="14">
        <f>C1829^2*D1829</f>
        <v/>
      </c>
    </row>
    <row r="1830">
      <c r="A1830" s="26" t="n">
        <v>45712</v>
      </c>
      <c r="B1830" s="14" t="inlineStr">
        <is>
          <t>NB-0018</t>
        </is>
      </c>
      <c r="C1830" s="14" t="n">
        <v>26</v>
      </c>
      <c r="D1830" s="14">
        <f>IF(A1830&gt;LastWeek-364,1,0)</f>
        <v/>
      </c>
      <c r="E1830" s="14">
        <f>C1830^2*D1830</f>
        <v/>
      </c>
    </row>
    <row r="1831">
      <c r="A1831" s="26" t="n">
        <v>45719</v>
      </c>
      <c r="B1831" s="14" t="inlineStr">
        <is>
          <t>NB-0018</t>
        </is>
      </c>
      <c r="C1831" s="14" t="n">
        <v>30</v>
      </c>
      <c r="D1831" s="14">
        <f>IF(A1831&gt;LastWeek-364,1,0)</f>
        <v/>
      </c>
      <c r="E1831" s="14">
        <f>C1831^2*D1831</f>
        <v/>
      </c>
    </row>
    <row r="1832">
      <c r="A1832" s="26" t="n">
        <v>45726</v>
      </c>
      <c r="B1832" s="14" t="inlineStr">
        <is>
          <t>NB-0018</t>
        </is>
      </c>
      <c r="C1832" s="14" t="n">
        <v>26</v>
      </c>
      <c r="D1832" s="14">
        <f>IF(A1832&gt;LastWeek-364,1,0)</f>
        <v/>
      </c>
      <c r="E1832" s="14">
        <f>C1832^2*D1832</f>
        <v/>
      </c>
    </row>
    <row r="1833">
      <c r="A1833" s="26" t="n">
        <v>45733</v>
      </c>
      <c r="B1833" s="14" t="inlineStr">
        <is>
          <t>NB-0018</t>
        </is>
      </c>
      <c r="C1833" s="14" t="n">
        <v>30</v>
      </c>
      <c r="D1833" s="14">
        <f>IF(A1833&gt;LastWeek-364,1,0)</f>
        <v/>
      </c>
      <c r="E1833" s="14">
        <f>C1833^2*D1833</f>
        <v/>
      </c>
    </row>
    <row r="1834">
      <c r="A1834" s="26" t="n">
        <v>45740</v>
      </c>
      <c r="B1834" s="14" t="inlineStr">
        <is>
          <t>NB-0018</t>
        </is>
      </c>
      <c r="C1834" s="14" t="n">
        <v>30</v>
      </c>
      <c r="D1834" s="14">
        <f>IF(A1834&gt;LastWeek-364,1,0)</f>
        <v/>
      </c>
      <c r="E1834" s="14">
        <f>C1834^2*D1834</f>
        <v/>
      </c>
    </row>
    <row r="1835">
      <c r="A1835" s="26" t="n">
        <v>45747</v>
      </c>
      <c r="B1835" s="14" t="inlineStr">
        <is>
          <t>NB-0018</t>
        </is>
      </c>
      <c r="C1835" s="14" t="n">
        <v>21</v>
      </c>
      <c r="D1835" s="14">
        <f>IF(A1835&gt;LastWeek-364,1,0)</f>
        <v/>
      </c>
      <c r="E1835" s="14">
        <f>C1835^2*D1835</f>
        <v/>
      </c>
    </row>
    <row r="1836">
      <c r="A1836" s="26" t="n">
        <v>45754</v>
      </c>
      <c r="B1836" s="14" t="inlineStr">
        <is>
          <t>NB-0018</t>
        </is>
      </c>
      <c r="C1836" s="14" t="n">
        <v>15</v>
      </c>
      <c r="D1836" s="14">
        <f>IF(A1836&gt;LastWeek-364,1,0)</f>
        <v/>
      </c>
      <c r="E1836" s="14">
        <f>C1836^2*D1836</f>
        <v/>
      </c>
    </row>
    <row r="1837">
      <c r="A1837" s="26" t="n">
        <v>45761</v>
      </c>
      <c r="B1837" s="14" t="inlineStr">
        <is>
          <t>NB-0018</t>
        </is>
      </c>
      <c r="C1837" s="14" t="n">
        <v>33</v>
      </c>
      <c r="D1837" s="14">
        <f>IF(A1837&gt;LastWeek-364,1,0)</f>
        <v/>
      </c>
      <c r="E1837" s="14">
        <f>C1837^2*D1837</f>
        <v/>
      </c>
    </row>
    <row r="1838">
      <c r="A1838" s="26" t="n">
        <v>45768</v>
      </c>
      <c r="B1838" s="14" t="inlineStr">
        <is>
          <t>NB-0018</t>
        </is>
      </c>
      <c r="C1838" s="14" t="n">
        <v>26</v>
      </c>
      <c r="D1838" s="14">
        <f>IF(A1838&gt;LastWeek-364,1,0)</f>
        <v/>
      </c>
      <c r="E1838" s="14">
        <f>C1838^2*D1838</f>
        <v/>
      </c>
    </row>
    <row r="1839">
      <c r="A1839" s="26" t="n">
        <v>45775</v>
      </c>
      <c r="B1839" s="14" t="inlineStr">
        <is>
          <t>NB-0018</t>
        </is>
      </c>
      <c r="C1839" s="14" t="n">
        <v>16</v>
      </c>
      <c r="D1839" s="14">
        <f>IF(A1839&gt;LastWeek-364,1,0)</f>
        <v/>
      </c>
      <c r="E1839" s="14">
        <f>C1839^2*D1839</f>
        <v/>
      </c>
    </row>
    <row r="1840">
      <c r="A1840" s="26" t="n">
        <v>45782</v>
      </c>
      <c r="B1840" s="14" t="inlineStr">
        <is>
          <t>NB-0018</t>
        </is>
      </c>
      <c r="C1840" s="14" t="n">
        <v>21</v>
      </c>
      <c r="D1840" s="14">
        <f>IF(A1840&gt;LastWeek-364,1,0)</f>
        <v/>
      </c>
      <c r="E1840" s="14">
        <f>C1840^2*D1840</f>
        <v/>
      </c>
    </row>
    <row r="1841">
      <c r="A1841" s="26" t="n">
        <v>45789</v>
      </c>
      <c r="B1841" s="14" t="inlineStr">
        <is>
          <t>NB-0018</t>
        </is>
      </c>
      <c r="C1841" s="14" t="n">
        <v>28</v>
      </c>
      <c r="D1841" s="14">
        <f>IF(A1841&gt;LastWeek-364,1,0)</f>
        <v/>
      </c>
      <c r="E1841" s="14">
        <f>C1841^2*D1841</f>
        <v/>
      </c>
    </row>
    <row r="1842">
      <c r="A1842" s="26" t="n">
        <v>45796</v>
      </c>
      <c r="B1842" s="14" t="inlineStr">
        <is>
          <t>NB-0018</t>
        </is>
      </c>
      <c r="C1842" s="14" t="n">
        <v>23</v>
      </c>
      <c r="D1842" s="14">
        <f>IF(A1842&gt;LastWeek-364,1,0)</f>
        <v/>
      </c>
      <c r="E1842" s="14">
        <f>C1842^2*D1842</f>
        <v/>
      </c>
    </row>
    <row r="1843">
      <c r="A1843" s="26" t="n">
        <v>45803</v>
      </c>
      <c r="B1843" s="14" t="inlineStr">
        <is>
          <t>NB-0018</t>
        </is>
      </c>
      <c r="C1843" s="14" t="n">
        <v>22</v>
      </c>
      <c r="D1843" s="14">
        <f>IF(A1843&gt;LastWeek-364,1,0)</f>
        <v/>
      </c>
      <c r="E1843" s="14">
        <f>C1843^2*D1843</f>
        <v/>
      </c>
    </row>
    <row r="1844">
      <c r="A1844" s="26" t="n">
        <v>45810</v>
      </c>
      <c r="B1844" s="14" t="inlineStr">
        <is>
          <t>NB-0018</t>
        </is>
      </c>
      <c r="C1844" s="14" t="n">
        <v>31</v>
      </c>
      <c r="D1844" s="14">
        <f>IF(A1844&gt;LastWeek-364,1,0)</f>
        <v/>
      </c>
      <c r="E1844" s="14">
        <f>C1844^2*D1844</f>
        <v/>
      </c>
    </row>
    <row r="1845">
      <c r="A1845" s="26" t="n">
        <v>45817</v>
      </c>
      <c r="B1845" s="14" t="inlineStr">
        <is>
          <t>NB-0018</t>
        </is>
      </c>
      <c r="C1845" s="14" t="n">
        <v>19</v>
      </c>
      <c r="D1845" s="14">
        <f>IF(A1845&gt;LastWeek-364,1,0)</f>
        <v/>
      </c>
      <c r="E1845" s="14">
        <f>C1845^2*D1845</f>
        <v/>
      </c>
    </row>
    <row r="1846">
      <c r="A1846" s="26" t="n">
        <v>45824</v>
      </c>
      <c r="B1846" s="14" t="inlineStr">
        <is>
          <t>NB-0018</t>
        </is>
      </c>
      <c r="C1846" s="14" t="n">
        <v>20</v>
      </c>
      <c r="D1846" s="14">
        <f>IF(A1846&gt;LastWeek-364,1,0)</f>
        <v/>
      </c>
      <c r="E1846" s="14">
        <f>C1846^2*D1846</f>
        <v/>
      </c>
    </row>
    <row r="1847">
      <c r="A1847" s="26" t="n">
        <v>45831</v>
      </c>
      <c r="B1847" s="14" t="inlineStr">
        <is>
          <t>NB-0018</t>
        </is>
      </c>
      <c r="C1847" s="14" t="n">
        <v>25</v>
      </c>
      <c r="D1847" s="14">
        <f>IF(A1847&gt;LastWeek-364,1,0)</f>
        <v/>
      </c>
      <c r="E1847" s="14">
        <f>C1847^2*D1847</f>
        <v/>
      </c>
    </row>
    <row r="1848">
      <c r="A1848" s="26" t="n">
        <v>45838</v>
      </c>
      <c r="B1848" s="14" t="inlineStr">
        <is>
          <t>NB-0018</t>
        </is>
      </c>
      <c r="C1848" s="14" t="n">
        <v>26</v>
      </c>
      <c r="D1848" s="14">
        <f>IF(A1848&gt;LastWeek-364,1,0)</f>
        <v/>
      </c>
      <c r="E1848" s="14">
        <f>C1848^2*D1848</f>
        <v/>
      </c>
    </row>
    <row r="1849">
      <c r="A1849" s="26" t="n">
        <v>45845</v>
      </c>
      <c r="B1849" s="14" t="inlineStr">
        <is>
          <t>NB-0018</t>
        </is>
      </c>
      <c r="C1849" s="14" t="n">
        <v>26</v>
      </c>
      <c r="D1849" s="14">
        <f>IF(A1849&gt;LastWeek-364,1,0)</f>
        <v/>
      </c>
      <c r="E1849" s="14">
        <f>C1849^2*D1849</f>
        <v/>
      </c>
    </row>
    <row r="1850">
      <c r="A1850" s="26" t="n">
        <v>45852</v>
      </c>
      <c r="B1850" s="14" t="inlineStr">
        <is>
          <t>NB-0018</t>
        </is>
      </c>
      <c r="C1850" s="14" t="n">
        <v>28</v>
      </c>
      <c r="D1850" s="14">
        <f>IF(A1850&gt;LastWeek-364,1,0)</f>
        <v/>
      </c>
      <c r="E1850" s="14">
        <f>C1850^2*D1850</f>
        <v/>
      </c>
    </row>
    <row r="1851">
      <c r="A1851" s="26" t="n">
        <v>45859</v>
      </c>
      <c r="B1851" s="14" t="inlineStr">
        <is>
          <t>NB-0018</t>
        </is>
      </c>
      <c r="C1851" s="14" t="n">
        <v>25</v>
      </c>
      <c r="D1851" s="14">
        <f>IF(A1851&gt;LastWeek-364,1,0)</f>
        <v/>
      </c>
      <c r="E1851" s="14">
        <f>C1851^2*D1851</f>
        <v/>
      </c>
    </row>
    <row r="1852">
      <c r="A1852" s="26" t="n">
        <v>45866</v>
      </c>
      <c r="B1852" s="14" t="inlineStr">
        <is>
          <t>NB-0018</t>
        </is>
      </c>
      <c r="C1852" s="14" t="n">
        <v>26</v>
      </c>
      <c r="D1852" s="14">
        <f>IF(A1852&gt;LastWeek-364,1,0)</f>
        <v/>
      </c>
      <c r="E1852" s="14">
        <f>C1852^2*D1852</f>
        <v/>
      </c>
    </row>
    <row r="1853">
      <c r="A1853" s="26" t="n">
        <v>45873</v>
      </c>
      <c r="B1853" s="14" t="inlineStr">
        <is>
          <t>NB-0018</t>
        </is>
      </c>
      <c r="C1853" s="14" t="n">
        <v>23</v>
      </c>
      <c r="D1853" s="14">
        <f>IF(A1853&gt;LastWeek-364,1,0)</f>
        <v/>
      </c>
      <c r="E1853" s="14">
        <f>C1853^2*D1853</f>
        <v/>
      </c>
    </row>
    <row r="1854">
      <c r="A1854" s="26" t="n">
        <v>45880</v>
      </c>
      <c r="B1854" s="14" t="inlineStr">
        <is>
          <t>NB-0018</t>
        </is>
      </c>
      <c r="C1854" s="14" t="n">
        <v>24</v>
      </c>
      <c r="D1854" s="14">
        <f>IF(A1854&gt;LastWeek-364,1,0)</f>
        <v/>
      </c>
      <c r="E1854" s="14">
        <f>C1854^2*D1854</f>
        <v/>
      </c>
    </row>
    <row r="1855">
      <c r="A1855" s="26" t="n">
        <v>45887</v>
      </c>
      <c r="B1855" s="14" t="inlineStr">
        <is>
          <t>NB-0018</t>
        </is>
      </c>
      <c r="C1855" s="14" t="n">
        <v>24</v>
      </c>
      <c r="D1855" s="14">
        <f>IF(A1855&gt;LastWeek-364,1,0)</f>
        <v/>
      </c>
      <c r="E1855" s="14">
        <f>C1855^2*D1855</f>
        <v/>
      </c>
    </row>
    <row r="1856">
      <c r="A1856" s="26" t="n">
        <v>45894</v>
      </c>
      <c r="B1856" s="14" t="inlineStr">
        <is>
          <t>NB-0018</t>
        </is>
      </c>
      <c r="C1856" s="14" t="n">
        <v>25</v>
      </c>
      <c r="D1856" s="14">
        <f>IF(A1856&gt;LastWeek-364,1,0)</f>
        <v/>
      </c>
      <c r="E1856" s="14">
        <f>C1856^2*D1856</f>
        <v/>
      </c>
    </row>
    <row r="1857">
      <c r="A1857" s="26" t="n">
        <v>45901</v>
      </c>
      <c r="B1857" s="14" t="inlineStr">
        <is>
          <t>NB-0018</t>
        </is>
      </c>
      <c r="C1857" s="14" t="n">
        <v>28</v>
      </c>
      <c r="D1857" s="14">
        <f>IF(A1857&gt;LastWeek-364,1,0)</f>
        <v/>
      </c>
      <c r="E1857" s="14">
        <f>C1857^2*D1857</f>
        <v/>
      </c>
    </row>
    <row r="1858">
      <c r="A1858" s="26" t="n">
        <v>45908</v>
      </c>
      <c r="B1858" s="14" t="inlineStr">
        <is>
          <t>NB-0018</t>
        </is>
      </c>
      <c r="C1858" s="14" t="n">
        <v>27</v>
      </c>
      <c r="D1858" s="14">
        <f>IF(A1858&gt;LastWeek-364,1,0)</f>
        <v/>
      </c>
      <c r="E1858" s="14">
        <f>C1858^2*D1858</f>
        <v/>
      </c>
    </row>
    <row r="1859">
      <c r="A1859" s="26" t="n">
        <v>45915</v>
      </c>
      <c r="B1859" s="14" t="inlineStr">
        <is>
          <t>NB-0018</t>
        </is>
      </c>
      <c r="C1859" s="14" t="n">
        <v>24</v>
      </c>
      <c r="D1859" s="14">
        <f>IF(A1859&gt;LastWeek-364,1,0)</f>
        <v/>
      </c>
      <c r="E1859" s="14">
        <f>C1859^2*D1859</f>
        <v/>
      </c>
    </row>
    <row r="1860">
      <c r="A1860" s="26" t="n">
        <v>45922</v>
      </c>
      <c r="B1860" s="14" t="inlineStr">
        <is>
          <t>NB-0018</t>
        </is>
      </c>
      <c r="C1860" s="14" t="n">
        <v>20</v>
      </c>
      <c r="D1860" s="14">
        <f>IF(A1860&gt;LastWeek-364,1,0)</f>
        <v/>
      </c>
      <c r="E1860" s="14">
        <f>C1860^2*D1860</f>
        <v/>
      </c>
    </row>
    <row r="1861">
      <c r="A1861" s="26" t="n">
        <v>45929</v>
      </c>
      <c r="B1861" s="14" t="inlineStr">
        <is>
          <t>NB-0018</t>
        </is>
      </c>
      <c r="C1861" s="14" t="n">
        <v>25</v>
      </c>
      <c r="D1861" s="14">
        <f>IF(A1861&gt;LastWeek-364,1,0)</f>
        <v/>
      </c>
      <c r="E1861" s="14">
        <f>C1861^2*D1861</f>
        <v/>
      </c>
    </row>
    <row r="1862">
      <c r="A1862" s="26" t="n">
        <v>45936</v>
      </c>
      <c r="B1862" s="14" t="inlineStr">
        <is>
          <t>NB-0018</t>
        </is>
      </c>
      <c r="C1862" s="14" t="n">
        <v>24</v>
      </c>
      <c r="D1862" s="14">
        <f>IF(A1862&gt;LastWeek-364,1,0)</f>
        <v/>
      </c>
      <c r="E1862" s="14">
        <f>C1862^2*D1862</f>
        <v/>
      </c>
    </row>
    <row r="1863">
      <c r="A1863" s="26" t="n">
        <v>45943</v>
      </c>
      <c r="B1863" s="14" t="inlineStr">
        <is>
          <t>NB-0018</t>
        </is>
      </c>
      <c r="C1863" s="14" t="n">
        <v>25</v>
      </c>
      <c r="D1863" s="14">
        <f>IF(A1863&gt;LastWeek-364,1,0)</f>
        <v/>
      </c>
      <c r="E1863" s="14">
        <f>C1863^2*D1863</f>
        <v/>
      </c>
    </row>
    <row r="1864">
      <c r="A1864" s="26" t="n">
        <v>45950</v>
      </c>
      <c r="B1864" s="14" t="inlineStr">
        <is>
          <t>NB-0018</t>
        </is>
      </c>
      <c r="C1864" s="14" t="n">
        <v>36</v>
      </c>
      <c r="D1864" s="14">
        <f>IF(A1864&gt;LastWeek-364,1,0)</f>
        <v/>
      </c>
      <c r="E1864" s="14">
        <f>C1864^2*D1864</f>
        <v/>
      </c>
    </row>
    <row r="1865">
      <c r="A1865" s="26" t="n">
        <v>45957</v>
      </c>
      <c r="B1865" s="14" t="inlineStr">
        <is>
          <t>NB-0018</t>
        </is>
      </c>
      <c r="C1865" s="14" t="n">
        <v>22</v>
      </c>
      <c r="D1865" s="14">
        <f>IF(A1865&gt;LastWeek-364,1,0)</f>
        <v/>
      </c>
      <c r="E1865" s="14">
        <f>C1865^2*D1865</f>
        <v/>
      </c>
    </row>
    <row r="1866">
      <c r="A1866" s="26" t="n">
        <v>45964</v>
      </c>
      <c r="B1866" s="14" t="inlineStr">
        <is>
          <t>NB-0018</t>
        </is>
      </c>
      <c r="C1866" s="14" t="n">
        <v>27</v>
      </c>
      <c r="D1866" s="14">
        <f>IF(A1866&gt;LastWeek-364,1,0)</f>
        <v/>
      </c>
      <c r="E1866" s="14">
        <f>C1866^2*D1866</f>
        <v/>
      </c>
    </row>
    <row r="1867">
      <c r="A1867" s="26" t="n">
        <v>45971</v>
      </c>
      <c r="B1867" s="14" t="inlineStr">
        <is>
          <t>NB-0018</t>
        </is>
      </c>
      <c r="C1867" s="14" t="n">
        <v>30</v>
      </c>
      <c r="D1867" s="14">
        <f>IF(A1867&gt;LastWeek-364,1,0)</f>
        <v/>
      </c>
      <c r="E1867" s="14">
        <f>C1867^2*D1867</f>
        <v/>
      </c>
    </row>
    <row r="1868">
      <c r="A1868" s="26" t="n">
        <v>45978</v>
      </c>
      <c r="B1868" s="14" t="inlineStr">
        <is>
          <t>NB-0018</t>
        </is>
      </c>
      <c r="C1868" s="14" t="n">
        <v>25</v>
      </c>
      <c r="D1868" s="14">
        <f>IF(A1868&gt;LastWeek-364,1,0)</f>
        <v/>
      </c>
      <c r="E1868" s="14">
        <f>C1868^2*D1868</f>
        <v/>
      </c>
    </row>
    <row r="1869">
      <c r="A1869" s="26" t="n">
        <v>45985</v>
      </c>
      <c r="B1869" s="14" t="inlineStr">
        <is>
          <t>NB-0018</t>
        </is>
      </c>
      <c r="C1869" s="14" t="n">
        <v>37</v>
      </c>
      <c r="D1869" s="14">
        <f>IF(A1869&gt;LastWeek-364,1,0)</f>
        <v/>
      </c>
      <c r="E1869" s="14">
        <f>C1869^2*D1869</f>
        <v/>
      </c>
    </row>
    <row r="1870">
      <c r="A1870" s="26" t="n">
        <v>45992</v>
      </c>
      <c r="B1870" s="14" t="inlineStr">
        <is>
          <t>NB-0018</t>
        </is>
      </c>
      <c r="C1870" s="14" t="n">
        <v>23</v>
      </c>
      <c r="D1870" s="14">
        <f>IF(A1870&gt;LastWeek-364,1,0)</f>
        <v/>
      </c>
      <c r="E1870" s="14">
        <f>C1870^2*D1870</f>
        <v/>
      </c>
    </row>
    <row r="1871">
      <c r="A1871" s="26" t="n">
        <v>45999</v>
      </c>
      <c r="B1871" s="14" t="inlineStr">
        <is>
          <t>NB-0018</t>
        </is>
      </c>
      <c r="C1871" s="14" t="n">
        <v>26</v>
      </c>
      <c r="D1871" s="14">
        <f>IF(A1871&gt;LastWeek-364,1,0)</f>
        <v/>
      </c>
      <c r="E1871" s="14">
        <f>C1871^2*D1871</f>
        <v/>
      </c>
    </row>
    <row r="1872">
      <c r="A1872" s="26" t="n">
        <v>46006</v>
      </c>
      <c r="B1872" s="14" t="inlineStr">
        <is>
          <t>NB-0018</t>
        </is>
      </c>
      <c r="C1872" s="14" t="n">
        <v>21</v>
      </c>
      <c r="D1872" s="14">
        <f>IF(A1872&gt;LastWeek-364,1,0)</f>
        <v/>
      </c>
      <c r="E1872" s="14">
        <f>C1872^2*D1872</f>
        <v/>
      </c>
    </row>
    <row r="1873">
      <c r="A1873" s="26" t="n">
        <v>46013</v>
      </c>
      <c r="B1873" s="14" t="inlineStr">
        <is>
          <t>NB-0018</t>
        </is>
      </c>
      <c r="C1873" s="14" t="n">
        <v>23</v>
      </c>
      <c r="D1873" s="14">
        <f>IF(A1873&gt;LastWeek-364,1,0)</f>
        <v/>
      </c>
      <c r="E1873" s="14">
        <f>C1873^2*D1873</f>
        <v/>
      </c>
    </row>
    <row r="1874">
      <c r="A1874" s="26" t="n">
        <v>45292</v>
      </c>
      <c r="B1874" s="14" t="inlineStr">
        <is>
          <t>NB-0019</t>
        </is>
      </c>
      <c r="C1874" s="14" t="n">
        <v>10</v>
      </c>
      <c r="D1874" s="14">
        <f>IF(A1874&gt;LastWeek-364,1,0)</f>
        <v/>
      </c>
      <c r="E1874" s="14">
        <f>C1874^2*D1874</f>
        <v/>
      </c>
    </row>
    <row r="1875">
      <c r="A1875" s="26" t="n">
        <v>45299</v>
      </c>
      <c r="B1875" s="14" t="inlineStr">
        <is>
          <t>NB-0019</t>
        </is>
      </c>
      <c r="C1875" s="14" t="n">
        <v>11</v>
      </c>
      <c r="D1875" s="14">
        <f>IF(A1875&gt;LastWeek-364,1,0)</f>
        <v/>
      </c>
      <c r="E1875" s="14">
        <f>C1875^2*D1875</f>
        <v/>
      </c>
    </row>
    <row r="1876">
      <c r="A1876" s="26" t="n">
        <v>45306</v>
      </c>
      <c r="B1876" s="14" t="inlineStr">
        <is>
          <t>NB-0019</t>
        </is>
      </c>
      <c r="C1876" s="14" t="n">
        <v>10</v>
      </c>
      <c r="D1876" s="14">
        <f>IF(A1876&gt;LastWeek-364,1,0)</f>
        <v/>
      </c>
      <c r="E1876" s="14">
        <f>C1876^2*D1876</f>
        <v/>
      </c>
    </row>
    <row r="1877">
      <c r="A1877" s="26" t="n">
        <v>45313</v>
      </c>
      <c r="B1877" s="14" t="inlineStr">
        <is>
          <t>NB-0019</t>
        </is>
      </c>
      <c r="C1877" s="14" t="n">
        <v>12</v>
      </c>
      <c r="D1877" s="14">
        <f>IF(A1877&gt;LastWeek-364,1,0)</f>
        <v/>
      </c>
      <c r="E1877" s="14">
        <f>C1877^2*D1877</f>
        <v/>
      </c>
    </row>
    <row r="1878">
      <c r="A1878" s="26" t="n">
        <v>45320</v>
      </c>
      <c r="B1878" s="14" t="inlineStr">
        <is>
          <t>NB-0019</t>
        </is>
      </c>
      <c r="C1878" s="14" t="n">
        <v>10</v>
      </c>
      <c r="D1878" s="14">
        <f>IF(A1878&gt;LastWeek-364,1,0)</f>
        <v/>
      </c>
      <c r="E1878" s="14">
        <f>C1878^2*D1878</f>
        <v/>
      </c>
    </row>
    <row r="1879">
      <c r="A1879" s="26" t="n">
        <v>45327</v>
      </c>
      <c r="B1879" s="14" t="inlineStr">
        <is>
          <t>NB-0019</t>
        </is>
      </c>
      <c r="C1879" s="14" t="n">
        <v>9</v>
      </c>
      <c r="D1879" s="14">
        <f>IF(A1879&gt;LastWeek-364,1,0)</f>
        <v/>
      </c>
      <c r="E1879" s="14">
        <f>C1879^2*D1879</f>
        <v/>
      </c>
    </row>
    <row r="1880">
      <c r="A1880" s="26" t="n">
        <v>45334</v>
      </c>
      <c r="B1880" s="14" t="inlineStr">
        <is>
          <t>NB-0019</t>
        </is>
      </c>
      <c r="C1880" s="14" t="n">
        <v>14</v>
      </c>
      <c r="D1880" s="14">
        <f>IF(A1880&gt;LastWeek-364,1,0)</f>
        <v/>
      </c>
      <c r="E1880" s="14">
        <f>C1880^2*D1880</f>
        <v/>
      </c>
    </row>
    <row r="1881">
      <c r="A1881" s="26" t="n">
        <v>45341</v>
      </c>
      <c r="B1881" s="14" t="inlineStr">
        <is>
          <t>NB-0019</t>
        </is>
      </c>
      <c r="C1881" s="14" t="n">
        <v>10</v>
      </c>
      <c r="D1881" s="14">
        <f>IF(A1881&gt;LastWeek-364,1,0)</f>
        <v/>
      </c>
      <c r="E1881" s="14">
        <f>C1881^2*D1881</f>
        <v/>
      </c>
    </row>
    <row r="1882">
      <c r="A1882" s="26" t="n">
        <v>45348</v>
      </c>
      <c r="B1882" s="14" t="inlineStr">
        <is>
          <t>NB-0019</t>
        </is>
      </c>
      <c r="C1882" s="14" t="n">
        <v>8</v>
      </c>
      <c r="D1882" s="14">
        <f>IF(A1882&gt;LastWeek-364,1,0)</f>
        <v/>
      </c>
      <c r="E1882" s="14">
        <f>C1882^2*D1882</f>
        <v/>
      </c>
    </row>
    <row r="1883">
      <c r="A1883" s="26" t="n">
        <v>45355</v>
      </c>
      <c r="B1883" s="14" t="inlineStr">
        <is>
          <t>NB-0019</t>
        </is>
      </c>
      <c r="C1883" s="14" t="n">
        <v>8</v>
      </c>
      <c r="D1883" s="14">
        <f>IF(A1883&gt;LastWeek-364,1,0)</f>
        <v/>
      </c>
      <c r="E1883" s="14">
        <f>C1883^2*D1883</f>
        <v/>
      </c>
    </row>
    <row r="1884">
      <c r="A1884" s="26" t="n">
        <v>45362</v>
      </c>
      <c r="B1884" s="14" t="inlineStr">
        <is>
          <t>NB-0019</t>
        </is>
      </c>
      <c r="C1884" s="14" t="n">
        <v>8</v>
      </c>
      <c r="D1884" s="14">
        <f>IF(A1884&gt;LastWeek-364,1,0)</f>
        <v/>
      </c>
      <c r="E1884" s="14">
        <f>C1884^2*D1884</f>
        <v/>
      </c>
    </row>
    <row r="1885">
      <c r="A1885" s="26" t="n">
        <v>45369</v>
      </c>
      <c r="B1885" s="14" t="inlineStr">
        <is>
          <t>NB-0019</t>
        </is>
      </c>
      <c r="C1885" s="14" t="n">
        <v>11</v>
      </c>
      <c r="D1885" s="14">
        <f>IF(A1885&gt;LastWeek-364,1,0)</f>
        <v/>
      </c>
      <c r="E1885" s="14">
        <f>C1885^2*D1885</f>
        <v/>
      </c>
    </row>
    <row r="1886">
      <c r="A1886" s="26" t="n">
        <v>45376</v>
      </c>
      <c r="B1886" s="14" t="inlineStr">
        <is>
          <t>NB-0019</t>
        </is>
      </c>
      <c r="C1886" s="14" t="n">
        <v>9</v>
      </c>
      <c r="D1886" s="14">
        <f>IF(A1886&gt;LastWeek-364,1,0)</f>
        <v/>
      </c>
      <c r="E1886" s="14">
        <f>C1886^2*D1886</f>
        <v/>
      </c>
    </row>
    <row r="1887">
      <c r="A1887" s="26" t="n">
        <v>45383</v>
      </c>
      <c r="B1887" s="14" t="inlineStr">
        <is>
          <t>NB-0019</t>
        </is>
      </c>
      <c r="C1887" s="14" t="n">
        <v>10</v>
      </c>
      <c r="D1887" s="14">
        <f>IF(A1887&gt;LastWeek-364,1,0)</f>
        <v/>
      </c>
      <c r="E1887" s="14">
        <f>C1887^2*D1887</f>
        <v/>
      </c>
    </row>
    <row r="1888">
      <c r="A1888" s="26" t="n">
        <v>45390</v>
      </c>
      <c r="B1888" s="14" t="inlineStr">
        <is>
          <t>NB-0019</t>
        </is>
      </c>
      <c r="C1888" s="14" t="n">
        <v>9</v>
      </c>
      <c r="D1888" s="14">
        <f>IF(A1888&gt;LastWeek-364,1,0)</f>
        <v/>
      </c>
      <c r="E1888" s="14">
        <f>C1888^2*D1888</f>
        <v/>
      </c>
    </row>
    <row r="1889">
      <c r="A1889" s="26" t="n">
        <v>45397</v>
      </c>
      <c r="B1889" s="14" t="inlineStr">
        <is>
          <t>NB-0019</t>
        </is>
      </c>
      <c r="C1889" s="14" t="n">
        <v>10</v>
      </c>
      <c r="D1889" s="14">
        <f>IF(A1889&gt;LastWeek-364,1,0)</f>
        <v/>
      </c>
      <c r="E1889" s="14">
        <f>C1889^2*D1889</f>
        <v/>
      </c>
    </row>
    <row r="1890">
      <c r="A1890" s="26" t="n">
        <v>45404</v>
      </c>
      <c r="B1890" s="14" t="inlineStr">
        <is>
          <t>NB-0019</t>
        </is>
      </c>
      <c r="C1890" s="14" t="n">
        <v>8</v>
      </c>
      <c r="D1890" s="14">
        <f>IF(A1890&gt;LastWeek-364,1,0)</f>
        <v/>
      </c>
      <c r="E1890" s="14">
        <f>C1890^2*D1890</f>
        <v/>
      </c>
    </row>
    <row r="1891">
      <c r="A1891" s="26" t="n">
        <v>45411</v>
      </c>
      <c r="B1891" s="14" t="inlineStr">
        <is>
          <t>NB-0019</t>
        </is>
      </c>
      <c r="C1891" s="14" t="n">
        <v>7</v>
      </c>
      <c r="D1891" s="14">
        <f>IF(A1891&gt;LastWeek-364,1,0)</f>
        <v/>
      </c>
      <c r="E1891" s="14">
        <f>C1891^2*D1891</f>
        <v/>
      </c>
    </row>
    <row r="1892">
      <c r="A1892" s="26" t="n">
        <v>45418</v>
      </c>
      <c r="B1892" s="14" t="inlineStr">
        <is>
          <t>NB-0019</t>
        </is>
      </c>
      <c r="C1892" s="14" t="n">
        <v>9</v>
      </c>
      <c r="D1892" s="14">
        <f>IF(A1892&gt;LastWeek-364,1,0)</f>
        <v/>
      </c>
      <c r="E1892" s="14">
        <f>C1892^2*D1892</f>
        <v/>
      </c>
    </row>
    <row r="1893">
      <c r="A1893" s="26" t="n">
        <v>45425</v>
      </c>
      <c r="B1893" s="14" t="inlineStr">
        <is>
          <t>NB-0019</t>
        </is>
      </c>
      <c r="C1893" s="14" t="n">
        <v>10</v>
      </c>
      <c r="D1893" s="14">
        <f>IF(A1893&gt;LastWeek-364,1,0)</f>
        <v/>
      </c>
      <c r="E1893" s="14">
        <f>C1893^2*D1893</f>
        <v/>
      </c>
    </row>
    <row r="1894">
      <c r="A1894" s="26" t="n">
        <v>45432</v>
      </c>
      <c r="B1894" s="14" t="inlineStr">
        <is>
          <t>NB-0019</t>
        </is>
      </c>
      <c r="C1894" s="14" t="n">
        <v>10</v>
      </c>
      <c r="D1894" s="14">
        <f>IF(A1894&gt;LastWeek-364,1,0)</f>
        <v/>
      </c>
      <c r="E1894" s="14">
        <f>C1894^2*D1894</f>
        <v/>
      </c>
    </row>
    <row r="1895">
      <c r="A1895" s="26" t="n">
        <v>45439</v>
      </c>
      <c r="B1895" s="14" t="inlineStr">
        <is>
          <t>NB-0019</t>
        </is>
      </c>
      <c r="C1895" s="14" t="n">
        <v>8</v>
      </c>
      <c r="D1895" s="14">
        <f>IF(A1895&gt;LastWeek-364,1,0)</f>
        <v/>
      </c>
      <c r="E1895" s="14">
        <f>C1895^2*D1895</f>
        <v/>
      </c>
    </row>
    <row r="1896">
      <c r="A1896" s="26" t="n">
        <v>45446</v>
      </c>
      <c r="B1896" s="14" t="inlineStr">
        <is>
          <t>NB-0019</t>
        </is>
      </c>
      <c r="C1896" s="14" t="n">
        <v>10</v>
      </c>
      <c r="D1896" s="14">
        <f>IF(A1896&gt;LastWeek-364,1,0)</f>
        <v/>
      </c>
      <c r="E1896" s="14">
        <f>C1896^2*D1896</f>
        <v/>
      </c>
    </row>
    <row r="1897">
      <c r="A1897" s="26" t="n">
        <v>45453</v>
      </c>
      <c r="B1897" s="14" t="inlineStr">
        <is>
          <t>NB-0019</t>
        </is>
      </c>
      <c r="C1897" s="14" t="n">
        <v>8</v>
      </c>
      <c r="D1897" s="14">
        <f>IF(A1897&gt;LastWeek-364,1,0)</f>
        <v/>
      </c>
      <c r="E1897" s="14">
        <f>C1897^2*D1897</f>
        <v/>
      </c>
    </row>
    <row r="1898">
      <c r="A1898" s="26" t="n">
        <v>45460</v>
      </c>
      <c r="B1898" s="14" t="inlineStr">
        <is>
          <t>NB-0019</t>
        </is>
      </c>
      <c r="C1898" s="14" t="n">
        <v>8</v>
      </c>
      <c r="D1898" s="14">
        <f>IF(A1898&gt;LastWeek-364,1,0)</f>
        <v/>
      </c>
      <c r="E1898" s="14">
        <f>C1898^2*D1898</f>
        <v/>
      </c>
    </row>
    <row r="1899">
      <c r="A1899" s="26" t="n">
        <v>45467</v>
      </c>
      <c r="B1899" s="14" t="inlineStr">
        <is>
          <t>NB-0019</t>
        </is>
      </c>
      <c r="C1899" s="14" t="n">
        <v>7</v>
      </c>
      <c r="D1899" s="14">
        <f>IF(A1899&gt;LastWeek-364,1,0)</f>
        <v/>
      </c>
      <c r="E1899" s="14">
        <f>C1899^2*D1899</f>
        <v/>
      </c>
    </row>
    <row r="1900">
      <c r="A1900" s="26" t="n">
        <v>45474</v>
      </c>
      <c r="B1900" s="14" t="inlineStr">
        <is>
          <t>NB-0019</t>
        </is>
      </c>
      <c r="C1900" s="14" t="n">
        <v>11</v>
      </c>
      <c r="D1900" s="14">
        <f>IF(A1900&gt;LastWeek-364,1,0)</f>
        <v/>
      </c>
      <c r="E1900" s="14">
        <f>C1900^2*D1900</f>
        <v/>
      </c>
    </row>
    <row r="1901">
      <c r="A1901" s="26" t="n">
        <v>45481</v>
      </c>
      <c r="B1901" s="14" t="inlineStr">
        <is>
          <t>NB-0019</t>
        </is>
      </c>
      <c r="C1901" s="14" t="n">
        <v>10</v>
      </c>
      <c r="D1901" s="14">
        <f>IF(A1901&gt;LastWeek-364,1,0)</f>
        <v/>
      </c>
      <c r="E1901" s="14">
        <f>C1901^2*D1901</f>
        <v/>
      </c>
    </row>
    <row r="1902">
      <c r="A1902" s="26" t="n">
        <v>45488</v>
      </c>
      <c r="B1902" s="14" t="inlineStr">
        <is>
          <t>NB-0019</t>
        </is>
      </c>
      <c r="C1902" s="14" t="n">
        <v>10</v>
      </c>
      <c r="D1902" s="14">
        <f>IF(A1902&gt;LastWeek-364,1,0)</f>
        <v/>
      </c>
      <c r="E1902" s="14">
        <f>C1902^2*D1902</f>
        <v/>
      </c>
    </row>
    <row r="1903">
      <c r="A1903" s="26" t="n">
        <v>45495</v>
      </c>
      <c r="B1903" s="14" t="inlineStr">
        <is>
          <t>NB-0019</t>
        </is>
      </c>
      <c r="C1903" s="14" t="n">
        <v>11</v>
      </c>
      <c r="D1903" s="14">
        <f>IF(A1903&gt;LastWeek-364,1,0)</f>
        <v/>
      </c>
      <c r="E1903" s="14">
        <f>C1903^2*D1903</f>
        <v/>
      </c>
    </row>
    <row r="1904">
      <c r="A1904" s="26" t="n">
        <v>45502</v>
      </c>
      <c r="B1904" s="14" t="inlineStr">
        <is>
          <t>NB-0019</t>
        </is>
      </c>
      <c r="C1904" s="14" t="n">
        <v>13</v>
      </c>
      <c r="D1904" s="14">
        <f>IF(A1904&gt;LastWeek-364,1,0)</f>
        <v/>
      </c>
      <c r="E1904" s="14">
        <f>C1904^2*D1904</f>
        <v/>
      </c>
    </row>
    <row r="1905">
      <c r="A1905" s="26" t="n">
        <v>45509</v>
      </c>
      <c r="B1905" s="14" t="inlineStr">
        <is>
          <t>NB-0019</t>
        </is>
      </c>
      <c r="C1905" s="14" t="n">
        <v>6</v>
      </c>
      <c r="D1905" s="14">
        <f>IF(A1905&gt;LastWeek-364,1,0)</f>
        <v/>
      </c>
      <c r="E1905" s="14">
        <f>C1905^2*D1905</f>
        <v/>
      </c>
    </row>
    <row r="1906">
      <c r="A1906" s="26" t="n">
        <v>45516</v>
      </c>
      <c r="B1906" s="14" t="inlineStr">
        <is>
          <t>NB-0019</t>
        </is>
      </c>
      <c r="C1906" s="14" t="n">
        <v>8</v>
      </c>
      <c r="D1906" s="14">
        <f>IF(A1906&gt;LastWeek-364,1,0)</f>
        <v/>
      </c>
      <c r="E1906" s="14">
        <f>C1906^2*D1906</f>
        <v/>
      </c>
    </row>
    <row r="1907">
      <c r="A1907" s="26" t="n">
        <v>45523</v>
      </c>
      <c r="B1907" s="14" t="inlineStr">
        <is>
          <t>NB-0019</t>
        </is>
      </c>
      <c r="C1907" s="14" t="n">
        <v>8</v>
      </c>
      <c r="D1907" s="14">
        <f>IF(A1907&gt;LastWeek-364,1,0)</f>
        <v/>
      </c>
      <c r="E1907" s="14">
        <f>C1907^2*D1907</f>
        <v/>
      </c>
    </row>
    <row r="1908">
      <c r="A1908" s="26" t="n">
        <v>45530</v>
      </c>
      <c r="B1908" s="14" t="inlineStr">
        <is>
          <t>NB-0019</t>
        </is>
      </c>
      <c r="C1908" s="14" t="n">
        <v>8</v>
      </c>
      <c r="D1908" s="14">
        <f>IF(A1908&gt;LastWeek-364,1,0)</f>
        <v/>
      </c>
      <c r="E1908" s="14">
        <f>C1908^2*D1908</f>
        <v/>
      </c>
    </row>
    <row r="1909">
      <c r="A1909" s="26" t="n">
        <v>45537</v>
      </c>
      <c r="B1909" s="14" t="inlineStr">
        <is>
          <t>NB-0019</t>
        </is>
      </c>
      <c r="C1909" s="14" t="n">
        <v>7</v>
      </c>
      <c r="D1909" s="14">
        <f>IF(A1909&gt;LastWeek-364,1,0)</f>
        <v/>
      </c>
      <c r="E1909" s="14">
        <f>C1909^2*D1909</f>
        <v/>
      </c>
    </row>
    <row r="1910">
      <c r="A1910" s="26" t="n">
        <v>45544</v>
      </c>
      <c r="B1910" s="14" t="inlineStr">
        <is>
          <t>NB-0019</t>
        </is>
      </c>
      <c r="C1910" s="14" t="n">
        <v>9</v>
      </c>
      <c r="D1910" s="14">
        <f>IF(A1910&gt;LastWeek-364,1,0)</f>
        <v/>
      </c>
      <c r="E1910" s="14">
        <f>C1910^2*D1910</f>
        <v/>
      </c>
    </row>
    <row r="1911">
      <c r="A1911" s="26" t="n">
        <v>45551</v>
      </c>
      <c r="B1911" s="14" t="inlineStr">
        <is>
          <t>NB-0019</t>
        </is>
      </c>
      <c r="C1911" s="14" t="n">
        <v>7</v>
      </c>
      <c r="D1911" s="14">
        <f>IF(A1911&gt;LastWeek-364,1,0)</f>
        <v/>
      </c>
      <c r="E1911" s="14">
        <f>C1911^2*D1911</f>
        <v/>
      </c>
    </row>
    <row r="1912">
      <c r="A1912" s="26" t="n">
        <v>45558</v>
      </c>
      <c r="B1912" s="14" t="inlineStr">
        <is>
          <t>NB-0019</t>
        </is>
      </c>
      <c r="C1912" s="14" t="n">
        <v>10</v>
      </c>
      <c r="D1912" s="14">
        <f>IF(A1912&gt;LastWeek-364,1,0)</f>
        <v/>
      </c>
      <c r="E1912" s="14">
        <f>C1912^2*D1912</f>
        <v/>
      </c>
    </row>
    <row r="1913">
      <c r="A1913" s="26" t="n">
        <v>45565</v>
      </c>
      <c r="B1913" s="14" t="inlineStr">
        <is>
          <t>NB-0019</t>
        </is>
      </c>
      <c r="C1913" s="14" t="n">
        <v>10</v>
      </c>
      <c r="D1913" s="14">
        <f>IF(A1913&gt;LastWeek-364,1,0)</f>
        <v/>
      </c>
      <c r="E1913" s="14">
        <f>C1913^2*D1913</f>
        <v/>
      </c>
    </row>
    <row r="1914">
      <c r="A1914" s="26" t="n">
        <v>45572</v>
      </c>
      <c r="B1914" s="14" t="inlineStr">
        <is>
          <t>NB-0019</t>
        </is>
      </c>
      <c r="C1914" s="14" t="n">
        <v>10</v>
      </c>
      <c r="D1914" s="14">
        <f>IF(A1914&gt;LastWeek-364,1,0)</f>
        <v/>
      </c>
      <c r="E1914" s="14">
        <f>C1914^2*D1914</f>
        <v/>
      </c>
    </row>
    <row r="1915">
      <c r="A1915" s="26" t="n">
        <v>45579</v>
      </c>
      <c r="B1915" s="14" t="inlineStr">
        <is>
          <t>NB-0019</t>
        </is>
      </c>
      <c r="C1915" s="14" t="n">
        <v>10</v>
      </c>
      <c r="D1915" s="14">
        <f>IF(A1915&gt;LastWeek-364,1,0)</f>
        <v/>
      </c>
      <c r="E1915" s="14">
        <f>C1915^2*D1915</f>
        <v/>
      </c>
    </row>
    <row r="1916">
      <c r="A1916" s="26" t="n">
        <v>45586</v>
      </c>
      <c r="B1916" s="14" t="inlineStr">
        <is>
          <t>NB-0019</t>
        </is>
      </c>
      <c r="C1916" s="14" t="n">
        <v>11</v>
      </c>
      <c r="D1916" s="14">
        <f>IF(A1916&gt;LastWeek-364,1,0)</f>
        <v/>
      </c>
      <c r="E1916" s="14">
        <f>C1916^2*D1916</f>
        <v/>
      </c>
    </row>
    <row r="1917">
      <c r="A1917" s="26" t="n">
        <v>45593</v>
      </c>
      <c r="B1917" s="14" t="inlineStr">
        <is>
          <t>NB-0019</t>
        </is>
      </c>
      <c r="C1917" s="14" t="n">
        <v>9</v>
      </c>
      <c r="D1917" s="14">
        <f>IF(A1917&gt;LastWeek-364,1,0)</f>
        <v/>
      </c>
      <c r="E1917" s="14">
        <f>C1917^2*D1917</f>
        <v/>
      </c>
    </row>
    <row r="1918">
      <c r="A1918" s="26" t="n">
        <v>45600</v>
      </c>
      <c r="B1918" s="14" t="inlineStr">
        <is>
          <t>NB-0019</t>
        </is>
      </c>
      <c r="C1918" s="14" t="n">
        <v>14</v>
      </c>
      <c r="D1918" s="14">
        <f>IF(A1918&gt;LastWeek-364,1,0)</f>
        <v/>
      </c>
      <c r="E1918" s="14">
        <f>C1918^2*D1918</f>
        <v/>
      </c>
    </row>
    <row r="1919">
      <c r="A1919" s="26" t="n">
        <v>45607</v>
      </c>
      <c r="B1919" s="14" t="inlineStr">
        <is>
          <t>NB-0019</t>
        </is>
      </c>
      <c r="C1919" s="14" t="n">
        <v>10</v>
      </c>
      <c r="D1919" s="14">
        <f>IF(A1919&gt;LastWeek-364,1,0)</f>
        <v/>
      </c>
      <c r="E1919" s="14">
        <f>C1919^2*D1919</f>
        <v/>
      </c>
    </row>
    <row r="1920">
      <c r="A1920" s="26" t="n">
        <v>45614</v>
      </c>
      <c r="B1920" s="14" t="inlineStr">
        <is>
          <t>NB-0019</t>
        </is>
      </c>
      <c r="C1920" s="14" t="n">
        <v>7</v>
      </c>
      <c r="D1920" s="14">
        <f>IF(A1920&gt;LastWeek-364,1,0)</f>
        <v/>
      </c>
      <c r="E1920" s="14">
        <f>C1920^2*D1920</f>
        <v/>
      </c>
    </row>
    <row r="1921">
      <c r="A1921" s="26" t="n">
        <v>45621</v>
      </c>
      <c r="B1921" s="14" t="inlineStr">
        <is>
          <t>NB-0019</t>
        </is>
      </c>
      <c r="C1921" s="14" t="n">
        <v>8</v>
      </c>
      <c r="D1921" s="14">
        <f>IF(A1921&gt;LastWeek-364,1,0)</f>
        <v/>
      </c>
      <c r="E1921" s="14">
        <f>C1921^2*D1921</f>
        <v/>
      </c>
    </row>
    <row r="1922">
      <c r="A1922" s="26" t="n">
        <v>45628</v>
      </c>
      <c r="B1922" s="14" t="inlineStr">
        <is>
          <t>NB-0019</t>
        </is>
      </c>
      <c r="C1922" s="14" t="n">
        <v>7</v>
      </c>
      <c r="D1922" s="14">
        <f>IF(A1922&gt;LastWeek-364,1,0)</f>
        <v/>
      </c>
      <c r="E1922" s="14">
        <f>C1922^2*D1922</f>
        <v/>
      </c>
    </row>
    <row r="1923">
      <c r="A1923" s="26" t="n">
        <v>45635</v>
      </c>
      <c r="B1923" s="14" t="inlineStr">
        <is>
          <t>NB-0019</t>
        </is>
      </c>
      <c r="C1923" s="14" t="n">
        <v>10</v>
      </c>
      <c r="D1923" s="14">
        <f>IF(A1923&gt;LastWeek-364,1,0)</f>
        <v/>
      </c>
      <c r="E1923" s="14">
        <f>C1923^2*D1923</f>
        <v/>
      </c>
    </row>
    <row r="1924">
      <c r="A1924" s="26" t="n">
        <v>45642</v>
      </c>
      <c r="B1924" s="14" t="inlineStr">
        <is>
          <t>NB-0019</t>
        </is>
      </c>
      <c r="C1924" s="14" t="n">
        <v>10</v>
      </c>
      <c r="D1924" s="14">
        <f>IF(A1924&gt;LastWeek-364,1,0)</f>
        <v/>
      </c>
      <c r="E1924" s="14">
        <f>C1924^2*D1924</f>
        <v/>
      </c>
    </row>
    <row r="1925">
      <c r="A1925" s="26" t="n">
        <v>45649</v>
      </c>
      <c r="B1925" s="14" t="inlineStr">
        <is>
          <t>NB-0019</t>
        </is>
      </c>
      <c r="C1925" s="14" t="n">
        <v>9</v>
      </c>
      <c r="D1925" s="14">
        <f>IF(A1925&gt;LastWeek-364,1,0)</f>
        <v/>
      </c>
      <c r="E1925" s="14">
        <f>C1925^2*D1925</f>
        <v/>
      </c>
    </row>
    <row r="1926">
      <c r="A1926" s="26" t="n">
        <v>45656</v>
      </c>
      <c r="B1926" s="14" t="inlineStr">
        <is>
          <t>NB-0019</t>
        </is>
      </c>
      <c r="C1926" s="14" t="n">
        <v>14</v>
      </c>
      <c r="D1926" s="14">
        <f>IF(A1926&gt;LastWeek-364,1,0)</f>
        <v/>
      </c>
      <c r="E1926" s="14">
        <f>C1926^2*D1926</f>
        <v/>
      </c>
    </row>
    <row r="1927">
      <c r="A1927" s="26" t="n">
        <v>45663</v>
      </c>
      <c r="B1927" s="14" t="inlineStr">
        <is>
          <t>NB-0019</t>
        </is>
      </c>
      <c r="C1927" s="14" t="n">
        <v>11</v>
      </c>
      <c r="D1927" s="14">
        <f>IF(A1927&gt;LastWeek-364,1,0)</f>
        <v/>
      </c>
      <c r="E1927" s="14">
        <f>C1927^2*D1927</f>
        <v/>
      </c>
    </row>
    <row r="1928">
      <c r="A1928" s="26" t="n">
        <v>45670</v>
      </c>
      <c r="B1928" s="14" t="inlineStr">
        <is>
          <t>NB-0019</t>
        </is>
      </c>
      <c r="C1928" s="14" t="n">
        <v>12</v>
      </c>
      <c r="D1928" s="14">
        <f>IF(A1928&gt;LastWeek-364,1,0)</f>
        <v/>
      </c>
      <c r="E1928" s="14">
        <f>C1928^2*D1928</f>
        <v/>
      </c>
    </row>
    <row r="1929">
      <c r="A1929" s="26" t="n">
        <v>45677</v>
      </c>
      <c r="B1929" s="14" t="inlineStr">
        <is>
          <t>NB-0019</t>
        </is>
      </c>
      <c r="C1929" s="14" t="n">
        <v>9</v>
      </c>
      <c r="D1929" s="14">
        <f>IF(A1929&gt;LastWeek-364,1,0)</f>
        <v/>
      </c>
      <c r="E1929" s="14">
        <f>C1929^2*D1929</f>
        <v/>
      </c>
    </row>
    <row r="1930">
      <c r="A1930" s="26" t="n">
        <v>45684</v>
      </c>
      <c r="B1930" s="14" t="inlineStr">
        <is>
          <t>NB-0019</t>
        </is>
      </c>
      <c r="C1930" s="14" t="n">
        <v>8</v>
      </c>
      <c r="D1930" s="14">
        <f>IF(A1930&gt;LastWeek-364,1,0)</f>
        <v/>
      </c>
      <c r="E1930" s="14">
        <f>C1930^2*D1930</f>
        <v/>
      </c>
    </row>
    <row r="1931">
      <c r="A1931" s="26" t="n">
        <v>45691</v>
      </c>
      <c r="B1931" s="14" t="inlineStr">
        <is>
          <t>NB-0019</t>
        </is>
      </c>
      <c r="C1931" s="14" t="n">
        <v>10</v>
      </c>
      <c r="D1931" s="14">
        <f>IF(A1931&gt;LastWeek-364,1,0)</f>
        <v/>
      </c>
      <c r="E1931" s="14">
        <f>C1931^2*D1931</f>
        <v/>
      </c>
    </row>
    <row r="1932">
      <c r="A1932" s="26" t="n">
        <v>45698</v>
      </c>
      <c r="B1932" s="14" t="inlineStr">
        <is>
          <t>NB-0019</t>
        </is>
      </c>
      <c r="C1932" s="14" t="n">
        <v>10</v>
      </c>
      <c r="D1932" s="14">
        <f>IF(A1932&gt;LastWeek-364,1,0)</f>
        <v/>
      </c>
      <c r="E1932" s="14">
        <f>C1932^2*D1932</f>
        <v/>
      </c>
    </row>
    <row r="1933">
      <c r="A1933" s="26" t="n">
        <v>45705</v>
      </c>
      <c r="B1933" s="14" t="inlineStr">
        <is>
          <t>NB-0019</t>
        </is>
      </c>
      <c r="C1933" s="14" t="n">
        <v>7</v>
      </c>
      <c r="D1933" s="14">
        <f>IF(A1933&gt;LastWeek-364,1,0)</f>
        <v/>
      </c>
      <c r="E1933" s="14">
        <f>C1933^2*D1933</f>
        <v/>
      </c>
    </row>
    <row r="1934">
      <c r="A1934" s="26" t="n">
        <v>45712</v>
      </c>
      <c r="B1934" s="14" t="inlineStr">
        <is>
          <t>NB-0019</t>
        </is>
      </c>
      <c r="C1934" s="14" t="n">
        <v>10</v>
      </c>
      <c r="D1934" s="14">
        <f>IF(A1934&gt;LastWeek-364,1,0)</f>
        <v/>
      </c>
      <c r="E1934" s="14">
        <f>C1934^2*D1934</f>
        <v/>
      </c>
    </row>
    <row r="1935">
      <c r="A1935" s="26" t="n">
        <v>45719</v>
      </c>
      <c r="B1935" s="14" t="inlineStr">
        <is>
          <t>NB-0019</t>
        </is>
      </c>
      <c r="C1935" s="14" t="n">
        <v>10</v>
      </c>
      <c r="D1935" s="14">
        <f>IF(A1935&gt;LastWeek-364,1,0)</f>
        <v/>
      </c>
      <c r="E1935" s="14">
        <f>C1935^2*D1935</f>
        <v/>
      </c>
    </row>
    <row r="1936">
      <c r="A1936" s="26" t="n">
        <v>45726</v>
      </c>
      <c r="B1936" s="14" t="inlineStr">
        <is>
          <t>NB-0019</t>
        </is>
      </c>
      <c r="C1936" s="14" t="n">
        <v>10</v>
      </c>
      <c r="D1936" s="14">
        <f>IF(A1936&gt;LastWeek-364,1,0)</f>
        <v/>
      </c>
      <c r="E1936" s="14">
        <f>C1936^2*D1936</f>
        <v/>
      </c>
    </row>
    <row r="1937">
      <c r="A1937" s="26" t="n">
        <v>45733</v>
      </c>
      <c r="B1937" s="14" t="inlineStr">
        <is>
          <t>NB-0019</t>
        </is>
      </c>
      <c r="C1937" s="14" t="n">
        <v>8</v>
      </c>
      <c r="D1937" s="14">
        <f>IF(A1937&gt;LastWeek-364,1,0)</f>
        <v/>
      </c>
      <c r="E1937" s="14">
        <f>C1937^2*D1937</f>
        <v/>
      </c>
    </row>
    <row r="1938">
      <c r="A1938" s="26" t="n">
        <v>45740</v>
      </c>
      <c r="B1938" s="14" t="inlineStr">
        <is>
          <t>NB-0019</t>
        </is>
      </c>
      <c r="C1938" s="14" t="n">
        <v>9</v>
      </c>
      <c r="D1938" s="14">
        <f>IF(A1938&gt;LastWeek-364,1,0)</f>
        <v/>
      </c>
      <c r="E1938" s="14">
        <f>C1938^2*D1938</f>
        <v/>
      </c>
    </row>
    <row r="1939">
      <c r="A1939" s="26" t="n">
        <v>45747</v>
      </c>
      <c r="B1939" s="14" t="inlineStr">
        <is>
          <t>NB-0019</t>
        </is>
      </c>
      <c r="C1939" s="14" t="n">
        <v>9</v>
      </c>
      <c r="D1939" s="14">
        <f>IF(A1939&gt;LastWeek-364,1,0)</f>
        <v/>
      </c>
      <c r="E1939" s="14">
        <f>C1939^2*D1939</f>
        <v/>
      </c>
    </row>
    <row r="1940">
      <c r="A1940" s="26" t="n">
        <v>45754</v>
      </c>
      <c r="B1940" s="14" t="inlineStr">
        <is>
          <t>NB-0019</t>
        </is>
      </c>
      <c r="C1940" s="14" t="n">
        <v>10</v>
      </c>
      <c r="D1940" s="14">
        <f>IF(A1940&gt;LastWeek-364,1,0)</f>
        <v/>
      </c>
      <c r="E1940" s="14">
        <f>C1940^2*D1940</f>
        <v/>
      </c>
    </row>
    <row r="1941">
      <c r="A1941" s="26" t="n">
        <v>45761</v>
      </c>
      <c r="B1941" s="14" t="inlineStr">
        <is>
          <t>NB-0019</t>
        </is>
      </c>
      <c r="C1941" s="14" t="n">
        <v>11</v>
      </c>
      <c r="D1941" s="14">
        <f>IF(A1941&gt;LastWeek-364,1,0)</f>
        <v/>
      </c>
      <c r="E1941" s="14">
        <f>C1941^2*D1941</f>
        <v/>
      </c>
    </row>
    <row r="1942">
      <c r="A1942" s="26" t="n">
        <v>45768</v>
      </c>
      <c r="B1942" s="14" t="inlineStr">
        <is>
          <t>NB-0019</t>
        </is>
      </c>
      <c r="C1942" s="14" t="n">
        <v>11</v>
      </c>
      <c r="D1942" s="14">
        <f>IF(A1942&gt;LastWeek-364,1,0)</f>
        <v/>
      </c>
      <c r="E1942" s="14">
        <f>C1942^2*D1942</f>
        <v/>
      </c>
    </row>
    <row r="1943">
      <c r="A1943" s="26" t="n">
        <v>45775</v>
      </c>
      <c r="B1943" s="14" t="inlineStr">
        <is>
          <t>NB-0019</t>
        </is>
      </c>
      <c r="C1943" s="14" t="n">
        <v>9</v>
      </c>
      <c r="D1943" s="14">
        <f>IF(A1943&gt;LastWeek-364,1,0)</f>
        <v/>
      </c>
      <c r="E1943" s="14">
        <f>C1943^2*D1943</f>
        <v/>
      </c>
    </row>
    <row r="1944">
      <c r="A1944" s="26" t="n">
        <v>45782</v>
      </c>
      <c r="B1944" s="14" t="inlineStr">
        <is>
          <t>NB-0019</t>
        </is>
      </c>
      <c r="C1944" s="14" t="n">
        <v>9</v>
      </c>
      <c r="D1944" s="14">
        <f>IF(A1944&gt;LastWeek-364,1,0)</f>
        <v/>
      </c>
      <c r="E1944" s="14">
        <f>C1944^2*D1944</f>
        <v/>
      </c>
    </row>
    <row r="1945">
      <c r="A1945" s="26" t="n">
        <v>45789</v>
      </c>
      <c r="B1945" s="14" t="inlineStr">
        <is>
          <t>NB-0019</t>
        </is>
      </c>
      <c r="C1945" s="14" t="n">
        <v>10</v>
      </c>
      <c r="D1945" s="14">
        <f>IF(A1945&gt;LastWeek-364,1,0)</f>
        <v/>
      </c>
      <c r="E1945" s="14">
        <f>C1945^2*D1945</f>
        <v/>
      </c>
    </row>
    <row r="1946">
      <c r="A1946" s="26" t="n">
        <v>45796</v>
      </c>
      <c r="B1946" s="14" t="inlineStr">
        <is>
          <t>NB-0019</t>
        </is>
      </c>
      <c r="C1946" s="14" t="n">
        <v>10</v>
      </c>
      <c r="D1946" s="14">
        <f>IF(A1946&gt;LastWeek-364,1,0)</f>
        <v/>
      </c>
      <c r="E1946" s="14">
        <f>C1946^2*D1946</f>
        <v/>
      </c>
    </row>
    <row r="1947">
      <c r="A1947" s="26" t="n">
        <v>45803</v>
      </c>
      <c r="B1947" s="14" t="inlineStr">
        <is>
          <t>NB-0019</t>
        </is>
      </c>
      <c r="C1947" s="14" t="n">
        <v>9</v>
      </c>
      <c r="D1947" s="14">
        <f>IF(A1947&gt;LastWeek-364,1,0)</f>
        <v/>
      </c>
      <c r="E1947" s="14">
        <f>C1947^2*D1947</f>
        <v/>
      </c>
    </row>
    <row r="1948">
      <c r="A1948" s="26" t="n">
        <v>45810</v>
      </c>
      <c r="B1948" s="14" t="inlineStr">
        <is>
          <t>NB-0019</t>
        </is>
      </c>
      <c r="C1948" s="14" t="n">
        <v>11</v>
      </c>
      <c r="D1948" s="14">
        <f>IF(A1948&gt;LastWeek-364,1,0)</f>
        <v/>
      </c>
      <c r="E1948" s="14">
        <f>C1948^2*D1948</f>
        <v/>
      </c>
    </row>
    <row r="1949">
      <c r="A1949" s="26" t="n">
        <v>45817</v>
      </c>
      <c r="B1949" s="14" t="inlineStr">
        <is>
          <t>NB-0019</t>
        </is>
      </c>
      <c r="C1949" s="14" t="n">
        <v>11</v>
      </c>
      <c r="D1949" s="14">
        <f>IF(A1949&gt;LastWeek-364,1,0)</f>
        <v/>
      </c>
      <c r="E1949" s="14">
        <f>C1949^2*D1949</f>
        <v/>
      </c>
    </row>
    <row r="1950">
      <c r="A1950" s="26" t="n">
        <v>45824</v>
      </c>
      <c r="B1950" s="14" t="inlineStr">
        <is>
          <t>NB-0019</t>
        </is>
      </c>
      <c r="C1950" s="14" t="n">
        <v>11</v>
      </c>
      <c r="D1950" s="14">
        <f>IF(A1950&gt;LastWeek-364,1,0)</f>
        <v/>
      </c>
      <c r="E1950" s="14">
        <f>C1950^2*D1950</f>
        <v/>
      </c>
    </row>
    <row r="1951">
      <c r="A1951" s="26" t="n">
        <v>45831</v>
      </c>
      <c r="B1951" s="14" t="inlineStr">
        <is>
          <t>NB-0019</t>
        </is>
      </c>
      <c r="C1951" s="14" t="n">
        <v>12</v>
      </c>
      <c r="D1951" s="14">
        <f>IF(A1951&gt;LastWeek-364,1,0)</f>
        <v/>
      </c>
      <c r="E1951" s="14">
        <f>C1951^2*D1951</f>
        <v/>
      </c>
    </row>
    <row r="1952">
      <c r="A1952" s="26" t="n">
        <v>45838</v>
      </c>
      <c r="B1952" s="14" t="inlineStr">
        <is>
          <t>NB-0019</t>
        </is>
      </c>
      <c r="C1952" s="14" t="n">
        <v>8</v>
      </c>
      <c r="D1952" s="14">
        <f>IF(A1952&gt;LastWeek-364,1,0)</f>
        <v/>
      </c>
      <c r="E1952" s="14">
        <f>C1952^2*D1952</f>
        <v/>
      </c>
    </row>
    <row r="1953">
      <c r="A1953" s="26" t="n">
        <v>45845</v>
      </c>
      <c r="B1953" s="14" t="inlineStr">
        <is>
          <t>NB-0019</t>
        </is>
      </c>
      <c r="C1953" s="14" t="n">
        <v>9</v>
      </c>
      <c r="D1953" s="14">
        <f>IF(A1953&gt;LastWeek-364,1,0)</f>
        <v/>
      </c>
      <c r="E1953" s="14">
        <f>C1953^2*D1953</f>
        <v/>
      </c>
    </row>
    <row r="1954">
      <c r="A1954" s="26" t="n">
        <v>45852</v>
      </c>
      <c r="B1954" s="14" t="inlineStr">
        <is>
          <t>NB-0019</t>
        </is>
      </c>
      <c r="C1954" s="14" t="n">
        <v>9</v>
      </c>
      <c r="D1954" s="14">
        <f>IF(A1954&gt;LastWeek-364,1,0)</f>
        <v/>
      </c>
      <c r="E1954" s="14">
        <f>C1954^2*D1954</f>
        <v/>
      </c>
    </row>
    <row r="1955">
      <c r="A1955" s="26" t="n">
        <v>45859</v>
      </c>
      <c r="B1955" s="14" t="inlineStr">
        <is>
          <t>NB-0019</t>
        </is>
      </c>
      <c r="C1955" s="14" t="n">
        <v>9</v>
      </c>
      <c r="D1955" s="14">
        <f>IF(A1955&gt;LastWeek-364,1,0)</f>
        <v/>
      </c>
      <c r="E1955" s="14">
        <f>C1955^2*D1955</f>
        <v/>
      </c>
    </row>
    <row r="1956">
      <c r="A1956" s="26" t="n">
        <v>45866</v>
      </c>
      <c r="B1956" s="14" t="inlineStr">
        <is>
          <t>NB-0019</t>
        </is>
      </c>
      <c r="C1956" s="14" t="n">
        <v>8</v>
      </c>
      <c r="D1956" s="14">
        <f>IF(A1956&gt;LastWeek-364,1,0)</f>
        <v/>
      </c>
      <c r="E1956" s="14">
        <f>C1956^2*D1956</f>
        <v/>
      </c>
    </row>
    <row r="1957">
      <c r="A1957" s="26" t="n">
        <v>45873</v>
      </c>
      <c r="B1957" s="14" t="inlineStr">
        <is>
          <t>NB-0019</t>
        </is>
      </c>
      <c r="C1957" s="14" t="n">
        <v>7</v>
      </c>
      <c r="D1957" s="14">
        <f>IF(A1957&gt;LastWeek-364,1,0)</f>
        <v/>
      </c>
      <c r="E1957" s="14">
        <f>C1957^2*D1957</f>
        <v/>
      </c>
    </row>
    <row r="1958">
      <c r="A1958" s="26" t="n">
        <v>45880</v>
      </c>
      <c r="B1958" s="14" t="inlineStr">
        <is>
          <t>NB-0019</t>
        </is>
      </c>
      <c r="C1958" s="14" t="n">
        <v>10</v>
      </c>
      <c r="D1958" s="14">
        <f>IF(A1958&gt;LastWeek-364,1,0)</f>
        <v/>
      </c>
      <c r="E1958" s="14">
        <f>C1958^2*D1958</f>
        <v/>
      </c>
    </row>
    <row r="1959">
      <c r="A1959" s="26" t="n">
        <v>45887</v>
      </c>
      <c r="B1959" s="14" t="inlineStr">
        <is>
          <t>NB-0019</t>
        </is>
      </c>
      <c r="C1959" s="14" t="n">
        <v>8</v>
      </c>
      <c r="D1959" s="14">
        <f>IF(A1959&gt;LastWeek-364,1,0)</f>
        <v/>
      </c>
      <c r="E1959" s="14">
        <f>C1959^2*D1959</f>
        <v/>
      </c>
    </row>
    <row r="1960">
      <c r="A1960" s="26" t="n">
        <v>45894</v>
      </c>
      <c r="B1960" s="14" t="inlineStr">
        <is>
          <t>NB-0019</t>
        </is>
      </c>
      <c r="C1960" s="14" t="n">
        <v>10</v>
      </c>
      <c r="D1960" s="14">
        <f>IF(A1960&gt;LastWeek-364,1,0)</f>
        <v/>
      </c>
      <c r="E1960" s="14">
        <f>C1960^2*D1960</f>
        <v/>
      </c>
    </row>
    <row r="1961">
      <c r="A1961" s="26" t="n">
        <v>45901</v>
      </c>
      <c r="B1961" s="14" t="inlineStr">
        <is>
          <t>NB-0019</t>
        </is>
      </c>
      <c r="C1961" s="14" t="n">
        <v>8</v>
      </c>
      <c r="D1961" s="14">
        <f>IF(A1961&gt;LastWeek-364,1,0)</f>
        <v/>
      </c>
      <c r="E1961" s="14">
        <f>C1961^2*D1961</f>
        <v/>
      </c>
    </row>
    <row r="1962">
      <c r="A1962" s="26" t="n">
        <v>45908</v>
      </c>
      <c r="B1962" s="14" t="inlineStr">
        <is>
          <t>NB-0019</t>
        </is>
      </c>
      <c r="C1962" s="14" t="n">
        <v>8</v>
      </c>
      <c r="D1962" s="14">
        <f>IF(A1962&gt;LastWeek-364,1,0)</f>
        <v/>
      </c>
      <c r="E1962" s="14">
        <f>C1962^2*D1962</f>
        <v/>
      </c>
    </row>
    <row r="1963">
      <c r="A1963" s="26" t="n">
        <v>45915</v>
      </c>
      <c r="B1963" s="14" t="inlineStr">
        <is>
          <t>NB-0019</t>
        </is>
      </c>
      <c r="C1963" s="14" t="n">
        <v>10</v>
      </c>
      <c r="D1963" s="14">
        <f>IF(A1963&gt;LastWeek-364,1,0)</f>
        <v/>
      </c>
      <c r="E1963" s="14">
        <f>C1963^2*D1963</f>
        <v/>
      </c>
    </row>
    <row r="1964">
      <c r="A1964" s="26" t="n">
        <v>45922</v>
      </c>
      <c r="B1964" s="14" t="inlineStr">
        <is>
          <t>NB-0019</t>
        </is>
      </c>
      <c r="C1964" s="14" t="n">
        <v>10</v>
      </c>
      <c r="D1964" s="14">
        <f>IF(A1964&gt;LastWeek-364,1,0)</f>
        <v/>
      </c>
      <c r="E1964" s="14">
        <f>C1964^2*D1964</f>
        <v/>
      </c>
    </row>
    <row r="1965">
      <c r="A1965" s="26" t="n">
        <v>45929</v>
      </c>
      <c r="B1965" s="14" t="inlineStr">
        <is>
          <t>NB-0019</t>
        </is>
      </c>
      <c r="C1965" s="14" t="n">
        <v>11</v>
      </c>
      <c r="D1965" s="14">
        <f>IF(A1965&gt;LastWeek-364,1,0)</f>
        <v/>
      </c>
      <c r="E1965" s="14">
        <f>C1965^2*D1965</f>
        <v/>
      </c>
    </row>
    <row r="1966">
      <c r="A1966" s="26" t="n">
        <v>45936</v>
      </c>
      <c r="B1966" s="14" t="inlineStr">
        <is>
          <t>NB-0019</t>
        </is>
      </c>
      <c r="C1966" s="14" t="n">
        <v>14</v>
      </c>
      <c r="D1966" s="14">
        <f>IF(A1966&gt;LastWeek-364,1,0)</f>
        <v/>
      </c>
      <c r="E1966" s="14">
        <f>C1966^2*D1966</f>
        <v/>
      </c>
    </row>
    <row r="1967">
      <c r="A1967" s="26" t="n">
        <v>45943</v>
      </c>
      <c r="B1967" s="14" t="inlineStr">
        <is>
          <t>NB-0019</t>
        </is>
      </c>
      <c r="C1967" s="14" t="n">
        <v>11</v>
      </c>
      <c r="D1967" s="14">
        <f>IF(A1967&gt;LastWeek-364,1,0)</f>
        <v/>
      </c>
      <c r="E1967" s="14">
        <f>C1967^2*D1967</f>
        <v/>
      </c>
    </row>
    <row r="1968">
      <c r="A1968" s="26" t="n">
        <v>45950</v>
      </c>
      <c r="B1968" s="14" t="inlineStr">
        <is>
          <t>NB-0019</t>
        </is>
      </c>
      <c r="C1968" s="14" t="n">
        <v>11</v>
      </c>
      <c r="D1968" s="14">
        <f>IF(A1968&gt;LastWeek-364,1,0)</f>
        <v/>
      </c>
      <c r="E1968" s="14">
        <f>C1968^2*D1968</f>
        <v/>
      </c>
    </row>
    <row r="1969">
      <c r="A1969" s="26" t="n">
        <v>45957</v>
      </c>
      <c r="B1969" s="14" t="inlineStr">
        <is>
          <t>NB-0019</t>
        </is>
      </c>
      <c r="C1969" s="14" t="n">
        <v>8</v>
      </c>
      <c r="D1969" s="14">
        <f>IF(A1969&gt;LastWeek-364,1,0)</f>
        <v/>
      </c>
      <c r="E1969" s="14">
        <f>C1969^2*D1969</f>
        <v/>
      </c>
    </row>
    <row r="1970">
      <c r="A1970" s="26" t="n">
        <v>45964</v>
      </c>
      <c r="B1970" s="14" t="inlineStr">
        <is>
          <t>NB-0019</t>
        </is>
      </c>
      <c r="C1970" s="14" t="n">
        <v>8</v>
      </c>
      <c r="D1970" s="14">
        <f>IF(A1970&gt;LastWeek-364,1,0)</f>
        <v/>
      </c>
      <c r="E1970" s="14">
        <f>C1970^2*D1970</f>
        <v/>
      </c>
    </row>
    <row r="1971">
      <c r="A1971" s="26" t="n">
        <v>45971</v>
      </c>
      <c r="B1971" s="14" t="inlineStr">
        <is>
          <t>NB-0019</t>
        </is>
      </c>
      <c r="C1971" s="14" t="n">
        <v>13</v>
      </c>
      <c r="D1971" s="14">
        <f>IF(A1971&gt;LastWeek-364,1,0)</f>
        <v/>
      </c>
      <c r="E1971" s="14">
        <f>C1971^2*D1971</f>
        <v/>
      </c>
    </row>
    <row r="1972">
      <c r="A1972" s="26" t="n">
        <v>45978</v>
      </c>
      <c r="B1972" s="14" t="inlineStr">
        <is>
          <t>NB-0019</t>
        </is>
      </c>
      <c r="C1972" s="14" t="n">
        <v>9</v>
      </c>
      <c r="D1972" s="14">
        <f>IF(A1972&gt;LastWeek-364,1,0)</f>
        <v/>
      </c>
      <c r="E1972" s="14">
        <f>C1972^2*D1972</f>
        <v/>
      </c>
    </row>
    <row r="1973">
      <c r="A1973" s="26" t="n">
        <v>45985</v>
      </c>
      <c r="B1973" s="14" t="inlineStr">
        <is>
          <t>NB-0019</t>
        </is>
      </c>
      <c r="C1973" s="14" t="n">
        <v>8</v>
      </c>
      <c r="D1973" s="14">
        <f>IF(A1973&gt;LastWeek-364,1,0)</f>
        <v/>
      </c>
      <c r="E1973" s="14">
        <f>C1973^2*D1973</f>
        <v/>
      </c>
    </row>
    <row r="1974">
      <c r="A1974" s="26" t="n">
        <v>45992</v>
      </c>
      <c r="B1974" s="14" t="inlineStr">
        <is>
          <t>NB-0019</t>
        </is>
      </c>
      <c r="C1974" s="14" t="n">
        <v>10</v>
      </c>
      <c r="D1974" s="14">
        <f>IF(A1974&gt;LastWeek-364,1,0)</f>
        <v/>
      </c>
      <c r="E1974" s="14">
        <f>C1974^2*D1974</f>
        <v/>
      </c>
    </row>
    <row r="1975">
      <c r="A1975" s="26" t="n">
        <v>45999</v>
      </c>
      <c r="B1975" s="14" t="inlineStr">
        <is>
          <t>NB-0019</t>
        </is>
      </c>
      <c r="C1975" s="14" t="n">
        <v>10</v>
      </c>
      <c r="D1975" s="14">
        <f>IF(A1975&gt;LastWeek-364,1,0)</f>
        <v/>
      </c>
      <c r="E1975" s="14">
        <f>C1975^2*D1975</f>
        <v/>
      </c>
    </row>
    <row r="1976">
      <c r="A1976" s="26" t="n">
        <v>46006</v>
      </c>
      <c r="B1976" s="14" t="inlineStr">
        <is>
          <t>NB-0019</t>
        </is>
      </c>
      <c r="C1976" s="14" t="n">
        <v>9</v>
      </c>
      <c r="D1976" s="14">
        <f>IF(A1976&gt;LastWeek-364,1,0)</f>
        <v/>
      </c>
      <c r="E1976" s="14">
        <f>C1976^2*D1976</f>
        <v/>
      </c>
    </row>
    <row r="1977">
      <c r="A1977" s="26" t="n">
        <v>46013</v>
      </c>
      <c r="B1977" s="14" t="inlineStr">
        <is>
          <t>NB-0019</t>
        </is>
      </c>
      <c r="C1977" s="14" t="n">
        <v>10</v>
      </c>
      <c r="D1977" s="14">
        <f>IF(A1977&gt;LastWeek-364,1,0)</f>
        <v/>
      </c>
      <c r="E1977" s="14">
        <f>C1977^2*D1977</f>
        <v/>
      </c>
    </row>
    <row r="1978">
      <c r="A1978" s="26" t="n">
        <v>45292</v>
      </c>
      <c r="B1978" s="14" t="inlineStr">
        <is>
          <t>NB-0020</t>
        </is>
      </c>
      <c r="C1978" s="14" t="n">
        <v>13</v>
      </c>
      <c r="D1978" s="14">
        <f>IF(A1978&gt;LastWeek-364,1,0)</f>
        <v/>
      </c>
      <c r="E1978" s="14">
        <f>C1978^2*D1978</f>
        <v/>
      </c>
    </row>
    <row r="1979">
      <c r="A1979" s="26" t="n">
        <v>45299</v>
      </c>
      <c r="B1979" s="14" t="inlineStr">
        <is>
          <t>NB-0020</t>
        </is>
      </c>
      <c r="C1979" s="14" t="n">
        <v>9</v>
      </c>
      <c r="D1979" s="14">
        <f>IF(A1979&gt;LastWeek-364,1,0)</f>
        <v/>
      </c>
      <c r="E1979" s="14">
        <f>C1979^2*D1979</f>
        <v/>
      </c>
    </row>
    <row r="1980">
      <c r="A1980" s="26" t="n">
        <v>45306</v>
      </c>
      <c r="B1980" s="14" t="inlineStr">
        <is>
          <t>NB-0020</t>
        </is>
      </c>
      <c r="C1980" s="14" t="n">
        <v>8</v>
      </c>
      <c r="D1980" s="14">
        <f>IF(A1980&gt;LastWeek-364,1,0)</f>
        <v/>
      </c>
      <c r="E1980" s="14">
        <f>C1980^2*D1980</f>
        <v/>
      </c>
    </row>
    <row r="1981">
      <c r="A1981" s="26" t="n">
        <v>45313</v>
      </c>
      <c r="B1981" s="14" t="inlineStr">
        <is>
          <t>NB-0020</t>
        </is>
      </c>
      <c r="C1981" s="14" t="n">
        <v>12</v>
      </c>
      <c r="D1981" s="14">
        <f>IF(A1981&gt;LastWeek-364,1,0)</f>
        <v/>
      </c>
      <c r="E1981" s="14">
        <f>C1981^2*D1981</f>
        <v/>
      </c>
    </row>
    <row r="1982">
      <c r="A1982" s="26" t="n">
        <v>45320</v>
      </c>
      <c r="B1982" s="14" t="inlineStr">
        <is>
          <t>NB-0020</t>
        </is>
      </c>
      <c r="C1982" s="14" t="n">
        <v>12</v>
      </c>
      <c r="D1982" s="14">
        <f>IF(A1982&gt;LastWeek-364,1,0)</f>
        <v/>
      </c>
      <c r="E1982" s="14">
        <f>C1982^2*D1982</f>
        <v/>
      </c>
    </row>
    <row r="1983">
      <c r="A1983" s="26" t="n">
        <v>45327</v>
      </c>
      <c r="B1983" s="14" t="inlineStr">
        <is>
          <t>NB-0020</t>
        </is>
      </c>
      <c r="C1983" s="14" t="n">
        <v>9</v>
      </c>
      <c r="D1983" s="14">
        <f>IF(A1983&gt;LastWeek-364,1,0)</f>
        <v/>
      </c>
      <c r="E1983" s="14">
        <f>C1983^2*D1983</f>
        <v/>
      </c>
    </row>
    <row r="1984">
      <c r="A1984" s="26" t="n">
        <v>45334</v>
      </c>
      <c r="B1984" s="14" t="inlineStr">
        <is>
          <t>NB-0020</t>
        </is>
      </c>
      <c r="C1984" s="14" t="n">
        <v>7</v>
      </c>
      <c r="D1984" s="14">
        <f>IF(A1984&gt;LastWeek-364,1,0)</f>
        <v/>
      </c>
      <c r="E1984" s="14">
        <f>C1984^2*D1984</f>
        <v/>
      </c>
    </row>
    <row r="1985">
      <c r="A1985" s="26" t="n">
        <v>45341</v>
      </c>
      <c r="B1985" s="14" t="inlineStr">
        <is>
          <t>NB-0020</t>
        </is>
      </c>
      <c r="C1985" s="14" t="n">
        <v>9</v>
      </c>
      <c r="D1985" s="14">
        <f>IF(A1985&gt;LastWeek-364,1,0)</f>
        <v/>
      </c>
      <c r="E1985" s="14">
        <f>C1985^2*D1985</f>
        <v/>
      </c>
    </row>
    <row r="1986">
      <c r="A1986" s="26" t="n">
        <v>45348</v>
      </c>
      <c r="B1986" s="14" t="inlineStr">
        <is>
          <t>NB-0020</t>
        </is>
      </c>
      <c r="C1986" s="14" t="n">
        <v>10</v>
      </c>
      <c r="D1986" s="14">
        <f>IF(A1986&gt;LastWeek-364,1,0)</f>
        <v/>
      </c>
      <c r="E1986" s="14">
        <f>C1986^2*D1986</f>
        <v/>
      </c>
    </row>
    <row r="1987">
      <c r="A1987" s="26" t="n">
        <v>45355</v>
      </c>
      <c r="B1987" s="14" t="inlineStr">
        <is>
          <t>NB-0020</t>
        </is>
      </c>
      <c r="C1987" s="14" t="n">
        <v>12</v>
      </c>
      <c r="D1987" s="14">
        <f>IF(A1987&gt;LastWeek-364,1,0)</f>
        <v/>
      </c>
      <c r="E1987" s="14">
        <f>C1987^2*D1987</f>
        <v/>
      </c>
    </row>
    <row r="1988">
      <c r="A1988" s="26" t="n">
        <v>45362</v>
      </c>
      <c r="B1988" s="14" t="inlineStr">
        <is>
          <t>NB-0020</t>
        </is>
      </c>
      <c r="C1988" s="14" t="n">
        <v>8</v>
      </c>
      <c r="D1988" s="14">
        <f>IF(A1988&gt;LastWeek-364,1,0)</f>
        <v/>
      </c>
      <c r="E1988" s="14">
        <f>C1988^2*D1988</f>
        <v/>
      </c>
    </row>
    <row r="1989">
      <c r="A1989" s="26" t="n">
        <v>45369</v>
      </c>
      <c r="B1989" s="14" t="inlineStr">
        <is>
          <t>NB-0020</t>
        </is>
      </c>
      <c r="C1989" s="14" t="n">
        <v>9</v>
      </c>
      <c r="D1989" s="14">
        <f>IF(A1989&gt;LastWeek-364,1,0)</f>
        <v/>
      </c>
      <c r="E1989" s="14">
        <f>C1989^2*D1989</f>
        <v/>
      </c>
    </row>
    <row r="1990">
      <c r="A1990" s="26" t="n">
        <v>45376</v>
      </c>
      <c r="B1990" s="14" t="inlineStr">
        <is>
          <t>NB-0020</t>
        </is>
      </c>
      <c r="C1990" s="14" t="n">
        <v>11</v>
      </c>
      <c r="D1990" s="14">
        <f>IF(A1990&gt;LastWeek-364,1,0)</f>
        <v/>
      </c>
      <c r="E1990" s="14">
        <f>C1990^2*D1990</f>
        <v/>
      </c>
    </row>
    <row r="1991">
      <c r="A1991" s="26" t="n">
        <v>45383</v>
      </c>
      <c r="B1991" s="14" t="inlineStr">
        <is>
          <t>NB-0020</t>
        </is>
      </c>
      <c r="C1991" s="14" t="n">
        <v>5</v>
      </c>
      <c r="D1991" s="14">
        <f>IF(A1991&gt;LastWeek-364,1,0)</f>
        <v/>
      </c>
      <c r="E1991" s="14">
        <f>C1991^2*D1991</f>
        <v/>
      </c>
    </row>
    <row r="1992">
      <c r="A1992" s="26" t="n">
        <v>45390</v>
      </c>
      <c r="B1992" s="14" t="inlineStr">
        <is>
          <t>NB-0020</t>
        </is>
      </c>
      <c r="C1992" s="14" t="n">
        <v>11</v>
      </c>
      <c r="D1992" s="14">
        <f>IF(A1992&gt;LastWeek-364,1,0)</f>
        <v/>
      </c>
      <c r="E1992" s="14">
        <f>C1992^2*D1992</f>
        <v/>
      </c>
    </row>
    <row r="1993">
      <c r="A1993" s="26" t="n">
        <v>45397</v>
      </c>
      <c r="B1993" s="14" t="inlineStr">
        <is>
          <t>NB-0020</t>
        </is>
      </c>
      <c r="C1993" s="14" t="n">
        <v>7</v>
      </c>
      <c r="D1993" s="14">
        <f>IF(A1993&gt;LastWeek-364,1,0)</f>
        <v/>
      </c>
      <c r="E1993" s="14">
        <f>C1993^2*D1993</f>
        <v/>
      </c>
    </row>
    <row r="1994">
      <c r="A1994" s="26" t="n">
        <v>45404</v>
      </c>
      <c r="B1994" s="14" t="inlineStr">
        <is>
          <t>NB-0020</t>
        </is>
      </c>
      <c r="C1994" s="14" t="n">
        <v>9</v>
      </c>
      <c r="D1994" s="14">
        <f>IF(A1994&gt;LastWeek-364,1,0)</f>
        <v/>
      </c>
      <c r="E1994" s="14">
        <f>C1994^2*D1994</f>
        <v/>
      </c>
    </row>
    <row r="1995">
      <c r="A1995" s="26" t="n">
        <v>45411</v>
      </c>
      <c r="B1995" s="14" t="inlineStr">
        <is>
          <t>NB-0020</t>
        </is>
      </c>
      <c r="C1995" s="14" t="n">
        <v>9</v>
      </c>
      <c r="D1995" s="14">
        <f>IF(A1995&gt;LastWeek-364,1,0)</f>
        <v/>
      </c>
      <c r="E1995" s="14">
        <f>C1995^2*D1995</f>
        <v/>
      </c>
    </row>
    <row r="1996">
      <c r="A1996" s="26" t="n">
        <v>45418</v>
      </c>
      <c r="B1996" s="14" t="inlineStr">
        <is>
          <t>NB-0020</t>
        </is>
      </c>
      <c r="C1996" s="14" t="n">
        <v>10</v>
      </c>
      <c r="D1996" s="14">
        <f>IF(A1996&gt;LastWeek-364,1,0)</f>
        <v/>
      </c>
      <c r="E1996" s="14">
        <f>C1996^2*D1996</f>
        <v/>
      </c>
    </row>
    <row r="1997">
      <c r="A1997" s="26" t="n">
        <v>45425</v>
      </c>
      <c r="B1997" s="14" t="inlineStr">
        <is>
          <t>NB-0020</t>
        </is>
      </c>
      <c r="C1997" s="14" t="n">
        <v>9</v>
      </c>
      <c r="D1997" s="14">
        <f>IF(A1997&gt;LastWeek-364,1,0)</f>
        <v/>
      </c>
      <c r="E1997" s="14">
        <f>C1997^2*D1997</f>
        <v/>
      </c>
    </row>
    <row r="1998">
      <c r="A1998" s="26" t="n">
        <v>45432</v>
      </c>
      <c r="B1998" s="14" t="inlineStr">
        <is>
          <t>NB-0020</t>
        </is>
      </c>
      <c r="C1998" s="14" t="n">
        <v>4</v>
      </c>
      <c r="D1998" s="14">
        <f>IF(A1998&gt;LastWeek-364,1,0)</f>
        <v/>
      </c>
      <c r="E1998" s="14">
        <f>C1998^2*D1998</f>
        <v/>
      </c>
    </row>
    <row r="1999">
      <c r="A1999" s="26" t="n">
        <v>45439</v>
      </c>
      <c r="B1999" s="14" t="inlineStr">
        <is>
          <t>NB-0020</t>
        </is>
      </c>
      <c r="C1999" s="14" t="n">
        <v>7</v>
      </c>
      <c r="D1999" s="14">
        <f>IF(A1999&gt;LastWeek-364,1,0)</f>
        <v/>
      </c>
      <c r="E1999" s="14">
        <f>C1999^2*D1999</f>
        <v/>
      </c>
    </row>
    <row r="2000">
      <c r="A2000" s="26" t="n">
        <v>45446</v>
      </c>
      <c r="B2000" s="14" t="inlineStr">
        <is>
          <t>NB-0020</t>
        </is>
      </c>
      <c r="C2000" s="14" t="n">
        <v>8</v>
      </c>
      <c r="D2000" s="14">
        <f>IF(A2000&gt;LastWeek-364,1,0)</f>
        <v/>
      </c>
      <c r="E2000" s="14">
        <f>C2000^2*D2000</f>
        <v/>
      </c>
    </row>
    <row r="2001">
      <c r="A2001" s="26" t="n">
        <v>45453</v>
      </c>
      <c r="B2001" s="14" t="inlineStr">
        <is>
          <t>NB-0020</t>
        </is>
      </c>
      <c r="C2001" s="14" t="n">
        <v>7</v>
      </c>
      <c r="D2001" s="14">
        <f>IF(A2001&gt;LastWeek-364,1,0)</f>
        <v/>
      </c>
      <c r="E2001" s="14">
        <f>C2001^2*D2001</f>
        <v/>
      </c>
    </row>
    <row r="2002">
      <c r="A2002" s="26" t="n">
        <v>45460</v>
      </c>
      <c r="B2002" s="14" t="inlineStr">
        <is>
          <t>NB-0020</t>
        </is>
      </c>
      <c r="C2002" s="14" t="n">
        <v>8</v>
      </c>
      <c r="D2002" s="14">
        <f>IF(A2002&gt;LastWeek-364,1,0)</f>
        <v/>
      </c>
      <c r="E2002" s="14">
        <f>C2002^2*D2002</f>
        <v/>
      </c>
    </row>
    <row r="2003">
      <c r="A2003" s="26" t="n">
        <v>45467</v>
      </c>
      <c r="B2003" s="14" t="inlineStr">
        <is>
          <t>NB-0020</t>
        </is>
      </c>
      <c r="C2003" s="14" t="n">
        <v>8</v>
      </c>
      <c r="D2003" s="14">
        <f>IF(A2003&gt;LastWeek-364,1,0)</f>
        <v/>
      </c>
      <c r="E2003" s="14">
        <f>C2003^2*D2003</f>
        <v/>
      </c>
    </row>
    <row r="2004">
      <c r="A2004" s="26" t="n">
        <v>45474</v>
      </c>
      <c r="B2004" s="14" t="inlineStr">
        <is>
          <t>NB-0020</t>
        </is>
      </c>
      <c r="C2004" s="14" t="n">
        <v>8</v>
      </c>
      <c r="D2004" s="14">
        <f>IF(A2004&gt;LastWeek-364,1,0)</f>
        <v/>
      </c>
      <c r="E2004" s="14">
        <f>C2004^2*D2004</f>
        <v/>
      </c>
    </row>
    <row r="2005">
      <c r="A2005" s="26" t="n">
        <v>45481</v>
      </c>
      <c r="B2005" s="14" t="inlineStr">
        <is>
          <t>NB-0020</t>
        </is>
      </c>
      <c r="C2005" s="14" t="n">
        <v>7</v>
      </c>
      <c r="D2005" s="14">
        <f>IF(A2005&gt;LastWeek-364,1,0)</f>
        <v/>
      </c>
      <c r="E2005" s="14">
        <f>C2005^2*D2005</f>
        <v/>
      </c>
    </row>
    <row r="2006">
      <c r="A2006" s="26" t="n">
        <v>45488</v>
      </c>
      <c r="B2006" s="14" t="inlineStr">
        <is>
          <t>NB-0020</t>
        </is>
      </c>
      <c r="C2006" s="14" t="n">
        <v>5</v>
      </c>
      <c r="D2006" s="14">
        <f>IF(A2006&gt;LastWeek-364,1,0)</f>
        <v/>
      </c>
      <c r="E2006" s="14">
        <f>C2006^2*D2006</f>
        <v/>
      </c>
    </row>
    <row r="2007">
      <c r="A2007" s="26" t="n">
        <v>45495</v>
      </c>
      <c r="B2007" s="14" t="inlineStr">
        <is>
          <t>NB-0020</t>
        </is>
      </c>
      <c r="C2007" s="14" t="n">
        <v>7</v>
      </c>
      <c r="D2007" s="14">
        <f>IF(A2007&gt;LastWeek-364,1,0)</f>
        <v/>
      </c>
      <c r="E2007" s="14">
        <f>C2007^2*D2007</f>
        <v/>
      </c>
    </row>
    <row r="2008">
      <c r="A2008" s="26" t="n">
        <v>45502</v>
      </c>
      <c r="B2008" s="14" t="inlineStr">
        <is>
          <t>NB-0020</t>
        </is>
      </c>
      <c r="C2008" s="14" t="n">
        <v>8</v>
      </c>
      <c r="D2008" s="14">
        <f>IF(A2008&gt;LastWeek-364,1,0)</f>
        <v/>
      </c>
      <c r="E2008" s="14">
        <f>C2008^2*D2008</f>
        <v/>
      </c>
    </row>
    <row r="2009">
      <c r="A2009" s="26" t="n">
        <v>45509</v>
      </c>
      <c r="B2009" s="14" t="inlineStr">
        <is>
          <t>NB-0020</t>
        </is>
      </c>
      <c r="C2009" s="14" t="n">
        <v>6</v>
      </c>
      <c r="D2009" s="14">
        <f>IF(A2009&gt;LastWeek-364,1,0)</f>
        <v/>
      </c>
      <c r="E2009" s="14">
        <f>C2009^2*D2009</f>
        <v/>
      </c>
    </row>
    <row r="2010">
      <c r="A2010" s="26" t="n">
        <v>45516</v>
      </c>
      <c r="B2010" s="14" t="inlineStr">
        <is>
          <t>NB-0020</t>
        </is>
      </c>
      <c r="C2010" s="14" t="n">
        <v>9</v>
      </c>
      <c r="D2010" s="14">
        <f>IF(A2010&gt;LastWeek-364,1,0)</f>
        <v/>
      </c>
      <c r="E2010" s="14">
        <f>C2010^2*D2010</f>
        <v/>
      </c>
    </row>
    <row r="2011">
      <c r="A2011" s="26" t="n">
        <v>45523</v>
      </c>
      <c r="B2011" s="14" t="inlineStr">
        <is>
          <t>NB-0020</t>
        </is>
      </c>
      <c r="C2011" s="14" t="n">
        <v>9</v>
      </c>
      <c r="D2011" s="14">
        <f>IF(A2011&gt;LastWeek-364,1,0)</f>
        <v/>
      </c>
      <c r="E2011" s="14">
        <f>C2011^2*D2011</f>
        <v/>
      </c>
    </row>
    <row r="2012">
      <c r="A2012" s="26" t="n">
        <v>45530</v>
      </c>
      <c r="B2012" s="14" t="inlineStr">
        <is>
          <t>NB-0020</t>
        </is>
      </c>
      <c r="C2012" s="14" t="n">
        <v>8</v>
      </c>
      <c r="D2012" s="14">
        <f>IF(A2012&gt;LastWeek-364,1,0)</f>
        <v/>
      </c>
      <c r="E2012" s="14">
        <f>C2012^2*D2012</f>
        <v/>
      </c>
    </row>
    <row r="2013">
      <c r="A2013" s="26" t="n">
        <v>45537</v>
      </c>
      <c r="B2013" s="14" t="inlineStr">
        <is>
          <t>NB-0020</t>
        </is>
      </c>
      <c r="C2013" s="14" t="n">
        <v>4</v>
      </c>
      <c r="D2013" s="14">
        <f>IF(A2013&gt;LastWeek-364,1,0)</f>
        <v/>
      </c>
      <c r="E2013" s="14">
        <f>C2013^2*D2013</f>
        <v/>
      </c>
    </row>
    <row r="2014">
      <c r="A2014" s="26" t="n">
        <v>45544</v>
      </c>
      <c r="B2014" s="14" t="inlineStr">
        <is>
          <t>NB-0020</t>
        </is>
      </c>
      <c r="C2014" s="14" t="n">
        <v>6</v>
      </c>
      <c r="D2014" s="14">
        <f>IF(A2014&gt;LastWeek-364,1,0)</f>
        <v/>
      </c>
      <c r="E2014" s="14">
        <f>C2014^2*D2014</f>
        <v/>
      </c>
    </row>
    <row r="2015">
      <c r="A2015" s="26" t="n">
        <v>45551</v>
      </c>
      <c r="B2015" s="14" t="inlineStr">
        <is>
          <t>NB-0020</t>
        </is>
      </c>
      <c r="C2015" s="14" t="n">
        <v>11</v>
      </c>
      <c r="D2015" s="14">
        <f>IF(A2015&gt;LastWeek-364,1,0)</f>
        <v/>
      </c>
      <c r="E2015" s="14">
        <f>C2015^2*D2015</f>
        <v/>
      </c>
    </row>
    <row r="2016">
      <c r="A2016" s="26" t="n">
        <v>45558</v>
      </c>
      <c r="B2016" s="14" t="inlineStr">
        <is>
          <t>NB-0020</t>
        </is>
      </c>
      <c r="C2016" s="14" t="n">
        <v>8</v>
      </c>
      <c r="D2016" s="14">
        <f>IF(A2016&gt;LastWeek-364,1,0)</f>
        <v/>
      </c>
      <c r="E2016" s="14">
        <f>C2016^2*D2016</f>
        <v/>
      </c>
    </row>
    <row r="2017">
      <c r="A2017" s="26" t="n">
        <v>45565</v>
      </c>
      <c r="B2017" s="14" t="inlineStr">
        <is>
          <t>NB-0020</t>
        </is>
      </c>
      <c r="C2017" s="14" t="n">
        <v>6</v>
      </c>
      <c r="D2017" s="14">
        <f>IF(A2017&gt;LastWeek-364,1,0)</f>
        <v/>
      </c>
      <c r="E2017" s="14">
        <f>C2017^2*D2017</f>
        <v/>
      </c>
    </row>
    <row r="2018">
      <c r="A2018" s="26" t="n">
        <v>45572</v>
      </c>
      <c r="B2018" s="14" t="inlineStr">
        <is>
          <t>NB-0020</t>
        </is>
      </c>
      <c r="C2018" s="14" t="n">
        <v>11</v>
      </c>
      <c r="D2018" s="14">
        <f>IF(A2018&gt;LastWeek-364,1,0)</f>
        <v/>
      </c>
      <c r="E2018" s="14">
        <f>C2018^2*D2018</f>
        <v/>
      </c>
    </row>
    <row r="2019">
      <c r="A2019" s="26" t="n">
        <v>45579</v>
      </c>
      <c r="B2019" s="14" t="inlineStr">
        <is>
          <t>NB-0020</t>
        </is>
      </c>
      <c r="C2019" s="14" t="n">
        <v>9</v>
      </c>
      <c r="D2019" s="14">
        <f>IF(A2019&gt;LastWeek-364,1,0)</f>
        <v/>
      </c>
      <c r="E2019" s="14">
        <f>C2019^2*D2019</f>
        <v/>
      </c>
    </row>
    <row r="2020">
      <c r="A2020" s="26" t="n">
        <v>45586</v>
      </c>
      <c r="B2020" s="14" t="inlineStr">
        <is>
          <t>NB-0020</t>
        </is>
      </c>
      <c r="C2020" s="14" t="n">
        <v>12</v>
      </c>
      <c r="D2020" s="14">
        <f>IF(A2020&gt;LastWeek-364,1,0)</f>
        <v/>
      </c>
      <c r="E2020" s="14">
        <f>C2020^2*D2020</f>
        <v/>
      </c>
    </row>
    <row r="2021">
      <c r="A2021" s="26" t="n">
        <v>45593</v>
      </c>
      <c r="B2021" s="14" t="inlineStr">
        <is>
          <t>NB-0020</t>
        </is>
      </c>
      <c r="C2021" s="14" t="n">
        <v>10</v>
      </c>
      <c r="D2021" s="14">
        <f>IF(A2021&gt;LastWeek-364,1,0)</f>
        <v/>
      </c>
      <c r="E2021" s="14">
        <f>C2021^2*D2021</f>
        <v/>
      </c>
    </row>
    <row r="2022">
      <c r="A2022" s="26" t="n">
        <v>45600</v>
      </c>
      <c r="B2022" s="14" t="inlineStr">
        <is>
          <t>NB-0020</t>
        </is>
      </c>
      <c r="C2022" s="14" t="n">
        <v>11</v>
      </c>
      <c r="D2022" s="14">
        <f>IF(A2022&gt;LastWeek-364,1,0)</f>
        <v/>
      </c>
      <c r="E2022" s="14">
        <f>C2022^2*D2022</f>
        <v/>
      </c>
    </row>
    <row r="2023">
      <c r="A2023" s="26" t="n">
        <v>45607</v>
      </c>
      <c r="B2023" s="14" t="inlineStr">
        <is>
          <t>NB-0020</t>
        </is>
      </c>
      <c r="C2023" s="14" t="n">
        <v>11</v>
      </c>
      <c r="D2023" s="14">
        <f>IF(A2023&gt;LastWeek-364,1,0)</f>
        <v/>
      </c>
      <c r="E2023" s="14">
        <f>C2023^2*D2023</f>
        <v/>
      </c>
    </row>
    <row r="2024">
      <c r="A2024" s="26" t="n">
        <v>45614</v>
      </c>
      <c r="B2024" s="14" t="inlineStr">
        <is>
          <t>NB-0020</t>
        </is>
      </c>
      <c r="C2024" s="14" t="n">
        <v>12</v>
      </c>
      <c r="D2024" s="14">
        <f>IF(A2024&gt;LastWeek-364,1,0)</f>
        <v/>
      </c>
      <c r="E2024" s="14">
        <f>C2024^2*D2024</f>
        <v/>
      </c>
    </row>
    <row r="2025">
      <c r="A2025" s="26" t="n">
        <v>45621</v>
      </c>
      <c r="B2025" s="14" t="inlineStr">
        <is>
          <t>NB-0020</t>
        </is>
      </c>
      <c r="C2025" s="14" t="n">
        <v>15</v>
      </c>
      <c r="D2025" s="14">
        <f>IF(A2025&gt;LastWeek-364,1,0)</f>
        <v/>
      </c>
      <c r="E2025" s="14">
        <f>C2025^2*D2025</f>
        <v/>
      </c>
    </row>
    <row r="2026">
      <c r="A2026" s="26" t="n">
        <v>45628</v>
      </c>
      <c r="B2026" s="14" t="inlineStr">
        <is>
          <t>NB-0020</t>
        </is>
      </c>
      <c r="C2026" s="14" t="n">
        <v>13</v>
      </c>
      <c r="D2026" s="14">
        <f>IF(A2026&gt;LastWeek-364,1,0)</f>
        <v/>
      </c>
      <c r="E2026" s="14">
        <f>C2026^2*D2026</f>
        <v/>
      </c>
    </row>
    <row r="2027">
      <c r="A2027" s="26" t="n">
        <v>45635</v>
      </c>
      <c r="B2027" s="14" t="inlineStr">
        <is>
          <t>NB-0020</t>
        </is>
      </c>
      <c r="C2027" s="14" t="n">
        <v>8</v>
      </c>
      <c r="D2027" s="14">
        <f>IF(A2027&gt;LastWeek-364,1,0)</f>
        <v/>
      </c>
      <c r="E2027" s="14">
        <f>C2027^2*D2027</f>
        <v/>
      </c>
    </row>
    <row r="2028">
      <c r="A2028" s="26" t="n">
        <v>45642</v>
      </c>
      <c r="B2028" s="14" t="inlineStr">
        <is>
          <t>NB-0020</t>
        </is>
      </c>
      <c r="C2028" s="14" t="n">
        <v>12</v>
      </c>
      <c r="D2028" s="14">
        <f>IF(A2028&gt;LastWeek-364,1,0)</f>
        <v/>
      </c>
      <c r="E2028" s="14">
        <f>C2028^2*D2028</f>
        <v/>
      </c>
    </row>
    <row r="2029">
      <c r="A2029" s="26" t="n">
        <v>45649</v>
      </c>
      <c r="B2029" s="14" t="inlineStr">
        <is>
          <t>NB-0020</t>
        </is>
      </c>
      <c r="C2029" s="14" t="n">
        <v>13</v>
      </c>
      <c r="D2029" s="14">
        <f>IF(A2029&gt;LastWeek-364,1,0)</f>
        <v/>
      </c>
      <c r="E2029" s="14">
        <f>C2029^2*D2029</f>
        <v/>
      </c>
    </row>
    <row r="2030">
      <c r="A2030" s="26" t="n">
        <v>45656</v>
      </c>
      <c r="B2030" s="14" t="inlineStr">
        <is>
          <t>NB-0020</t>
        </is>
      </c>
      <c r="C2030" s="14" t="n">
        <v>14</v>
      </c>
      <c r="D2030" s="14">
        <f>IF(A2030&gt;LastWeek-364,1,0)</f>
        <v/>
      </c>
      <c r="E2030" s="14">
        <f>C2030^2*D2030</f>
        <v/>
      </c>
    </row>
    <row r="2031">
      <c r="A2031" s="26" t="n">
        <v>45663</v>
      </c>
      <c r="B2031" s="14" t="inlineStr">
        <is>
          <t>NB-0020</t>
        </is>
      </c>
      <c r="C2031" s="14" t="n">
        <v>10</v>
      </c>
      <c r="D2031" s="14">
        <f>IF(A2031&gt;LastWeek-364,1,0)</f>
        <v/>
      </c>
      <c r="E2031" s="14">
        <f>C2031^2*D2031</f>
        <v/>
      </c>
    </row>
    <row r="2032">
      <c r="A2032" s="26" t="n">
        <v>45670</v>
      </c>
      <c r="B2032" s="14" t="inlineStr">
        <is>
          <t>NB-0020</t>
        </is>
      </c>
      <c r="C2032" s="14" t="n">
        <v>13</v>
      </c>
      <c r="D2032" s="14">
        <f>IF(A2032&gt;LastWeek-364,1,0)</f>
        <v/>
      </c>
      <c r="E2032" s="14">
        <f>C2032^2*D2032</f>
        <v/>
      </c>
    </row>
    <row r="2033">
      <c r="A2033" s="26" t="n">
        <v>45677</v>
      </c>
      <c r="B2033" s="14" t="inlineStr">
        <is>
          <t>NB-0020</t>
        </is>
      </c>
      <c r="C2033" s="14" t="n">
        <v>13</v>
      </c>
      <c r="D2033" s="14">
        <f>IF(A2033&gt;LastWeek-364,1,0)</f>
        <v/>
      </c>
      <c r="E2033" s="14">
        <f>C2033^2*D2033</f>
        <v/>
      </c>
    </row>
    <row r="2034">
      <c r="A2034" s="26" t="n">
        <v>45684</v>
      </c>
      <c r="B2034" s="14" t="inlineStr">
        <is>
          <t>NB-0020</t>
        </is>
      </c>
      <c r="C2034" s="14" t="n">
        <v>16</v>
      </c>
      <c r="D2034" s="14">
        <f>IF(A2034&gt;LastWeek-364,1,0)</f>
        <v/>
      </c>
      <c r="E2034" s="14">
        <f>C2034^2*D2034</f>
        <v/>
      </c>
    </row>
    <row r="2035">
      <c r="A2035" s="26" t="n">
        <v>45691</v>
      </c>
      <c r="B2035" s="14" t="inlineStr">
        <is>
          <t>NB-0020</t>
        </is>
      </c>
      <c r="C2035" s="14" t="n">
        <v>9</v>
      </c>
      <c r="D2035" s="14">
        <f>IF(A2035&gt;LastWeek-364,1,0)</f>
        <v/>
      </c>
      <c r="E2035" s="14">
        <f>C2035^2*D2035</f>
        <v/>
      </c>
    </row>
    <row r="2036">
      <c r="A2036" s="26" t="n">
        <v>45698</v>
      </c>
      <c r="B2036" s="14" t="inlineStr">
        <is>
          <t>NB-0020</t>
        </is>
      </c>
      <c r="C2036" s="14" t="n">
        <v>10</v>
      </c>
      <c r="D2036" s="14">
        <f>IF(A2036&gt;LastWeek-364,1,0)</f>
        <v/>
      </c>
      <c r="E2036" s="14">
        <f>C2036^2*D2036</f>
        <v/>
      </c>
    </row>
    <row r="2037">
      <c r="A2037" s="26" t="n">
        <v>45705</v>
      </c>
      <c r="B2037" s="14" t="inlineStr">
        <is>
          <t>NB-0020</t>
        </is>
      </c>
      <c r="C2037" s="14" t="n">
        <v>10</v>
      </c>
      <c r="D2037" s="14">
        <f>IF(A2037&gt;LastWeek-364,1,0)</f>
        <v/>
      </c>
      <c r="E2037" s="14">
        <f>C2037^2*D2037</f>
        <v/>
      </c>
    </row>
    <row r="2038">
      <c r="A2038" s="26" t="n">
        <v>45712</v>
      </c>
      <c r="B2038" s="14" t="inlineStr">
        <is>
          <t>NB-0020</t>
        </is>
      </c>
      <c r="C2038" s="14" t="n">
        <v>10</v>
      </c>
      <c r="D2038" s="14">
        <f>IF(A2038&gt;LastWeek-364,1,0)</f>
        <v/>
      </c>
      <c r="E2038" s="14">
        <f>C2038^2*D2038</f>
        <v/>
      </c>
    </row>
    <row r="2039">
      <c r="A2039" s="26" t="n">
        <v>45719</v>
      </c>
      <c r="B2039" s="14" t="inlineStr">
        <is>
          <t>NB-0020</t>
        </is>
      </c>
      <c r="C2039" s="14" t="n">
        <v>9</v>
      </c>
      <c r="D2039" s="14">
        <f>IF(A2039&gt;LastWeek-364,1,0)</f>
        <v/>
      </c>
      <c r="E2039" s="14">
        <f>C2039^2*D2039</f>
        <v/>
      </c>
    </row>
    <row r="2040">
      <c r="A2040" s="26" t="n">
        <v>45726</v>
      </c>
      <c r="B2040" s="14" t="inlineStr">
        <is>
          <t>NB-0020</t>
        </is>
      </c>
      <c r="C2040" s="14" t="n">
        <v>5</v>
      </c>
      <c r="D2040" s="14">
        <f>IF(A2040&gt;LastWeek-364,1,0)</f>
        <v/>
      </c>
      <c r="E2040" s="14">
        <f>C2040^2*D2040</f>
        <v/>
      </c>
    </row>
    <row r="2041">
      <c r="A2041" s="26" t="n">
        <v>45733</v>
      </c>
      <c r="B2041" s="14" t="inlineStr">
        <is>
          <t>NB-0020</t>
        </is>
      </c>
      <c r="C2041" s="14" t="n">
        <v>9</v>
      </c>
      <c r="D2041" s="14">
        <f>IF(A2041&gt;LastWeek-364,1,0)</f>
        <v/>
      </c>
      <c r="E2041" s="14">
        <f>C2041^2*D2041</f>
        <v/>
      </c>
    </row>
    <row r="2042">
      <c r="A2042" s="26" t="n">
        <v>45740</v>
      </c>
      <c r="B2042" s="14" t="inlineStr">
        <is>
          <t>NB-0020</t>
        </is>
      </c>
      <c r="C2042" s="14" t="n">
        <v>10</v>
      </c>
      <c r="D2042" s="14">
        <f>IF(A2042&gt;LastWeek-364,1,0)</f>
        <v/>
      </c>
      <c r="E2042" s="14">
        <f>C2042^2*D2042</f>
        <v/>
      </c>
    </row>
    <row r="2043">
      <c r="A2043" s="26" t="n">
        <v>45747</v>
      </c>
      <c r="B2043" s="14" t="inlineStr">
        <is>
          <t>NB-0020</t>
        </is>
      </c>
      <c r="C2043" s="14" t="n">
        <v>9</v>
      </c>
      <c r="D2043" s="14">
        <f>IF(A2043&gt;LastWeek-364,1,0)</f>
        <v/>
      </c>
      <c r="E2043" s="14">
        <f>C2043^2*D2043</f>
        <v/>
      </c>
    </row>
    <row r="2044">
      <c r="A2044" s="26" t="n">
        <v>45754</v>
      </c>
      <c r="B2044" s="14" t="inlineStr">
        <is>
          <t>NB-0020</t>
        </is>
      </c>
      <c r="C2044" s="14" t="n">
        <v>13</v>
      </c>
      <c r="D2044" s="14">
        <f>IF(A2044&gt;LastWeek-364,1,0)</f>
        <v/>
      </c>
      <c r="E2044" s="14">
        <f>C2044^2*D2044</f>
        <v/>
      </c>
    </row>
    <row r="2045">
      <c r="A2045" s="26" t="n">
        <v>45761</v>
      </c>
      <c r="B2045" s="14" t="inlineStr">
        <is>
          <t>NB-0020</t>
        </is>
      </c>
      <c r="C2045" s="14" t="n">
        <v>9</v>
      </c>
      <c r="D2045" s="14">
        <f>IF(A2045&gt;LastWeek-364,1,0)</f>
        <v/>
      </c>
      <c r="E2045" s="14">
        <f>C2045^2*D2045</f>
        <v/>
      </c>
    </row>
    <row r="2046">
      <c r="A2046" s="26" t="n">
        <v>45768</v>
      </c>
      <c r="B2046" s="14" t="inlineStr">
        <is>
          <t>NB-0020</t>
        </is>
      </c>
      <c r="C2046" s="14" t="n">
        <v>11</v>
      </c>
      <c r="D2046" s="14">
        <f>IF(A2046&gt;LastWeek-364,1,0)</f>
        <v/>
      </c>
      <c r="E2046" s="14">
        <f>C2046^2*D2046</f>
        <v/>
      </c>
    </row>
    <row r="2047">
      <c r="A2047" s="26" t="n">
        <v>45775</v>
      </c>
      <c r="B2047" s="14" t="inlineStr">
        <is>
          <t>NB-0020</t>
        </is>
      </c>
      <c r="C2047" s="14" t="n">
        <v>9</v>
      </c>
      <c r="D2047" s="14">
        <f>IF(A2047&gt;LastWeek-364,1,0)</f>
        <v/>
      </c>
      <c r="E2047" s="14">
        <f>C2047^2*D2047</f>
        <v/>
      </c>
    </row>
    <row r="2048">
      <c r="A2048" s="26" t="n">
        <v>45782</v>
      </c>
      <c r="B2048" s="14" t="inlineStr">
        <is>
          <t>NB-0020</t>
        </is>
      </c>
      <c r="C2048" s="14" t="n">
        <v>10</v>
      </c>
      <c r="D2048" s="14">
        <f>IF(A2048&gt;LastWeek-364,1,0)</f>
        <v/>
      </c>
      <c r="E2048" s="14">
        <f>C2048^2*D2048</f>
        <v/>
      </c>
    </row>
    <row r="2049">
      <c r="A2049" s="26" t="n">
        <v>45789</v>
      </c>
      <c r="B2049" s="14" t="inlineStr">
        <is>
          <t>NB-0020</t>
        </is>
      </c>
      <c r="C2049" s="14" t="n">
        <v>9</v>
      </c>
      <c r="D2049" s="14">
        <f>IF(A2049&gt;LastWeek-364,1,0)</f>
        <v/>
      </c>
      <c r="E2049" s="14">
        <f>C2049^2*D2049</f>
        <v/>
      </c>
    </row>
    <row r="2050">
      <c r="A2050" s="26" t="n">
        <v>45796</v>
      </c>
      <c r="B2050" s="14" t="inlineStr">
        <is>
          <t>NB-0020</t>
        </is>
      </c>
      <c r="C2050" s="14" t="n">
        <v>10</v>
      </c>
      <c r="D2050" s="14">
        <f>IF(A2050&gt;LastWeek-364,1,0)</f>
        <v/>
      </c>
      <c r="E2050" s="14">
        <f>C2050^2*D2050</f>
        <v/>
      </c>
    </row>
    <row r="2051">
      <c r="A2051" s="26" t="n">
        <v>45803</v>
      </c>
      <c r="B2051" s="14" t="inlineStr">
        <is>
          <t>NB-0020</t>
        </is>
      </c>
      <c r="C2051" s="14" t="n">
        <v>8</v>
      </c>
      <c r="D2051" s="14">
        <f>IF(A2051&gt;LastWeek-364,1,0)</f>
        <v/>
      </c>
      <c r="E2051" s="14">
        <f>C2051^2*D2051</f>
        <v/>
      </c>
    </row>
    <row r="2052">
      <c r="A2052" s="26" t="n">
        <v>45810</v>
      </c>
      <c r="B2052" s="14" t="inlineStr">
        <is>
          <t>NB-0020</t>
        </is>
      </c>
      <c r="C2052" s="14" t="n">
        <v>9</v>
      </c>
      <c r="D2052" s="14">
        <f>IF(A2052&gt;LastWeek-364,1,0)</f>
        <v/>
      </c>
      <c r="E2052" s="14">
        <f>C2052^2*D2052</f>
        <v/>
      </c>
    </row>
    <row r="2053">
      <c r="A2053" s="26" t="n">
        <v>45817</v>
      </c>
      <c r="B2053" s="14" t="inlineStr">
        <is>
          <t>NB-0020</t>
        </is>
      </c>
      <c r="C2053" s="14" t="n">
        <v>8</v>
      </c>
      <c r="D2053" s="14">
        <f>IF(A2053&gt;LastWeek-364,1,0)</f>
        <v/>
      </c>
      <c r="E2053" s="14">
        <f>C2053^2*D2053</f>
        <v/>
      </c>
    </row>
    <row r="2054">
      <c r="A2054" s="26" t="n">
        <v>45824</v>
      </c>
      <c r="B2054" s="14" t="inlineStr">
        <is>
          <t>NB-0020</t>
        </is>
      </c>
      <c r="C2054" s="14" t="n">
        <v>7</v>
      </c>
      <c r="D2054" s="14">
        <f>IF(A2054&gt;LastWeek-364,1,0)</f>
        <v/>
      </c>
      <c r="E2054" s="14">
        <f>C2054^2*D2054</f>
        <v/>
      </c>
    </row>
    <row r="2055">
      <c r="A2055" s="26" t="n">
        <v>45831</v>
      </c>
      <c r="B2055" s="14" t="inlineStr">
        <is>
          <t>NB-0020</t>
        </is>
      </c>
      <c r="C2055" s="14" t="n">
        <v>8</v>
      </c>
      <c r="D2055" s="14">
        <f>IF(A2055&gt;LastWeek-364,1,0)</f>
        <v/>
      </c>
      <c r="E2055" s="14">
        <f>C2055^2*D2055</f>
        <v/>
      </c>
    </row>
    <row r="2056">
      <c r="A2056" s="26" t="n">
        <v>45838</v>
      </c>
      <c r="B2056" s="14" t="inlineStr">
        <is>
          <t>NB-0020</t>
        </is>
      </c>
      <c r="C2056" s="14" t="n">
        <v>11</v>
      </c>
      <c r="D2056" s="14">
        <f>IF(A2056&gt;LastWeek-364,1,0)</f>
        <v/>
      </c>
      <c r="E2056" s="14">
        <f>C2056^2*D2056</f>
        <v/>
      </c>
    </row>
    <row r="2057">
      <c r="A2057" s="26" t="n">
        <v>45845</v>
      </c>
      <c r="B2057" s="14" t="inlineStr">
        <is>
          <t>NB-0020</t>
        </is>
      </c>
      <c r="C2057" s="14" t="n">
        <v>7</v>
      </c>
      <c r="D2057" s="14">
        <f>IF(A2057&gt;LastWeek-364,1,0)</f>
        <v/>
      </c>
      <c r="E2057" s="14">
        <f>C2057^2*D2057</f>
        <v/>
      </c>
    </row>
    <row r="2058">
      <c r="A2058" s="26" t="n">
        <v>45852</v>
      </c>
      <c r="B2058" s="14" t="inlineStr">
        <is>
          <t>NB-0020</t>
        </is>
      </c>
      <c r="C2058" s="14" t="n">
        <v>8</v>
      </c>
      <c r="D2058" s="14">
        <f>IF(A2058&gt;LastWeek-364,1,0)</f>
        <v/>
      </c>
      <c r="E2058" s="14">
        <f>C2058^2*D2058</f>
        <v/>
      </c>
    </row>
    <row r="2059">
      <c r="A2059" s="26" t="n">
        <v>45859</v>
      </c>
      <c r="B2059" s="14" t="inlineStr">
        <is>
          <t>NB-0020</t>
        </is>
      </c>
      <c r="C2059" s="14" t="n">
        <v>9</v>
      </c>
      <c r="D2059" s="14">
        <f>IF(A2059&gt;LastWeek-364,1,0)</f>
        <v/>
      </c>
      <c r="E2059" s="14">
        <f>C2059^2*D2059</f>
        <v/>
      </c>
    </row>
    <row r="2060">
      <c r="A2060" s="26" t="n">
        <v>45866</v>
      </c>
      <c r="B2060" s="14" t="inlineStr">
        <is>
          <t>NB-0020</t>
        </is>
      </c>
      <c r="C2060" s="14" t="n">
        <v>9</v>
      </c>
      <c r="D2060" s="14">
        <f>IF(A2060&gt;LastWeek-364,1,0)</f>
        <v/>
      </c>
      <c r="E2060" s="14">
        <f>C2060^2*D2060</f>
        <v/>
      </c>
    </row>
    <row r="2061">
      <c r="A2061" s="26" t="n">
        <v>45873</v>
      </c>
      <c r="B2061" s="14" t="inlineStr">
        <is>
          <t>NB-0020</t>
        </is>
      </c>
      <c r="C2061" s="14" t="n">
        <v>8</v>
      </c>
      <c r="D2061" s="14">
        <f>IF(A2061&gt;LastWeek-364,1,0)</f>
        <v/>
      </c>
      <c r="E2061" s="14">
        <f>C2061^2*D2061</f>
        <v/>
      </c>
    </row>
    <row r="2062">
      <c r="A2062" s="26" t="n">
        <v>45880</v>
      </c>
      <c r="B2062" s="14" t="inlineStr">
        <is>
          <t>NB-0020</t>
        </is>
      </c>
      <c r="C2062" s="14" t="n">
        <v>5</v>
      </c>
      <c r="D2062" s="14">
        <f>IF(A2062&gt;LastWeek-364,1,0)</f>
        <v/>
      </c>
      <c r="E2062" s="14">
        <f>C2062^2*D2062</f>
        <v/>
      </c>
    </row>
    <row r="2063">
      <c r="A2063" s="26" t="n">
        <v>45887</v>
      </c>
      <c r="B2063" s="14" t="inlineStr">
        <is>
          <t>NB-0020</t>
        </is>
      </c>
      <c r="C2063" s="14" t="n">
        <v>9</v>
      </c>
      <c r="D2063" s="14">
        <f>IF(A2063&gt;LastWeek-364,1,0)</f>
        <v/>
      </c>
      <c r="E2063" s="14">
        <f>C2063^2*D2063</f>
        <v/>
      </c>
    </row>
    <row r="2064">
      <c r="A2064" s="26" t="n">
        <v>45894</v>
      </c>
      <c r="B2064" s="14" t="inlineStr">
        <is>
          <t>NB-0020</t>
        </is>
      </c>
      <c r="C2064" s="14" t="n">
        <v>5</v>
      </c>
      <c r="D2064" s="14">
        <f>IF(A2064&gt;LastWeek-364,1,0)</f>
        <v/>
      </c>
      <c r="E2064" s="14">
        <f>C2064^2*D2064</f>
        <v/>
      </c>
    </row>
    <row r="2065">
      <c r="A2065" s="26" t="n">
        <v>45901</v>
      </c>
      <c r="B2065" s="14" t="inlineStr">
        <is>
          <t>NB-0020</t>
        </is>
      </c>
      <c r="C2065" s="14" t="n">
        <v>11</v>
      </c>
      <c r="D2065" s="14">
        <f>IF(A2065&gt;LastWeek-364,1,0)</f>
        <v/>
      </c>
      <c r="E2065" s="14">
        <f>C2065^2*D2065</f>
        <v/>
      </c>
    </row>
    <row r="2066">
      <c r="A2066" s="26" t="n">
        <v>45908</v>
      </c>
      <c r="B2066" s="14" t="inlineStr">
        <is>
          <t>NB-0020</t>
        </is>
      </c>
      <c r="C2066" s="14" t="n">
        <v>9</v>
      </c>
      <c r="D2066" s="14">
        <f>IF(A2066&gt;LastWeek-364,1,0)</f>
        <v/>
      </c>
      <c r="E2066" s="14">
        <f>C2066^2*D2066</f>
        <v/>
      </c>
    </row>
    <row r="2067">
      <c r="A2067" s="26" t="n">
        <v>45915</v>
      </c>
      <c r="B2067" s="14" t="inlineStr">
        <is>
          <t>NB-0020</t>
        </is>
      </c>
      <c r="C2067" s="14" t="n">
        <v>11</v>
      </c>
      <c r="D2067" s="14">
        <f>IF(A2067&gt;LastWeek-364,1,0)</f>
        <v/>
      </c>
      <c r="E2067" s="14">
        <f>C2067^2*D2067</f>
        <v/>
      </c>
    </row>
    <row r="2068">
      <c r="A2068" s="26" t="n">
        <v>45922</v>
      </c>
      <c r="B2068" s="14" t="inlineStr">
        <is>
          <t>NB-0020</t>
        </is>
      </c>
      <c r="C2068" s="14" t="n">
        <v>8</v>
      </c>
      <c r="D2068" s="14">
        <f>IF(A2068&gt;LastWeek-364,1,0)</f>
        <v/>
      </c>
      <c r="E2068" s="14">
        <f>C2068^2*D2068</f>
        <v/>
      </c>
    </row>
    <row r="2069">
      <c r="A2069" s="26" t="n">
        <v>45929</v>
      </c>
      <c r="B2069" s="14" t="inlineStr">
        <is>
          <t>NB-0020</t>
        </is>
      </c>
      <c r="C2069" s="14" t="n">
        <v>7</v>
      </c>
      <c r="D2069" s="14">
        <f>IF(A2069&gt;LastWeek-364,1,0)</f>
        <v/>
      </c>
      <c r="E2069" s="14">
        <f>C2069^2*D2069</f>
        <v/>
      </c>
    </row>
    <row r="2070">
      <c r="A2070" s="26" t="n">
        <v>45936</v>
      </c>
      <c r="B2070" s="14" t="inlineStr">
        <is>
          <t>NB-0020</t>
        </is>
      </c>
      <c r="C2070" s="14" t="n">
        <v>10</v>
      </c>
      <c r="D2070" s="14">
        <f>IF(A2070&gt;LastWeek-364,1,0)</f>
        <v/>
      </c>
      <c r="E2070" s="14">
        <f>C2070^2*D2070</f>
        <v/>
      </c>
    </row>
    <row r="2071">
      <c r="A2071" s="26" t="n">
        <v>45943</v>
      </c>
      <c r="B2071" s="14" t="inlineStr">
        <is>
          <t>NB-0020</t>
        </is>
      </c>
      <c r="C2071" s="14" t="n">
        <v>10</v>
      </c>
      <c r="D2071" s="14">
        <f>IF(A2071&gt;LastWeek-364,1,0)</f>
        <v/>
      </c>
      <c r="E2071" s="14">
        <f>C2071^2*D2071</f>
        <v/>
      </c>
    </row>
    <row r="2072">
      <c r="A2072" s="26" t="n">
        <v>45950</v>
      </c>
      <c r="B2072" s="14" t="inlineStr">
        <is>
          <t>NB-0020</t>
        </is>
      </c>
      <c r="C2072" s="14" t="n">
        <v>9</v>
      </c>
      <c r="D2072" s="14">
        <f>IF(A2072&gt;LastWeek-364,1,0)</f>
        <v/>
      </c>
      <c r="E2072" s="14">
        <f>C2072^2*D2072</f>
        <v/>
      </c>
    </row>
    <row r="2073">
      <c r="A2073" s="26" t="n">
        <v>45957</v>
      </c>
      <c r="B2073" s="14" t="inlineStr">
        <is>
          <t>NB-0020</t>
        </is>
      </c>
      <c r="C2073" s="14" t="n">
        <v>10</v>
      </c>
      <c r="D2073" s="14">
        <f>IF(A2073&gt;LastWeek-364,1,0)</f>
        <v/>
      </c>
      <c r="E2073" s="14">
        <f>C2073^2*D2073</f>
        <v/>
      </c>
    </row>
    <row r="2074">
      <c r="A2074" s="26" t="n">
        <v>45964</v>
      </c>
      <c r="B2074" s="14" t="inlineStr">
        <is>
          <t>NB-0020</t>
        </is>
      </c>
      <c r="C2074" s="14" t="n">
        <v>16</v>
      </c>
      <c r="D2074" s="14">
        <f>IF(A2074&gt;LastWeek-364,1,0)</f>
        <v/>
      </c>
      <c r="E2074" s="14">
        <f>C2074^2*D2074</f>
        <v/>
      </c>
    </row>
    <row r="2075">
      <c r="A2075" s="26" t="n">
        <v>45971</v>
      </c>
      <c r="B2075" s="14" t="inlineStr">
        <is>
          <t>NB-0020</t>
        </is>
      </c>
      <c r="C2075" s="14" t="n">
        <v>12</v>
      </c>
      <c r="D2075" s="14">
        <f>IF(A2075&gt;LastWeek-364,1,0)</f>
        <v/>
      </c>
      <c r="E2075" s="14">
        <f>C2075^2*D2075</f>
        <v/>
      </c>
    </row>
    <row r="2076">
      <c r="A2076" s="26" t="n">
        <v>45978</v>
      </c>
      <c r="B2076" s="14" t="inlineStr">
        <is>
          <t>NB-0020</t>
        </is>
      </c>
      <c r="C2076" s="14" t="n">
        <v>13</v>
      </c>
      <c r="D2076" s="14">
        <f>IF(A2076&gt;LastWeek-364,1,0)</f>
        <v/>
      </c>
      <c r="E2076" s="14">
        <f>C2076^2*D2076</f>
        <v/>
      </c>
    </row>
    <row r="2077">
      <c r="A2077" s="26" t="n">
        <v>45985</v>
      </c>
      <c r="B2077" s="14" t="inlineStr">
        <is>
          <t>NB-0020</t>
        </is>
      </c>
      <c r="C2077" s="14" t="n">
        <v>13</v>
      </c>
      <c r="D2077" s="14">
        <f>IF(A2077&gt;LastWeek-364,1,0)</f>
        <v/>
      </c>
      <c r="E2077" s="14">
        <f>C2077^2*D2077</f>
        <v/>
      </c>
    </row>
    <row r="2078">
      <c r="A2078" s="26" t="n">
        <v>45992</v>
      </c>
      <c r="B2078" s="14" t="inlineStr">
        <is>
          <t>NB-0020</t>
        </is>
      </c>
      <c r="C2078" s="14" t="n">
        <v>14</v>
      </c>
      <c r="D2078" s="14">
        <f>IF(A2078&gt;LastWeek-364,1,0)</f>
        <v/>
      </c>
      <c r="E2078" s="14">
        <f>C2078^2*D2078</f>
        <v/>
      </c>
    </row>
    <row r="2079">
      <c r="A2079" s="26" t="n">
        <v>45999</v>
      </c>
      <c r="B2079" s="14" t="inlineStr">
        <is>
          <t>NB-0020</t>
        </is>
      </c>
      <c r="C2079" s="14" t="n">
        <v>11</v>
      </c>
      <c r="D2079" s="14">
        <f>IF(A2079&gt;LastWeek-364,1,0)</f>
        <v/>
      </c>
      <c r="E2079" s="14">
        <f>C2079^2*D2079</f>
        <v/>
      </c>
    </row>
    <row r="2080">
      <c r="A2080" s="26" t="n">
        <v>46006</v>
      </c>
      <c r="B2080" s="14" t="inlineStr">
        <is>
          <t>NB-0020</t>
        </is>
      </c>
      <c r="C2080" s="14" t="n">
        <v>7</v>
      </c>
      <c r="D2080" s="14">
        <f>IF(A2080&gt;LastWeek-364,1,0)</f>
        <v/>
      </c>
      <c r="E2080" s="14">
        <f>C2080^2*D2080</f>
        <v/>
      </c>
    </row>
    <row r="2081">
      <c r="A2081" s="26" t="n">
        <v>46013</v>
      </c>
      <c r="B2081" s="14" t="inlineStr">
        <is>
          <t>NB-0020</t>
        </is>
      </c>
      <c r="C2081" s="14" t="n">
        <v>11</v>
      </c>
      <c r="D2081" s="14">
        <f>IF(A2081&gt;LastWeek-364,1,0)</f>
        <v/>
      </c>
      <c r="E2081" s="14">
        <f>C2081^2*D2081</f>
        <v/>
      </c>
    </row>
    <row r="2082">
      <c r="A2082" s="26" t="n">
        <v>45292</v>
      </c>
      <c r="B2082" s="14" t="inlineStr">
        <is>
          <t>NB-0021</t>
        </is>
      </c>
      <c r="C2082" s="14" t="n">
        <v>79</v>
      </c>
      <c r="D2082" s="14">
        <f>IF(A2082&gt;LastWeek-364,1,0)</f>
        <v/>
      </c>
      <c r="E2082" s="14">
        <f>C2082^2*D2082</f>
        <v/>
      </c>
    </row>
    <row r="2083">
      <c r="A2083" s="26" t="n">
        <v>45299</v>
      </c>
      <c r="B2083" s="14" t="inlineStr">
        <is>
          <t>NB-0021</t>
        </is>
      </c>
      <c r="C2083" s="14" t="n">
        <v>46</v>
      </c>
      <c r="D2083" s="14">
        <f>IF(A2083&gt;LastWeek-364,1,0)</f>
        <v/>
      </c>
      <c r="E2083" s="14">
        <f>C2083^2*D2083</f>
        <v/>
      </c>
    </row>
    <row r="2084">
      <c r="A2084" s="26" t="n">
        <v>45306</v>
      </c>
      <c r="B2084" s="14" t="inlineStr">
        <is>
          <t>NB-0021</t>
        </is>
      </c>
      <c r="C2084" s="14" t="n">
        <v>60</v>
      </c>
      <c r="D2084" s="14">
        <f>IF(A2084&gt;LastWeek-364,1,0)</f>
        <v/>
      </c>
      <c r="E2084" s="14">
        <f>C2084^2*D2084</f>
        <v/>
      </c>
    </row>
    <row r="2085">
      <c r="A2085" s="26" t="n">
        <v>45313</v>
      </c>
      <c r="B2085" s="14" t="inlineStr">
        <is>
          <t>NB-0021</t>
        </is>
      </c>
      <c r="C2085" s="14" t="n">
        <v>50</v>
      </c>
      <c r="D2085" s="14">
        <f>IF(A2085&gt;LastWeek-364,1,0)</f>
        <v/>
      </c>
      <c r="E2085" s="14">
        <f>C2085^2*D2085</f>
        <v/>
      </c>
    </row>
    <row r="2086">
      <c r="A2086" s="26" t="n">
        <v>45320</v>
      </c>
      <c r="B2086" s="14" t="inlineStr">
        <is>
          <t>NB-0021</t>
        </is>
      </c>
      <c r="C2086" s="14" t="n">
        <v>91</v>
      </c>
      <c r="D2086" s="14">
        <f>IF(A2086&gt;LastWeek-364,1,0)</f>
        <v/>
      </c>
      <c r="E2086" s="14">
        <f>C2086^2*D2086</f>
        <v/>
      </c>
    </row>
    <row r="2087">
      <c r="A2087" s="26" t="n">
        <v>45327</v>
      </c>
      <c r="B2087" s="14" t="inlineStr">
        <is>
          <t>NB-0021</t>
        </is>
      </c>
      <c r="C2087" s="14" t="n">
        <v>76</v>
      </c>
      <c r="D2087" s="14">
        <f>IF(A2087&gt;LastWeek-364,1,0)</f>
        <v/>
      </c>
      <c r="E2087" s="14">
        <f>C2087^2*D2087</f>
        <v/>
      </c>
    </row>
    <row r="2088">
      <c r="A2088" s="26" t="n">
        <v>45334</v>
      </c>
      <c r="B2088" s="14" t="inlineStr">
        <is>
          <t>NB-0021</t>
        </is>
      </c>
      <c r="C2088" s="14" t="n">
        <v>73</v>
      </c>
      <c r="D2088" s="14">
        <f>IF(A2088&gt;LastWeek-364,1,0)</f>
        <v/>
      </c>
      <c r="E2088" s="14">
        <f>C2088^2*D2088</f>
        <v/>
      </c>
    </row>
    <row r="2089">
      <c r="A2089" s="26" t="n">
        <v>45341</v>
      </c>
      <c r="B2089" s="14" t="inlineStr">
        <is>
          <t>NB-0021</t>
        </is>
      </c>
      <c r="C2089" s="14" t="n">
        <v>72</v>
      </c>
      <c r="D2089" s="14">
        <f>IF(A2089&gt;LastWeek-364,1,0)</f>
        <v/>
      </c>
      <c r="E2089" s="14">
        <f>C2089^2*D2089</f>
        <v/>
      </c>
    </row>
    <row r="2090">
      <c r="A2090" s="26" t="n">
        <v>45348</v>
      </c>
      <c r="B2090" s="14" t="inlineStr">
        <is>
          <t>NB-0021</t>
        </is>
      </c>
      <c r="C2090" s="14" t="n">
        <v>59</v>
      </c>
      <c r="D2090" s="14">
        <f>IF(A2090&gt;LastWeek-364,1,0)</f>
        <v/>
      </c>
      <c r="E2090" s="14">
        <f>C2090^2*D2090</f>
        <v/>
      </c>
    </row>
    <row r="2091">
      <c r="A2091" s="26" t="n">
        <v>45355</v>
      </c>
      <c r="B2091" s="14" t="inlineStr">
        <is>
          <t>NB-0021</t>
        </is>
      </c>
      <c r="C2091" s="14" t="n">
        <v>62</v>
      </c>
      <c r="D2091" s="14">
        <f>IF(A2091&gt;LastWeek-364,1,0)</f>
        <v/>
      </c>
      <c r="E2091" s="14">
        <f>C2091^2*D2091</f>
        <v/>
      </c>
    </row>
    <row r="2092">
      <c r="A2092" s="26" t="n">
        <v>45362</v>
      </c>
      <c r="B2092" s="14" t="inlineStr">
        <is>
          <t>NB-0021</t>
        </is>
      </c>
      <c r="C2092" s="14" t="n">
        <v>37</v>
      </c>
      <c r="D2092" s="14">
        <f>IF(A2092&gt;LastWeek-364,1,0)</f>
        <v/>
      </c>
      <c r="E2092" s="14">
        <f>C2092^2*D2092</f>
        <v/>
      </c>
    </row>
    <row r="2093">
      <c r="A2093" s="26" t="n">
        <v>45369</v>
      </c>
      <c r="B2093" s="14" t="inlineStr">
        <is>
          <t>NB-0021</t>
        </is>
      </c>
      <c r="C2093" s="14" t="n">
        <v>20</v>
      </c>
      <c r="D2093" s="14">
        <f>IF(A2093&gt;LastWeek-364,1,0)</f>
        <v/>
      </c>
      <c r="E2093" s="14">
        <f>C2093^2*D2093</f>
        <v/>
      </c>
    </row>
    <row r="2094">
      <c r="A2094" s="26" t="n">
        <v>45376</v>
      </c>
      <c r="B2094" s="14" t="inlineStr">
        <is>
          <t>NB-0021</t>
        </is>
      </c>
      <c r="C2094" s="14" t="n">
        <v>57</v>
      </c>
      <c r="D2094" s="14">
        <f>IF(A2094&gt;LastWeek-364,1,0)</f>
        <v/>
      </c>
      <c r="E2094" s="14">
        <f>C2094^2*D2094</f>
        <v/>
      </c>
    </row>
    <row r="2095">
      <c r="A2095" s="26" t="n">
        <v>45383</v>
      </c>
      <c r="B2095" s="14" t="inlineStr">
        <is>
          <t>NB-0021</t>
        </is>
      </c>
      <c r="C2095" s="14" t="n">
        <v>58</v>
      </c>
      <c r="D2095" s="14">
        <f>IF(A2095&gt;LastWeek-364,1,0)</f>
        <v/>
      </c>
      <c r="E2095" s="14">
        <f>C2095^2*D2095</f>
        <v/>
      </c>
    </row>
    <row r="2096">
      <c r="A2096" s="26" t="n">
        <v>45390</v>
      </c>
      <c r="B2096" s="14" t="inlineStr">
        <is>
          <t>NB-0021</t>
        </is>
      </c>
      <c r="C2096" s="14" t="n">
        <v>70</v>
      </c>
      <c r="D2096" s="14">
        <f>IF(A2096&gt;LastWeek-364,1,0)</f>
        <v/>
      </c>
      <c r="E2096" s="14">
        <f>C2096^2*D2096</f>
        <v/>
      </c>
    </row>
    <row r="2097">
      <c r="A2097" s="26" t="n">
        <v>45397</v>
      </c>
      <c r="B2097" s="14" t="inlineStr">
        <is>
          <t>NB-0021</t>
        </is>
      </c>
      <c r="C2097" s="14" t="n">
        <v>74</v>
      </c>
      <c r="D2097" s="14">
        <f>IF(A2097&gt;LastWeek-364,1,0)</f>
        <v/>
      </c>
      <c r="E2097" s="14">
        <f>C2097^2*D2097</f>
        <v/>
      </c>
    </row>
    <row r="2098">
      <c r="A2098" s="26" t="n">
        <v>45404</v>
      </c>
      <c r="B2098" s="14" t="inlineStr">
        <is>
          <t>NB-0021</t>
        </is>
      </c>
      <c r="C2098" s="14" t="n">
        <v>72</v>
      </c>
      <c r="D2098" s="14">
        <f>IF(A2098&gt;LastWeek-364,1,0)</f>
        <v/>
      </c>
      <c r="E2098" s="14">
        <f>C2098^2*D2098</f>
        <v/>
      </c>
    </row>
    <row r="2099">
      <c r="A2099" s="26" t="n">
        <v>45411</v>
      </c>
      <c r="B2099" s="14" t="inlineStr">
        <is>
          <t>NB-0021</t>
        </is>
      </c>
      <c r="C2099" s="14" t="n">
        <v>34</v>
      </c>
      <c r="D2099" s="14">
        <f>IF(A2099&gt;LastWeek-364,1,0)</f>
        <v/>
      </c>
      <c r="E2099" s="14">
        <f>C2099^2*D2099</f>
        <v/>
      </c>
    </row>
    <row r="2100">
      <c r="A2100" s="26" t="n">
        <v>45418</v>
      </c>
      <c r="B2100" s="14" t="inlineStr">
        <is>
          <t>NB-0021</t>
        </is>
      </c>
      <c r="C2100" s="14" t="n">
        <v>42</v>
      </c>
      <c r="D2100" s="14">
        <f>IF(A2100&gt;LastWeek-364,1,0)</f>
        <v/>
      </c>
      <c r="E2100" s="14">
        <f>C2100^2*D2100</f>
        <v/>
      </c>
    </row>
    <row r="2101">
      <c r="A2101" s="26" t="n">
        <v>45425</v>
      </c>
      <c r="B2101" s="14" t="inlineStr">
        <is>
          <t>NB-0021</t>
        </is>
      </c>
      <c r="C2101" s="14" t="n">
        <v>52</v>
      </c>
      <c r="D2101" s="14">
        <f>IF(A2101&gt;LastWeek-364,1,0)</f>
        <v/>
      </c>
      <c r="E2101" s="14">
        <f>C2101^2*D2101</f>
        <v/>
      </c>
    </row>
    <row r="2102">
      <c r="A2102" s="26" t="n">
        <v>45432</v>
      </c>
      <c r="B2102" s="14" t="inlineStr">
        <is>
          <t>NB-0021</t>
        </is>
      </c>
      <c r="C2102" s="14" t="n">
        <v>77</v>
      </c>
      <c r="D2102" s="14">
        <f>IF(A2102&gt;LastWeek-364,1,0)</f>
        <v/>
      </c>
      <c r="E2102" s="14">
        <f>C2102^2*D2102</f>
        <v/>
      </c>
    </row>
    <row r="2103">
      <c r="A2103" s="26" t="n">
        <v>45439</v>
      </c>
      <c r="B2103" s="14" t="inlineStr">
        <is>
          <t>NB-0021</t>
        </is>
      </c>
      <c r="C2103" s="14" t="n">
        <v>62</v>
      </c>
      <c r="D2103" s="14">
        <f>IF(A2103&gt;LastWeek-364,1,0)</f>
        <v/>
      </c>
      <c r="E2103" s="14">
        <f>C2103^2*D2103</f>
        <v/>
      </c>
    </row>
    <row r="2104">
      <c r="A2104" s="26" t="n">
        <v>45446</v>
      </c>
      <c r="B2104" s="14" t="inlineStr">
        <is>
          <t>NB-0021</t>
        </is>
      </c>
      <c r="C2104" s="14" t="n">
        <v>56</v>
      </c>
      <c r="D2104" s="14">
        <f>IF(A2104&gt;LastWeek-364,1,0)</f>
        <v/>
      </c>
      <c r="E2104" s="14">
        <f>C2104^2*D2104</f>
        <v/>
      </c>
    </row>
    <row r="2105">
      <c r="A2105" s="26" t="n">
        <v>45453</v>
      </c>
      <c r="B2105" s="14" t="inlineStr">
        <is>
          <t>NB-0021</t>
        </is>
      </c>
      <c r="C2105" s="14" t="n">
        <v>37</v>
      </c>
      <c r="D2105" s="14">
        <f>IF(A2105&gt;LastWeek-364,1,0)</f>
        <v/>
      </c>
      <c r="E2105" s="14">
        <f>C2105^2*D2105</f>
        <v/>
      </c>
    </row>
    <row r="2106">
      <c r="A2106" s="26" t="n">
        <v>45460</v>
      </c>
      <c r="B2106" s="14" t="inlineStr">
        <is>
          <t>NB-0021</t>
        </is>
      </c>
      <c r="C2106" s="14" t="n">
        <v>30</v>
      </c>
      <c r="D2106" s="14">
        <f>IF(A2106&gt;LastWeek-364,1,0)</f>
        <v/>
      </c>
      <c r="E2106" s="14">
        <f>C2106^2*D2106</f>
        <v/>
      </c>
    </row>
    <row r="2107">
      <c r="A2107" s="26" t="n">
        <v>45467</v>
      </c>
      <c r="B2107" s="14" t="inlineStr">
        <is>
          <t>NB-0021</t>
        </is>
      </c>
      <c r="C2107" s="14" t="n">
        <v>50</v>
      </c>
      <c r="D2107" s="14">
        <f>IF(A2107&gt;LastWeek-364,1,0)</f>
        <v/>
      </c>
      <c r="E2107" s="14">
        <f>C2107^2*D2107</f>
        <v/>
      </c>
    </row>
    <row r="2108">
      <c r="A2108" s="26" t="n">
        <v>45474</v>
      </c>
      <c r="B2108" s="14" t="inlineStr">
        <is>
          <t>NB-0021</t>
        </is>
      </c>
      <c r="C2108" s="14" t="n">
        <v>27</v>
      </c>
      <c r="D2108" s="14">
        <f>IF(A2108&gt;LastWeek-364,1,0)</f>
        <v/>
      </c>
      <c r="E2108" s="14">
        <f>C2108^2*D2108</f>
        <v/>
      </c>
    </row>
    <row r="2109">
      <c r="A2109" s="26" t="n">
        <v>45481</v>
      </c>
      <c r="B2109" s="14" t="inlineStr">
        <is>
          <t>NB-0021</t>
        </is>
      </c>
      <c r="C2109" s="14" t="n">
        <v>37</v>
      </c>
      <c r="D2109" s="14">
        <f>IF(A2109&gt;LastWeek-364,1,0)</f>
        <v/>
      </c>
      <c r="E2109" s="14">
        <f>C2109^2*D2109</f>
        <v/>
      </c>
    </row>
    <row r="2110">
      <c r="A2110" s="26" t="n">
        <v>45488</v>
      </c>
      <c r="B2110" s="14" t="inlineStr">
        <is>
          <t>NB-0021</t>
        </is>
      </c>
      <c r="C2110" s="14" t="n">
        <v>39</v>
      </c>
      <c r="D2110" s="14">
        <f>IF(A2110&gt;LastWeek-364,1,0)</f>
        <v/>
      </c>
      <c r="E2110" s="14">
        <f>C2110^2*D2110</f>
        <v/>
      </c>
    </row>
    <row r="2111">
      <c r="A2111" s="26" t="n">
        <v>45495</v>
      </c>
      <c r="B2111" s="14" t="inlineStr">
        <is>
          <t>NB-0021</t>
        </is>
      </c>
      <c r="C2111" s="14" t="n">
        <v>59</v>
      </c>
      <c r="D2111" s="14">
        <f>IF(A2111&gt;LastWeek-364,1,0)</f>
        <v/>
      </c>
      <c r="E2111" s="14">
        <f>C2111^2*D2111</f>
        <v/>
      </c>
    </row>
    <row r="2112">
      <c r="A2112" s="26" t="n">
        <v>45502</v>
      </c>
      <c r="B2112" s="14" t="inlineStr">
        <is>
          <t>NB-0021</t>
        </is>
      </c>
      <c r="C2112" s="14" t="n">
        <v>36</v>
      </c>
      <c r="D2112" s="14">
        <f>IF(A2112&gt;LastWeek-364,1,0)</f>
        <v/>
      </c>
      <c r="E2112" s="14">
        <f>C2112^2*D2112</f>
        <v/>
      </c>
    </row>
    <row r="2113">
      <c r="A2113" s="26" t="n">
        <v>45509</v>
      </c>
      <c r="B2113" s="14" t="inlineStr">
        <is>
          <t>NB-0021</t>
        </is>
      </c>
      <c r="C2113" s="14" t="n">
        <v>12</v>
      </c>
      <c r="D2113" s="14">
        <f>IF(A2113&gt;LastWeek-364,1,0)</f>
        <v/>
      </c>
      <c r="E2113" s="14">
        <f>C2113^2*D2113</f>
        <v/>
      </c>
    </row>
    <row r="2114">
      <c r="A2114" s="26" t="n">
        <v>45516</v>
      </c>
      <c r="B2114" s="14" t="inlineStr">
        <is>
          <t>NB-0021</t>
        </is>
      </c>
      <c r="C2114" s="14" t="n">
        <v>48</v>
      </c>
      <c r="D2114" s="14">
        <f>IF(A2114&gt;LastWeek-364,1,0)</f>
        <v/>
      </c>
      <c r="E2114" s="14">
        <f>C2114^2*D2114</f>
        <v/>
      </c>
    </row>
    <row r="2115">
      <c r="A2115" s="26" t="n">
        <v>45523</v>
      </c>
      <c r="B2115" s="14" t="inlineStr">
        <is>
          <t>NB-0021</t>
        </is>
      </c>
      <c r="C2115" s="14" t="n">
        <v>34</v>
      </c>
      <c r="D2115" s="14">
        <f>IF(A2115&gt;LastWeek-364,1,0)</f>
        <v/>
      </c>
      <c r="E2115" s="14">
        <f>C2115^2*D2115</f>
        <v/>
      </c>
    </row>
    <row r="2116">
      <c r="A2116" s="26" t="n">
        <v>45530</v>
      </c>
      <c r="B2116" s="14" t="inlineStr">
        <is>
          <t>NB-0021</t>
        </is>
      </c>
      <c r="C2116" s="14" t="n">
        <v>44</v>
      </c>
      <c r="D2116" s="14">
        <f>IF(A2116&gt;LastWeek-364,1,0)</f>
        <v/>
      </c>
      <c r="E2116" s="14">
        <f>C2116^2*D2116</f>
        <v/>
      </c>
    </row>
    <row r="2117">
      <c r="A2117" s="26" t="n">
        <v>45537</v>
      </c>
      <c r="B2117" s="14" t="inlineStr">
        <is>
          <t>NB-0021</t>
        </is>
      </c>
      <c r="C2117" s="14" t="n">
        <v>43</v>
      </c>
      <c r="D2117" s="14">
        <f>IF(A2117&gt;LastWeek-364,1,0)</f>
        <v/>
      </c>
      <c r="E2117" s="14">
        <f>C2117^2*D2117</f>
        <v/>
      </c>
    </row>
    <row r="2118">
      <c r="A2118" s="26" t="n">
        <v>45544</v>
      </c>
      <c r="B2118" s="14" t="inlineStr">
        <is>
          <t>NB-0021</t>
        </is>
      </c>
      <c r="C2118" s="14" t="n">
        <v>42</v>
      </c>
      <c r="D2118" s="14">
        <f>IF(A2118&gt;LastWeek-364,1,0)</f>
        <v/>
      </c>
      <c r="E2118" s="14">
        <f>C2118^2*D2118</f>
        <v/>
      </c>
    </row>
    <row r="2119">
      <c r="A2119" s="26" t="n">
        <v>45551</v>
      </c>
      <c r="B2119" s="14" t="inlineStr">
        <is>
          <t>NB-0021</t>
        </is>
      </c>
      <c r="C2119" s="14" t="n">
        <v>57</v>
      </c>
      <c r="D2119" s="14">
        <f>IF(A2119&gt;LastWeek-364,1,0)</f>
        <v/>
      </c>
      <c r="E2119" s="14">
        <f>C2119^2*D2119</f>
        <v/>
      </c>
    </row>
    <row r="2120">
      <c r="A2120" s="26" t="n">
        <v>45558</v>
      </c>
      <c r="B2120" s="14" t="inlineStr">
        <is>
          <t>NB-0021</t>
        </is>
      </c>
      <c r="C2120" s="14" t="n">
        <v>26</v>
      </c>
      <c r="D2120" s="14">
        <f>IF(A2120&gt;LastWeek-364,1,0)</f>
        <v/>
      </c>
      <c r="E2120" s="14">
        <f>C2120^2*D2120</f>
        <v/>
      </c>
    </row>
    <row r="2121">
      <c r="A2121" s="26" t="n">
        <v>45565</v>
      </c>
      <c r="B2121" s="14" t="inlineStr">
        <is>
          <t>NB-0021</t>
        </is>
      </c>
      <c r="C2121" s="14" t="n">
        <v>41</v>
      </c>
      <c r="D2121" s="14">
        <f>IF(A2121&gt;LastWeek-364,1,0)</f>
        <v/>
      </c>
      <c r="E2121" s="14">
        <f>C2121^2*D2121</f>
        <v/>
      </c>
    </row>
    <row r="2122">
      <c r="A2122" s="26" t="n">
        <v>45572</v>
      </c>
      <c r="B2122" s="14" t="inlineStr">
        <is>
          <t>NB-0021</t>
        </is>
      </c>
      <c r="C2122" s="14" t="n">
        <v>60</v>
      </c>
      <c r="D2122" s="14">
        <f>IF(A2122&gt;LastWeek-364,1,0)</f>
        <v/>
      </c>
      <c r="E2122" s="14">
        <f>C2122^2*D2122</f>
        <v/>
      </c>
    </row>
    <row r="2123">
      <c r="A2123" s="26" t="n">
        <v>45579</v>
      </c>
      <c r="B2123" s="14" t="inlineStr">
        <is>
          <t>NB-0021</t>
        </is>
      </c>
      <c r="C2123" s="14" t="n">
        <v>42</v>
      </c>
      <c r="D2123" s="14">
        <f>IF(A2123&gt;LastWeek-364,1,0)</f>
        <v/>
      </c>
      <c r="E2123" s="14">
        <f>C2123^2*D2123</f>
        <v/>
      </c>
    </row>
    <row r="2124">
      <c r="A2124" s="26" t="n">
        <v>45586</v>
      </c>
      <c r="B2124" s="14" t="inlineStr">
        <is>
          <t>NB-0021</t>
        </is>
      </c>
      <c r="C2124" s="14" t="n">
        <v>28</v>
      </c>
      <c r="D2124" s="14">
        <f>IF(A2124&gt;LastWeek-364,1,0)</f>
        <v/>
      </c>
      <c r="E2124" s="14">
        <f>C2124^2*D2124</f>
        <v/>
      </c>
    </row>
    <row r="2125">
      <c r="A2125" s="26" t="n">
        <v>45593</v>
      </c>
      <c r="B2125" s="14" t="inlineStr">
        <is>
          <t>NB-0021</t>
        </is>
      </c>
      <c r="C2125" s="14" t="n">
        <v>64</v>
      </c>
      <c r="D2125" s="14">
        <f>IF(A2125&gt;LastWeek-364,1,0)</f>
        <v/>
      </c>
      <c r="E2125" s="14">
        <f>C2125^2*D2125</f>
        <v/>
      </c>
    </row>
    <row r="2126">
      <c r="A2126" s="26" t="n">
        <v>45600</v>
      </c>
      <c r="B2126" s="14" t="inlineStr">
        <is>
          <t>NB-0021</t>
        </is>
      </c>
      <c r="C2126" s="14" t="n">
        <v>72</v>
      </c>
      <c r="D2126" s="14">
        <f>IF(A2126&gt;LastWeek-364,1,0)</f>
        <v/>
      </c>
      <c r="E2126" s="14">
        <f>C2126^2*D2126</f>
        <v/>
      </c>
    </row>
    <row r="2127">
      <c r="A2127" s="26" t="n">
        <v>45607</v>
      </c>
      <c r="B2127" s="14" t="inlineStr">
        <is>
          <t>NB-0021</t>
        </is>
      </c>
      <c r="C2127" s="14" t="n">
        <v>55</v>
      </c>
      <c r="D2127" s="14">
        <f>IF(A2127&gt;LastWeek-364,1,0)</f>
        <v/>
      </c>
      <c r="E2127" s="14">
        <f>C2127^2*D2127</f>
        <v/>
      </c>
    </row>
    <row r="2128">
      <c r="A2128" s="26" t="n">
        <v>45614</v>
      </c>
      <c r="B2128" s="14" t="inlineStr">
        <is>
          <t>NB-0021</t>
        </is>
      </c>
      <c r="C2128" s="14" t="n">
        <v>24</v>
      </c>
      <c r="D2128" s="14">
        <f>IF(A2128&gt;LastWeek-364,1,0)</f>
        <v/>
      </c>
      <c r="E2128" s="14">
        <f>C2128^2*D2128</f>
        <v/>
      </c>
    </row>
    <row r="2129">
      <c r="A2129" s="26" t="n">
        <v>45621</v>
      </c>
      <c r="B2129" s="14" t="inlineStr">
        <is>
          <t>NB-0021</t>
        </is>
      </c>
      <c r="C2129" s="14" t="n">
        <v>69</v>
      </c>
      <c r="D2129" s="14">
        <f>IF(A2129&gt;LastWeek-364,1,0)</f>
        <v/>
      </c>
      <c r="E2129" s="14">
        <f>C2129^2*D2129</f>
        <v/>
      </c>
    </row>
    <row r="2130">
      <c r="A2130" s="26" t="n">
        <v>45628</v>
      </c>
      <c r="B2130" s="14" t="inlineStr">
        <is>
          <t>NB-0021</t>
        </is>
      </c>
      <c r="C2130" s="14" t="n">
        <v>30</v>
      </c>
      <c r="D2130" s="14">
        <f>IF(A2130&gt;LastWeek-364,1,0)</f>
        <v/>
      </c>
      <c r="E2130" s="14">
        <f>C2130^2*D2130</f>
        <v/>
      </c>
    </row>
    <row r="2131">
      <c r="A2131" s="26" t="n">
        <v>45635</v>
      </c>
      <c r="B2131" s="14" t="inlineStr">
        <is>
          <t>NB-0021</t>
        </is>
      </c>
      <c r="C2131" s="14" t="n">
        <v>64</v>
      </c>
      <c r="D2131" s="14">
        <f>IF(A2131&gt;LastWeek-364,1,0)</f>
        <v/>
      </c>
      <c r="E2131" s="14">
        <f>C2131^2*D2131</f>
        <v/>
      </c>
    </row>
    <row r="2132">
      <c r="A2132" s="26" t="n">
        <v>45642</v>
      </c>
      <c r="B2132" s="14" t="inlineStr">
        <is>
          <t>NB-0021</t>
        </is>
      </c>
      <c r="C2132" s="14" t="n">
        <v>44</v>
      </c>
      <c r="D2132" s="14">
        <f>IF(A2132&gt;LastWeek-364,1,0)</f>
        <v/>
      </c>
      <c r="E2132" s="14">
        <f>C2132^2*D2132</f>
        <v/>
      </c>
    </row>
    <row r="2133">
      <c r="A2133" s="26" t="n">
        <v>45649</v>
      </c>
      <c r="B2133" s="14" t="inlineStr">
        <is>
          <t>NB-0021</t>
        </is>
      </c>
      <c r="C2133" s="14" t="n">
        <v>39</v>
      </c>
      <c r="D2133" s="14">
        <f>IF(A2133&gt;LastWeek-364,1,0)</f>
        <v/>
      </c>
      <c r="E2133" s="14">
        <f>C2133^2*D2133</f>
        <v/>
      </c>
    </row>
    <row r="2134">
      <c r="A2134" s="26" t="n">
        <v>45656</v>
      </c>
      <c r="B2134" s="14" t="inlineStr">
        <is>
          <t>NB-0021</t>
        </is>
      </c>
      <c r="C2134" s="14" t="n">
        <v>52</v>
      </c>
      <c r="D2134" s="14">
        <f>IF(A2134&gt;LastWeek-364,1,0)</f>
        <v/>
      </c>
      <c r="E2134" s="14">
        <f>C2134^2*D2134</f>
        <v/>
      </c>
    </row>
    <row r="2135">
      <c r="A2135" s="26" t="n">
        <v>45663</v>
      </c>
      <c r="B2135" s="14" t="inlineStr">
        <is>
          <t>NB-0021</t>
        </is>
      </c>
      <c r="C2135" s="14" t="n">
        <v>56</v>
      </c>
      <c r="D2135" s="14">
        <f>IF(A2135&gt;LastWeek-364,1,0)</f>
        <v/>
      </c>
      <c r="E2135" s="14">
        <f>C2135^2*D2135</f>
        <v/>
      </c>
    </row>
    <row r="2136">
      <c r="A2136" s="26" t="n">
        <v>45670</v>
      </c>
      <c r="B2136" s="14" t="inlineStr">
        <is>
          <t>NB-0021</t>
        </is>
      </c>
      <c r="C2136" s="14" t="n">
        <v>48</v>
      </c>
      <c r="D2136" s="14">
        <f>IF(A2136&gt;LastWeek-364,1,0)</f>
        <v/>
      </c>
      <c r="E2136" s="14">
        <f>C2136^2*D2136</f>
        <v/>
      </c>
    </row>
    <row r="2137">
      <c r="A2137" s="26" t="n">
        <v>45677</v>
      </c>
      <c r="B2137" s="14" t="inlineStr">
        <is>
          <t>NB-0021</t>
        </is>
      </c>
      <c r="C2137" s="14" t="n">
        <v>69</v>
      </c>
      <c r="D2137" s="14">
        <f>IF(A2137&gt;LastWeek-364,1,0)</f>
        <v/>
      </c>
      <c r="E2137" s="14">
        <f>C2137^2*D2137</f>
        <v/>
      </c>
    </row>
    <row r="2138">
      <c r="A2138" s="26" t="n">
        <v>45684</v>
      </c>
      <c r="B2138" s="14" t="inlineStr">
        <is>
          <t>NB-0021</t>
        </is>
      </c>
      <c r="C2138" s="14" t="n">
        <v>51</v>
      </c>
      <c r="D2138" s="14">
        <f>IF(A2138&gt;LastWeek-364,1,0)</f>
        <v/>
      </c>
      <c r="E2138" s="14">
        <f>C2138^2*D2138</f>
        <v/>
      </c>
    </row>
    <row r="2139">
      <c r="A2139" s="26" t="n">
        <v>45691</v>
      </c>
      <c r="B2139" s="14" t="inlineStr">
        <is>
          <t>NB-0021</t>
        </is>
      </c>
      <c r="C2139" s="14" t="n">
        <v>74</v>
      </c>
      <c r="D2139" s="14">
        <f>IF(A2139&gt;LastWeek-364,1,0)</f>
        <v/>
      </c>
      <c r="E2139" s="14">
        <f>C2139^2*D2139</f>
        <v/>
      </c>
    </row>
    <row r="2140">
      <c r="A2140" s="26" t="n">
        <v>45698</v>
      </c>
      <c r="B2140" s="14" t="inlineStr">
        <is>
          <t>NB-0021</t>
        </is>
      </c>
      <c r="C2140" s="14" t="n">
        <v>62</v>
      </c>
      <c r="D2140" s="14">
        <f>IF(A2140&gt;LastWeek-364,1,0)</f>
        <v/>
      </c>
      <c r="E2140" s="14">
        <f>C2140^2*D2140</f>
        <v/>
      </c>
    </row>
    <row r="2141">
      <c r="A2141" s="26" t="n">
        <v>45705</v>
      </c>
      <c r="B2141" s="14" t="inlineStr">
        <is>
          <t>NB-0021</t>
        </is>
      </c>
      <c r="C2141" s="14" t="n">
        <v>45</v>
      </c>
      <c r="D2141" s="14">
        <f>IF(A2141&gt;LastWeek-364,1,0)</f>
        <v/>
      </c>
      <c r="E2141" s="14">
        <f>C2141^2*D2141</f>
        <v/>
      </c>
    </row>
    <row r="2142">
      <c r="A2142" s="26" t="n">
        <v>45712</v>
      </c>
      <c r="B2142" s="14" t="inlineStr">
        <is>
          <t>NB-0021</t>
        </is>
      </c>
      <c r="C2142" s="14" t="n">
        <v>41</v>
      </c>
      <c r="D2142" s="14">
        <f>IF(A2142&gt;LastWeek-364,1,0)</f>
        <v/>
      </c>
      <c r="E2142" s="14">
        <f>C2142^2*D2142</f>
        <v/>
      </c>
    </row>
    <row r="2143">
      <c r="A2143" s="26" t="n">
        <v>45719</v>
      </c>
      <c r="B2143" s="14" t="inlineStr">
        <is>
          <t>NB-0021</t>
        </is>
      </c>
      <c r="C2143" s="14" t="n">
        <v>28</v>
      </c>
      <c r="D2143" s="14">
        <f>IF(A2143&gt;LastWeek-364,1,0)</f>
        <v/>
      </c>
      <c r="E2143" s="14">
        <f>C2143^2*D2143</f>
        <v/>
      </c>
    </row>
    <row r="2144">
      <c r="A2144" s="26" t="n">
        <v>45726</v>
      </c>
      <c r="B2144" s="14" t="inlineStr">
        <is>
          <t>NB-0021</t>
        </is>
      </c>
      <c r="C2144" s="14" t="n">
        <v>58</v>
      </c>
      <c r="D2144" s="14">
        <f>IF(A2144&gt;LastWeek-364,1,0)</f>
        <v/>
      </c>
      <c r="E2144" s="14">
        <f>C2144^2*D2144</f>
        <v/>
      </c>
    </row>
    <row r="2145">
      <c r="A2145" s="26" t="n">
        <v>45733</v>
      </c>
      <c r="B2145" s="14" t="inlineStr">
        <is>
          <t>NB-0021</t>
        </is>
      </c>
      <c r="C2145" s="14" t="n">
        <v>46</v>
      </c>
      <c r="D2145" s="14">
        <f>IF(A2145&gt;LastWeek-364,1,0)</f>
        <v/>
      </c>
      <c r="E2145" s="14">
        <f>C2145^2*D2145</f>
        <v/>
      </c>
    </row>
    <row r="2146">
      <c r="A2146" s="26" t="n">
        <v>45740</v>
      </c>
      <c r="B2146" s="14" t="inlineStr">
        <is>
          <t>NB-0021</t>
        </is>
      </c>
      <c r="C2146" s="14" t="n">
        <v>15</v>
      </c>
      <c r="D2146" s="14">
        <f>IF(A2146&gt;LastWeek-364,1,0)</f>
        <v/>
      </c>
      <c r="E2146" s="14">
        <f>C2146^2*D2146</f>
        <v/>
      </c>
    </row>
    <row r="2147">
      <c r="A2147" s="26" t="n">
        <v>45747</v>
      </c>
      <c r="B2147" s="14" t="inlineStr">
        <is>
          <t>NB-0021</t>
        </is>
      </c>
      <c r="C2147" s="14" t="n">
        <v>42</v>
      </c>
      <c r="D2147" s="14">
        <f>IF(A2147&gt;LastWeek-364,1,0)</f>
        <v/>
      </c>
      <c r="E2147" s="14">
        <f>C2147^2*D2147</f>
        <v/>
      </c>
    </row>
    <row r="2148">
      <c r="A2148" s="26" t="n">
        <v>45754</v>
      </c>
      <c r="B2148" s="14" t="inlineStr">
        <is>
          <t>NB-0021</t>
        </is>
      </c>
      <c r="C2148" s="14" t="n">
        <v>35</v>
      </c>
      <c r="D2148" s="14">
        <f>IF(A2148&gt;LastWeek-364,1,0)</f>
        <v/>
      </c>
      <c r="E2148" s="14">
        <f>C2148^2*D2148</f>
        <v/>
      </c>
    </row>
    <row r="2149">
      <c r="A2149" s="26" t="n">
        <v>45761</v>
      </c>
      <c r="B2149" s="14" t="inlineStr">
        <is>
          <t>NB-0021</t>
        </is>
      </c>
      <c r="C2149" s="14" t="n">
        <v>68</v>
      </c>
      <c r="D2149" s="14">
        <f>IF(A2149&gt;LastWeek-364,1,0)</f>
        <v/>
      </c>
      <c r="E2149" s="14">
        <f>C2149^2*D2149</f>
        <v/>
      </c>
    </row>
    <row r="2150">
      <c r="A2150" s="26" t="n">
        <v>45768</v>
      </c>
      <c r="B2150" s="14" t="inlineStr">
        <is>
          <t>NB-0021</t>
        </is>
      </c>
      <c r="C2150" s="14" t="n">
        <v>23</v>
      </c>
      <c r="D2150" s="14">
        <f>IF(A2150&gt;LastWeek-364,1,0)</f>
        <v/>
      </c>
      <c r="E2150" s="14">
        <f>C2150^2*D2150</f>
        <v/>
      </c>
    </row>
    <row r="2151">
      <c r="A2151" s="26" t="n">
        <v>45775</v>
      </c>
      <c r="B2151" s="14" t="inlineStr">
        <is>
          <t>NB-0021</t>
        </is>
      </c>
      <c r="C2151" s="14" t="n">
        <v>25</v>
      </c>
      <c r="D2151" s="14">
        <f>IF(A2151&gt;LastWeek-364,1,0)</f>
        <v/>
      </c>
      <c r="E2151" s="14">
        <f>C2151^2*D2151</f>
        <v/>
      </c>
    </row>
    <row r="2152">
      <c r="A2152" s="26" t="n">
        <v>45782</v>
      </c>
      <c r="B2152" s="14" t="inlineStr">
        <is>
          <t>NB-0021</t>
        </is>
      </c>
      <c r="C2152" s="14" t="n">
        <v>57</v>
      </c>
      <c r="D2152" s="14">
        <f>IF(A2152&gt;LastWeek-364,1,0)</f>
        <v/>
      </c>
      <c r="E2152" s="14">
        <f>C2152^2*D2152</f>
        <v/>
      </c>
    </row>
    <row r="2153">
      <c r="A2153" s="26" t="n">
        <v>45789</v>
      </c>
      <c r="B2153" s="14" t="inlineStr">
        <is>
          <t>NB-0021</t>
        </is>
      </c>
      <c r="C2153" s="14" t="n">
        <v>59</v>
      </c>
      <c r="D2153" s="14">
        <f>IF(A2153&gt;LastWeek-364,1,0)</f>
        <v/>
      </c>
      <c r="E2153" s="14">
        <f>C2153^2*D2153</f>
        <v/>
      </c>
    </row>
    <row r="2154">
      <c r="A2154" s="26" t="n">
        <v>45796</v>
      </c>
      <c r="B2154" s="14" t="inlineStr">
        <is>
          <t>NB-0021</t>
        </is>
      </c>
      <c r="C2154" s="14" t="n">
        <v>32</v>
      </c>
      <c r="D2154" s="14">
        <f>IF(A2154&gt;LastWeek-364,1,0)</f>
        <v/>
      </c>
      <c r="E2154" s="14">
        <f>C2154^2*D2154</f>
        <v/>
      </c>
    </row>
    <row r="2155">
      <c r="A2155" s="26" t="n">
        <v>45803</v>
      </c>
      <c r="B2155" s="14" t="inlineStr">
        <is>
          <t>NB-0021</t>
        </is>
      </c>
      <c r="C2155" s="14" t="n">
        <v>33</v>
      </c>
      <c r="D2155" s="14">
        <f>IF(A2155&gt;LastWeek-364,1,0)</f>
        <v/>
      </c>
      <c r="E2155" s="14">
        <f>C2155^2*D2155</f>
        <v/>
      </c>
    </row>
    <row r="2156">
      <c r="A2156" s="26" t="n">
        <v>45810</v>
      </c>
      <c r="B2156" s="14" t="inlineStr">
        <is>
          <t>NB-0021</t>
        </is>
      </c>
      <c r="C2156" s="14" t="n">
        <v>46</v>
      </c>
      <c r="D2156" s="14">
        <f>IF(A2156&gt;LastWeek-364,1,0)</f>
        <v/>
      </c>
      <c r="E2156" s="14">
        <f>C2156^2*D2156</f>
        <v/>
      </c>
    </row>
    <row r="2157">
      <c r="A2157" s="26" t="n">
        <v>45817</v>
      </c>
      <c r="B2157" s="14" t="inlineStr">
        <is>
          <t>NB-0021</t>
        </is>
      </c>
      <c r="C2157" s="14" t="n">
        <v>12</v>
      </c>
      <c r="D2157" s="14">
        <f>IF(A2157&gt;LastWeek-364,1,0)</f>
        <v/>
      </c>
      <c r="E2157" s="14">
        <f>C2157^2*D2157</f>
        <v/>
      </c>
    </row>
    <row r="2158">
      <c r="A2158" s="26" t="n">
        <v>45824</v>
      </c>
      <c r="B2158" s="14" t="inlineStr">
        <is>
          <t>NB-0021</t>
        </is>
      </c>
      <c r="C2158" s="14" t="n">
        <v>17</v>
      </c>
      <c r="D2158" s="14">
        <f>IF(A2158&gt;LastWeek-364,1,0)</f>
        <v/>
      </c>
      <c r="E2158" s="14">
        <f>C2158^2*D2158</f>
        <v/>
      </c>
    </row>
    <row r="2159">
      <c r="A2159" s="26" t="n">
        <v>45831</v>
      </c>
      <c r="B2159" s="14" t="inlineStr">
        <is>
          <t>NB-0021</t>
        </is>
      </c>
      <c r="C2159" s="14" t="n">
        <v>35</v>
      </c>
      <c r="D2159" s="14">
        <f>IF(A2159&gt;LastWeek-364,1,0)</f>
        <v/>
      </c>
      <c r="E2159" s="14">
        <f>C2159^2*D2159</f>
        <v/>
      </c>
    </row>
    <row r="2160">
      <c r="A2160" s="26" t="n">
        <v>45838</v>
      </c>
      <c r="B2160" s="14" t="inlineStr">
        <is>
          <t>NB-0021</t>
        </is>
      </c>
      <c r="C2160" s="14" t="n">
        <v>54</v>
      </c>
      <c r="D2160" s="14">
        <f>IF(A2160&gt;LastWeek-364,1,0)</f>
        <v/>
      </c>
      <c r="E2160" s="14">
        <f>C2160^2*D2160</f>
        <v/>
      </c>
    </row>
    <row r="2161">
      <c r="A2161" s="26" t="n">
        <v>45845</v>
      </c>
      <c r="B2161" s="14" t="inlineStr">
        <is>
          <t>NB-0021</t>
        </is>
      </c>
      <c r="C2161" s="14" t="n">
        <v>32</v>
      </c>
      <c r="D2161" s="14">
        <f>IF(A2161&gt;LastWeek-364,1,0)</f>
        <v/>
      </c>
      <c r="E2161" s="14">
        <f>C2161^2*D2161</f>
        <v/>
      </c>
    </row>
    <row r="2162">
      <c r="A2162" s="26" t="n">
        <v>45852</v>
      </c>
      <c r="B2162" s="14" t="inlineStr">
        <is>
          <t>NB-0021</t>
        </is>
      </c>
      <c r="C2162" s="14" t="n">
        <v>38</v>
      </c>
      <c r="D2162" s="14">
        <f>IF(A2162&gt;LastWeek-364,1,0)</f>
        <v/>
      </c>
      <c r="E2162" s="14">
        <f>C2162^2*D2162</f>
        <v/>
      </c>
    </row>
    <row r="2163">
      <c r="A2163" s="26" t="n">
        <v>45859</v>
      </c>
      <c r="B2163" s="14" t="inlineStr">
        <is>
          <t>NB-0021</t>
        </is>
      </c>
      <c r="C2163" s="14" t="n">
        <v>50</v>
      </c>
      <c r="D2163" s="14">
        <f>IF(A2163&gt;LastWeek-364,1,0)</f>
        <v/>
      </c>
      <c r="E2163" s="14">
        <f>C2163^2*D2163</f>
        <v/>
      </c>
    </row>
    <row r="2164">
      <c r="A2164" s="26" t="n">
        <v>45866</v>
      </c>
      <c r="B2164" s="14" t="inlineStr">
        <is>
          <t>NB-0021</t>
        </is>
      </c>
      <c r="C2164" s="14" t="n">
        <v>61</v>
      </c>
      <c r="D2164" s="14">
        <f>IF(A2164&gt;LastWeek-364,1,0)</f>
        <v/>
      </c>
      <c r="E2164" s="14">
        <f>C2164^2*D2164</f>
        <v/>
      </c>
    </row>
    <row r="2165">
      <c r="A2165" s="26" t="n">
        <v>45873</v>
      </c>
      <c r="B2165" s="14" t="inlineStr">
        <is>
          <t>NB-0021</t>
        </is>
      </c>
      <c r="C2165" s="14" t="n">
        <v>32</v>
      </c>
      <c r="D2165" s="14">
        <f>IF(A2165&gt;LastWeek-364,1,0)</f>
        <v/>
      </c>
      <c r="E2165" s="14">
        <f>C2165^2*D2165</f>
        <v/>
      </c>
    </row>
    <row r="2166">
      <c r="A2166" s="26" t="n">
        <v>45880</v>
      </c>
      <c r="B2166" s="14" t="inlineStr">
        <is>
          <t>NB-0021</t>
        </is>
      </c>
      <c r="C2166" s="14" t="n">
        <v>39</v>
      </c>
      <c r="D2166" s="14">
        <f>IF(A2166&gt;LastWeek-364,1,0)</f>
        <v/>
      </c>
      <c r="E2166" s="14">
        <f>C2166^2*D2166</f>
        <v/>
      </c>
    </row>
    <row r="2167">
      <c r="A2167" s="26" t="n">
        <v>45887</v>
      </c>
      <c r="B2167" s="14" t="inlineStr">
        <is>
          <t>NB-0021</t>
        </is>
      </c>
      <c r="C2167" s="14" t="n">
        <v>61</v>
      </c>
      <c r="D2167" s="14">
        <f>IF(A2167&gt;LastWeek-364,1,0)</f>
        <v/>
      </c>
      <c r="E2167" s="14">
        <f>C2167^2*D2167</f>
        <v/>
      </c>
    </row>
    <row r="2168">
      <c r="A2168" s="26" t="n">
        <v>45894</v>
      </c>
      <c r="B2168" s="14" t="inlineStr">
        <is>
          <t>NB-0021</t>
        </is>
      </c>
      <c r="C2168" s="14" t="n">
        <v>22</v>
      </c>
      <c r="D2168" s="14">
        <f>IF(A2168&gt;LastWeek-364,1,0)</f>
        <v/>
      </c>
      <c r="E2168" s="14">
        <f>C2168^2*D2168</f>
        <v/>
      </c>
    </row>
    <row r="2169">
      <c r="A2169" s="26" t="n">
        <v>45901</v>
      </c>
      <c r="B2169" s="14" t="inlineStr">
        <is>
          <t>NB-0021</t>
        </is>
      </c>
      <c r="C2169" s="14" t="n">
        <v>53</v>
      </c>
      <c r="D2169" s="14">
        <f>IF(A2169&gt;LastWeek-364,1,0)</f>
        <v/>
      </c>
      <c r="E2169" s="14">
        <f>C2169^2*D2169</f>
        <v/>
      </c>
    </row>
    <row r="2170">
      <c r="A2170" s="26" t="n">
        <v>45908</v>
      </c>
      <c r="B2170" s="14" t="inlineStr">
        <is>
          <t>NB-0021</t>
        </is>
      </c>
      <c r="C2170" s="14" t="n">
        <v>29</v>
      </c>
      <c r="D2170" s="14">
        <f>IF(A2170&gt;LastWeek-364,1,0)</f>
        <v/>
      </c>
      <c r="E2170" s="14">
        <f>C2170^2*D2170</f>
        <v/>
      </c>
    </row>
    <row r="2171">
      <c r="A2171" s="26" t="n">
        <v>45915</v>
      </c>
      <c r="B2171" s="14" t="inlineStr">
        <is>
          <t>NB-0021</t>
        </is>
      </c>
      <c r="C2171" s="14" t="n">
        <v>44</v>
      </c>
      <c r="D2171" s="14">
        <f>IF(A2171&gt;LastWeek-364,1,0)</f>
        <v/>
      </c>
      <c r="E2171" s="14">
        <f>C2171^2*D2171</f>
        <v/>
      </c>
    </row>
    <row r="2172">
      <c r="A2172" s="26" t="n">
        <v>45922</v>
      </c>
      <c r="B2172" s="14" t="inlineStr">
        <is>
          <t>NB-0021</t>
        </is>
      </c>
      <c r="C2172" s="14" t="n">
        <v>41</v>
      </c>
      <c r="D2172" s="14">
        <f>IF(A2172&gt;LastWeek-364,1,0)</f>
        <v/>
      </c>
      <c r="E2172" s="14">
        <f>C2172^2*D2172</f>
        <v/>
      </c>
    </row>
    <row r="2173">
      <c r="A2173" s="26" t="n">
        <v>45929</v>
      </c>
      <c r="B2173" s="14" t="inlineStr">
        <is>
          <t>NB-0021</t>
        </is>
      </c>
      <c r="C2173" s="14" t="n">
        <v>32</v>
      </c>
      <c r="D2173" s="14">
        <f>IF(A2173&gt;LastWeek-364,1,0)</f>
        <v/>
      </c>
      <c r="E2173" s="14">
        <f>C2173^2*D2173</f>
        <v/>
      </c>
    </row>
    <row r="2174">
      <c r="A2174" s="26" t="n">
        <v>45936</v>
      </c>
      <c r="B2174" s="14" t="inlineStr">
        <is>
          <t>NB-0021</t>
        </is>
      </c>
      <c r="C2174" s="14" t="n">
        <v>33</v>
      </c>
      <c r="D2174" s="14">
        <f>IF(A2174&gt;LastWeek-364,1,0)</f>
        <v/>
      </c>
      <c r="E2174" s="14">
        <f>C2174^2*D2174</f>
        <v/>
      </c>
    </row>
    <row r="2175">
      <c r="A2175" s="26" t="n">
        <v>45943</v>
      </c>
      <c r="B2175" s="14" t="inlineStr">
        <is>
          <t>NB-0021</t>
        </is>
      </c>
      <c r="C2175" s="14" t="n">
        <v>51</v>
      </c>
      <c r="D2175" s="14">
        <f>IF(A2175&gt;LastWeek-364,1,0)</f>
        <v/>
      </c>
      <c r="E2175" s="14">
        <f>C2175^2*D2175</f>
        <v/>
      </c>
    </row>
    <row r="2176">
      <c r="A2176" s="26" t="n">
        <v>45950</v>
      </c>
      <c r="B2176" s="14" t="inlineStr">
        <is>
          <t>NB-0021</t>
        </is>
      </c>
      <c r="C2176" s="14" t="n">
        <v>63</v>
      </c>
      <c r="D2176" s="14">
        <f>IF(A2176&gt;LastWeek-364,1,0)</f>
        <v/>
      </c>
      <c r="E2176" s="14">
        <f>C2176^2*D2176</f>
        <v/>
      </c>
    </row>
    <row r="2177">
      <c r="A2177" s="26" t="n">
        <v>45957</v>
      </c>
      <c r="B2177" s="14" t="inlineStr">
        <is>
          <t>NB-0021</t>
        </is>
      </c>
      <c r="C2177" s="14" t="n">
        <v>48</v>
      </c>
      <c r="D2177" s="14">
        <f>IF(A2177&gt;LastWeek-364,1,0)</f>
        <v/>
      </c>
      <c r="E2177" s="14">
        <f>C2177^2*D2177</f>
        <v/>
      </c>
    </row>
    <row r="2178">
      <c r="A2178" s="26" t="n">
        <v>45964</v>
      </c>
      <c r="B2178" s="14" t="inlineStr">
        <is>
          <t>NB-0021</t>
        </is>
      </c>
      <c r="C2178" s="14" t="n">
        <v>52</v>
      </c>
      <c r="D2178" s="14">
        <f>IF(A2178&gt;LastWeek-364,1,0)</f>
        <v/>
      </c>
      <c r="E2178" s="14">
        <f>C2178^2*D2178</f>
        <v/>
      </c>
    </row>
    <row r="2179">
      <c r="A2179" s="26" t="n">
        <v>45971</v>
      </c>
      <c r="B2179" s="14" t="inlineStr">
        <is>
          <t>NB-0021</t>
        </is>
      </c>
      <c r="C2179" s="14" t="n">
        <v>60</v>
      </c>
      <c r="D2179" s="14">
        <f>IF(A2179&gt;LastWeek-364,1,0)</f>
        <v/>
      </c>
      <c r="E2179" s="14">
        <f>C2179^2*D2179</f>
        <v/>
      </c>
    </row>
    <row r="2180">
      <c r="A2180" s="26" t="n">
        <v>45978</v>
      </c>
      <c r="B2180" s="14" t="inlineStr">
        <is>
          <t>NB-0021</t>
        </is>
      </c>
      <c r="C2180" s="14" t="n">
        <v>37</v>
      </c>
      <c r="D2180" s="14">
        <f>IF(A2180&gt;LastWeek-364,1,0)</f>
        <v/>
      </c>
      <c r="E2180" s="14">
        <f>C2180^2*D2180</f>
        <v/>
      </c>
    </row>
    <row r="2181">
      <c r="A2181" s="26" t="n">
        <v>45985</v>
      </c>
      <c r="B2181" s="14" t="inlineStr">
        <is>
          <t>NB-0021</t>
        </is>
      </c>
      <c r="C2181" s="14" t="n">
        <v>65</v>
      </c>
      <c r="D2181" s="14">
        <f>IF(A2181&gt;LastWeek-364,1,0)</f>
        <v/>
      </c>
      <c r="E2181" s="14">
        <f>C2181^2*D2181</f>
        <v/>
      </c>
    </row>
    <row r="2182">
      <c r="A2182" s="26" t="n">
        <v>45992</v>
      </c>
      <c r="B2182" s="14" t="inlineStr">
        <is>
          <t>NB-0021</t>
        </is>
      </c>
      <c r="C2182" s="14" t="n">
        <v>67</v>
      </c>
      <c r="D2182" s="14">
        <f>IF(A2182&gt;LastWeek-364,1,0)</f>
        <v/>
      </c>
      <c r="E2182" s="14">
        <f>C2182^2*D2182</f>
        <v/>
      </c>
    </row>
    <row r="2183">
      <c r="A2183" s="26" t="n">
        <v>45999</v>
      </c>
      <c r="B2183" s="14" t="inlineStr">
        <is>
          <t>NB-0021</t>
        </is>
      </c>
      <c r="C2183" s="14" t="n">
        <v>96</v>
      </c>
      <c r="D2183" s="14">
        <f>IF(A2183&gt;LastWeek-364,1,0)</f>
        <v/>
      </c>
      <c r="E2183" s="14">
        <f>C2183^2*D2183</f>
        <v/>
      </c>
    </row>
    <row r="2184">
      <c r="A2184" s="26" t="n">
        <v>46006</v>
      </c>
      <c r="B2184" s="14" t="inlineStr">
        <is>
          <t>NB-0021</t>
        </is>
      </c>
      <c r="C2184" s="14" t="n">
        <v>49</v>
      </c>
      <c r="D2184" s="14">
        <f>IF(A2184&gt;LastWeek-364,1,0)</f>
        <v/>
      </c>
      <c r="E2184" s="14">
        <f>C2184^2*D2184</f>
        <v/>
      </c>
    </row>
    <row r="2185">
      <c r="A2185" s="26" t="n">
        <v>46013</v>
      </c>
      <c r="B2185" s="14" t="inlineStr">
        <is>
          <t>NB-0021</t>
        </is>
      </c>
      <c r="C2185" s="14" t="n">
        <v>48</v>
      </c>
      <c r="D2185" s="14">
        <f>IF(A2185&gt;LastWeek-364,1,0)</f>
        <v/>
      </c>
      <c r="E2185" s="14">
        <f>C2185^2*D2185</f>
        <v/>
      </c>
    </row>
    <row r="2186">
      <c r="A2186" s="26" t="n">
        <v>45292</v>
      </c>
      <c r="B2186" s="14" t="inlineStr">
        <is>
          <t>NB-0022</t>
        </is>
      </c>
      <c r="C2186" s="14" t="n">
        <v>23</v>
      </c>
      <c r="D2186" s="14">
        <f>IF(A2186&gt;LastWeek-364,1,0)</f>
        <v/>
      </c>
      <c r="E2186" s="14">
        <f>C2186^2*D2186</f>
        <v/>
      </c>
    </row>
    <row r="2187">
      <c r="A2187" s="26" t="n">
        <v>45299</v>
      </c>
      <c r="B2187" s="14" t="inlineStr">
        <is>
          <t>NB-0022</t>
        </is>
      </c>
      <c r="C2187" s="14" t="n">
        <v>23</v>
      </c>
      <c r="D2187" s="14">
        <f>IF(A2187&gt;LastWeek-364,1,0)</f>
        <v/>
      </c>
      <c r="E2187" s="14">
        <f>C2187^2*D2187</f>
        <v/>
      </c>
    </row>
    <row r="2188">
      <c r="A2188" s="26" t="n">
        <v>45306</v>
      </c>
      <c r="B2188" s="14" t="inlineStr">
        <is>
          <t>NB-0022</t>
        </is>
      </c>
      <c r="C2188" s="14" t="n">
        <v>17</v>
      </c>
      <c r="D2188" s="14">
        <f>IF(A2188&gt;LastWeek-364,1,0)</f>
        <v/>
      </c>
      <c r="E2188" s="14">
        <f>C2188^2*D2188</f>
        <v/>
      </c>
    </row>
    <row r="2189">
      <c r="A2189" s="26" t="n">
        <v>45313</v>
      </c>
      <c r="B2189" s="14" t="inlineStr">
        <is>
          <t>NB-0022</t>
        </is>
      </c>
      <c r="C2189" s="14" t="n">
        <v>18</v>
      </c>
      <c r="D2189" s="14">
        <f>IF(A2189&gt;LastWeek-364,1,0)</f>
        <v/>
      </c>
      <c r="E2189" s="14">
        <f>C2189^2*D2189</f>
        <v/>
      </c>
    </row>
    <row r="2190">
      <c r="A2190" s="26" t="n">
        <v>45320</v>
      </c>
      <c r="B2190" s="14" t="inlineStr">
        <is>
          <t>NB-0022</t>
        </is>
      </c>
      <c r="C2190" s="14" t="n">
        <v>22</v>
      </c>
      <c r="D2190" s="14">
        <f>IF(A2190&gt;LastWeek-364,1,0)</f>
        <v/>
      </c>
      <c r="E2190" s="14">
        <f>C2190^2*D2190</f>
        <v/>
      </c>
    </row>
    <row r="2191">
      <c r="A2191" s="26" t="n">
        <v>45327</v>
      </c>
      <c r="B2191" s="14" t="inlineStr">
        <is>
          <t>NB-0022</t>
        </is>
      </c>
      <c r="C2191" s="14" t="n">
        <v>16</v>
      </c>
      <c r="D2191" s="14">
        <f>IF(A2191&gt;LastWeek-364,1,0)</f>
        <v/>
      </c>
      <c r="E2191" s="14">
        <f>C2191^2*D2191</f>
        <v/>
      </c>
    </row>
    <row r="2192">
      <c r="A2192" s="26" t="n">
        <v>45334</v>
      </c>
      <c r="B2192" s="14" t="inlineStr">
        <is>
          <t>NB-0022</t>
        </is>
      </c>
      <c r="C2192" s="14" t="n">
        <v>17</v>
      </c>
      <c r="D2192" s="14">
        <f>IF(A2192&gt;LastWeek-364,1,0)</f>
        <v/>
      </c>
      <c r="E2192" s="14">
        <f>C2192^2*D2192</f>
        <v/>
      </c>
    </row>
    <row r="2193">
      <c r="A2193" s="26" t="n">
        <v>45341</v>
      </c>
      <c r="B2193" s="14" t="inlineStr">
        <is>
          <t>NB-0022</t>
        </is>
      </c>
      <c r="C2193" s="14" t="n">
        <v>19</v>
      </c>
      <c r="D2193" s="14">
        <f>IF(A2193&gt;LastWeek-364,1,0)</f>
        <v/>
      </c>
      <c r="E2193" s="14">
        <f>C2193^2*D2193</f>
        <v/>
      </c>
    </row>
    <row r="2194">
      <c r="A2194" s="26" t="n">
        <v>45348</v>
      </c>
      <c r="B2194" s="14" t="inlineStr">
        <is>
          <t>NB-0022</t>
        </is>
      </c>
      <c r="C2194" s="14" t="n">
        <v>23</v>
      </c>
      <c r="D2194" s="14">
        <f>IF(A2194&gt;LastWeek-364,1,0)</f>
        <v/>
      </c>
      <c r="E2194" s="14">
        <f>C2194^2*D2194</f>
        <v/>
      </c>
    </row>
    <row r="2195">
      <c r="A2195" s="26" t="n">
        <v>45355</v>
      </c>
      <c r="B2195" s="14" t="inlineStr">
        <is>
          <t>NB-0022</t>
        </is>
      </c>
      <c r="C2195" s="14" t="n">
        <v>16</v>
      </c>
      <c r="D2195" s="14">
        <f>IF(A2195&gt;LastWeek-364,1,0)</f>
        <v/>
      </c>
      <c r="E2195" s="14">
        <f>C2195^2*D2195</f>
        <v/>
      </c>
    </row>
    <row r="2196">
      <c r="A2196" s="26" t="n">
        <v>45362</v>
      </c>
      <c r="B2196" s="14" t="inlineStr">
        <is>
          <t>NB-0022</t>
        </is>
      </c>
      <c r="C2196" s="14" t="n">
        <v>10</v>
      </c>
      <c r="D2196" s="14">
        <f>IF(A2196&gt;LastWeek-364,1,0)</f>
        <v/>
      </c>
      <c r="E2196" s="14">
        <f>C2196^2*D2196</f>
        <v/>
      </c>
    </row>
    <row r="2197">
      <c r="A2197" s="26" t="n">
        <v>45369</v>
      </c>
      <c r="B2197" s="14" t="inlineStr">
        <is>
          <t>NB-0022</t>
        </is>
      </c>
      <c r="C2197" s="14" t="n">
        <v>9</v>
      </c>
      <c r="D2197" s="14">
        <f>IF(A2197&gt;LastWeek-364,1,0)</f>
        <v/>
      </c>
      <c r="E2197" s="14">
        <f>C2197^2*D2197</f>
        <v/>
      </c>
    </row>
    <row r="2198">
      <c r="A2198" s="26" t="n">
        <v>45376</v>
      </c>
      <c r="B2198" s="14" t="inlineStr">
        <is>
          <t>NB-0022</t>
        </is>
      </c>
      <c r="C2198" s="14" t="n">
        <v>12</v>
      </c>
      <c r="D2198" s="14">
        <f>IF(A2198&gt;LastWeek-364,1,0)</f>
        <v/>
      </c>
      <c r="E2198" s="14">
        <f>C2198^2*D2198</f>
        <v/>
      </c>
    </row>
    <row r="2199">
      <c r="A2199" s="26" t="n">
        <v>45383</v>
      </c>
      <c r="B2199" s="14" t="inlineStr">
        <is>
          <t>NB-0022</t>
        </is>
      </c>
      <c r="C2199" s="14" t="n">
        <v>11</v>
      </c>
      <c r="D2199" s="14">
        <f>IF(A2199&gt;LastWeek-364,1,0)</f>
        <v/>
      </c>
      <c r="E2199" s="14">
        <f>C2199^2*D2199</f>
        <v/>
      </c>
    </row>
    <row r="2200">
      <c r="A2200" s="26" t="n">
        <v>45390</v>
      </c>
      <c r="B2200" s="14" t="inlineStr">
        <is>
          <t>NB-0022</t>
        </is>
      </c>
      <c r="C2200" s="14" t="n">
        <v>15</v>
      </c>
      <c r="D2200" s="14">
        <f>IF(A2200&gt;LastWeek-364,1,0)</f>
        <v/>
      </c>
      <c r="E2200" s="14">
        <f>C2200^2*D2200</f>
        <v/>
      </c>
    </row>
    <row r="2201">
      <c r="A2201" s="26" t="n">
        <v>45397</v>
      </c>
      <c r="B2201" s="14" t="inlineStr">
        <is>
          <t>NB-0022</t>
        </is>
      </c>
      <c r="C2201" s="14" t="n">
        <v>11</v>
      </c>
      <c r="D2201" s="14">
        <f>IF(A2201&gt;LastWeek-364,1,0)</f>
        <v/>
      </c>
      <c r="E2201" s="14">
        <f>C2201^2*D2201</f>
        <v/>
      </c>
    </row>
    <row r="2202">
      <c r="A2202" s="26" t="n">
        <v>45404</v>
      </c>
      <c r="B2202" s="14" t="inlineStr">
        <is>
          <t>NB-0022</t>
        </is>
      </c>
      <c r="C2202" s="14" t="n">
        <v>13</v>
      </c>
      <c r="D2202" s="14">
        <f>IF(A2202&gt;LastWeek-364,1,0)</f>
        <v/>
      </c>
      <c r="E2202" s="14">
        <f>C2202^2*D2202</f>
        <v/>
      </c>
    </row>
    <row r="2203">
      <c r="A2203" s="26" t="n">
        <v>45411</v>
      </c>
      <c r="B2203" s="14" t="inlineStr">
        <is>
          <t>NB-0022</t>
        </is>
      </c>
      <c r="C2203" s="14" t="n">
        <v>12</v>
      </c>
      <c r="D2203" s="14">
        <f>IF(A2203&gt;LastWeek-364,1,0)</f>
        <v/>
      </c>
      <c r="E2203" s="14">
        <f>C2203^2*D2203</f>
        <v/>
      </c>
    </row>
    <row r="2204">
      <c r="A2204" s="26" t="n">
        <v>45418</v>
      </c>
      <c r="B2204" s="14" t="inlineStr">
        <is>
          <t>NB-0022</t>
        </is>
      </c>
      <c r="C2204" s="14" t="n">
        <v>13</v>
      </c>
      <c r="D2204" s="14">
        <f>IF(A2204&gt;LastWeek-364,1,0)</f>
        <v/>
      </c>
      <c r="E2204" s="14">
        <f>C2204^2*D2204</f>
        <v/>
      </c>
    </row>
    <row r="2205">
      <c r="A2205" s="26" t="n">
        <v>45425</v>
      </c>
      <c r="B2205" s="14" t="inlineStr">
        <is>
          <t>NB-0022</t>
        </is>
      </c>
      <c r="C2205" s="14" t="n">
        <v>18</v>
      </c>
      <c r="D2205" s="14">
        <f>IF(A2205&gt;LastWeek-364,1,0)</f>
        <v/>
      </c>
      <c r="E2205" s="14">
        <f>C2205^2*D2205</f>
        <v/>
      </c>
    </row>
    <row r="2206">
      <c r="A2206" s="26" t="n">
        <v>45432</v>
      </c>
      <c r="B2206" s="14" t="inlineStr">
        <is>
          <t>NB-0022</t>
        </is>
      </c>
      <c r="C2206" s="14" t="n">
        <v>15</v>
      </c>
      <c r="D2206" s="14">
        <f>IF(A2206&gt;LastWeek-364,1,0)</f>
        <v/>
      </c>
      <c r="E2206" s="14">
        <f>C2206^2*D2206</f>
        <v/>
      </c>
    </row>
    <row r="2207">
      <c r="A2207" s="26" t="n">
        <v>45439</v>
      </c>
      <c r="B2207" s="14" t="inlineStr">
        <is>
          <t>NB-0022</t>
        </is>
      </c>
      <c r="C2207" s="14" t="n">
        <v>13</v>
      </c>
      <c r="D2207" s="14">
        <f>IF(A2207&gt;LastWeek-364,1,0)</f>
        <v/>
      </c>
      <c r="E2207" s="14">
        <f>C2207^2*D2207</f>
        <v/>
      </c>
    </row>
    <row r="2208">
      <c r="A2208" s="26" t="n">
        <v>45446</v>
      </c>
      <c r="B2208" s="14" t="inlineStr">
        <is>
          <t>NB-0022</t>
        </is>
      </c>
      <c r="C2208" s="14" t="n">
        <v>11</v>
      </c>
      <c r="D2208" s="14">
        <f>IF(A2208&gt;LastWeek-364,1,0)</f>
        <v/>
      </c>
      <c r="E2208" s="14">
        <f>C2208^2*D2208</f>
        <v/>
      </c>
    </row>
    <row r="2209">
      <c r="A2209" s="26" t="n">
        <v>45453</v>
      </c>
      <c r="B2209" s="14" t="inlineStr">
        <is>
          <t>NB-0022</t>
        </is>
      </c>
      <c r="C2209" s="14" t="n">
        <v>11</v>
      </c>
      <c r="D2209" s="14">
        <f>IF(A2209&gt;LastWeek-364,1,0)</f>
        <v/>
      </c>
      <c r="E2209" s="14">
        <f>C2209^2*D2209</f>
        <v/>
      </c>
    </row>
    <row r="2210">
      <c r="A2210" s="26" t="n">
        <v>45460</v>
      </c>
      <c r="B2210" s="14" t="inlineStr">
        <is>
          <t>NB-0022</t>
        </is>
      </c>
      <c r="C2210" s="14" t="n">
        <v>13</v>
      </c>
      <c r="D2210" s="14">
        <f>IF(A2210&gt;LastWeek-364,1,0)</f>
        <v/>
      </c>
      <c r="E2210" s="14">
        <f>C2210^2*D2210</f>
        <v/>
      </c>
    </row>
    <row r="2211">
      <c r="A2211" s="26" t="n">
        <v>45467</v>
      </c>
      <c r="B2211" s="14" t="inlineStr">
        <is>
          <t>NB-0022</t>
        </is>
      </c>
      <c r="C2211" s="14" t="n">
        <v>14</v>
      </c>
      <c r="D2211" s="14">
        <f>IF(A2211&gt;LastWeek-364,1,0)</f>
        <v/>
      </c>
      <c r="E2211" s="14">
        <f>C2211^2*D2211</f>
        <v/>
      </c>
    </row>
    <row r="2212">
      <c r="A2212" s="26" t="n">
        <v>45474</v>
      </c>
      <c r="B2212" s="14" t="inlineStr">
        <is>
          <t>NB-0022</t>
        </is>
      </c>
      <c r="C2212" s="14" t="n">
        <v>9</v>
      </c>
      <c r="D2212" s="14">
        <f>IF(A2212&gt;LastWeek-364,1,0)</f>
        <v/>
      </c>
      <c r="E2212" s="14">
        <f>C2212^2*D2212</f>
        <v/>
      </c>
    </row>
    <row r="2213">
      <c r="A2213" s="26" t="n">
        <v>45481</v>
      </c>
      <c r="B2213" s="14" t="inlineStr">
        <is>
          <t>NB-0022</t>
        </is>
      </c>
      <c r="C2213" s="14" t="n">
        <v>12</v>
      </c>
      <c r="D2213" s="14">
        <f>IF(A2213&gt;LastWeek-364,1,0)</f>
        <v/>
      </c>
      <c r="E2213" s="14">
        <f>C2213^2*D2213</f>
        <v/>
      </c>
    </row>
    <row r="2214">
      <c r="A2214" s="26" t="n">
        <v>45488</v>
      </c>
      <c r="B2214" s="14" t="inlineStr">
        <is>
          <t>NB-0022</t>
        </is>
      </c>
      <c r="C2214" s="14" t="n">
        <v>6</v>
      </c>
      <c r="D2214" s="14">
        <f>IF(A2214&gt;LastWeek-364,1,0)</f>
        <v/>
      </c>
      <c r="E2214" s="14">
        <f>C2214^2*D2214</f>
        <v/>
      </c>
    </row>
    <row r="2215">
      <c r="A2215" s="26" t="n">
        <v>45495</v>
      </c>
      <c r="B2215" s="14" t="inlineStr">
        <is>
          <t>NB-0022</t>
        </is>
      </c>
      <c r="C2215" s="14" t="n">
        <v>13</v>
      </c>
      <c r="D2215" s="14">
        <f>IF(A2215&gt;LastWeek-364,1,0)</f>
        <v/>
      </c>
      <c r="E2215" s="14">
        <f>C2215^2*D2215</f>
        <v/>
      </c>
    </row>
    <row r="2216">
      <c r="A2216" s="26" t="n">
        <v>45502</v>
      </c>
      <c r="B2216" s="14" t="inlineStr">
        <is>
          <t>NB-0022</t>
        </is>
      </c>
      <c r="C2216" s="14" t="n">
        <v>15</v>
      </c>
      <c r="D2216" s="14">
        <f>IF(A2216&gt;LastWeek-364,1,0)</f>
        <v/>
      </c>
      <c r="E2216" s="14">
        <f>C2216^2*D2216</f>
        <v/>
      </c>
    </row>
    <row r="2217">
      <c r="A2217" s="26" t="n">
        <v>45509</v>
      </c>
      <c r="B2217" s="14" t="inlineStr">
        <is>
          <t>NB-0022</t>
        </is>
      </c>
      <c r="C2217" s="14" t="n">
        <v>12</v>
      </c>
      <c r="D2217" s="14">
        <f>IF(A2217&gt;LastWeek-364,1,0)</f>
        <v/>
      </c>
      <c r="E2217" s="14">
        <f>C2217^2*D2217</f>
        <v/>
      </c>
    </row>
    <row r="2218">
      <c r="A2218" s="26" t="n">
        <v>45516</v>
      </c>
      <c r="B2218" s="14" t="inlineStr">
        <is>
          <t>NB-0022</t>
        </is>
      </c>
      <c r="C2218" s="14" t="n">
        <v>19</v>
      </c>
      <c r="D2218" s="14">
        <f>IF(A2218&gt;LastWeek-364,1,0)</f>
        <v/>
      </c>
      <c r="E2218" s="14">
        <f>C2218^2*D2218</f>
        <v/>
      </c>
    </row>
    <row r="2219">
      <c r="A2219" s="26" t="n">
        <v>45523</v>
      </c>
      <c r="B2219" s="14" t="inlineStr">
        <is>
          <t>NB-0022</t>
        </is>
      </c>
      <c r="C2219" s="14" t="n">
        <v>11</v>
      </c>
      <c r="D2219" s="14">
        <f>IF(A2219&gt;LastWeek-364,1,0)</f>
        <v/>
      </c>
      <c r="E2219" s="14">
        <f>C2219^2*D2219</f>
        <v/>
      </c>
    </row>
    <row r="2220">
      <c r="A2220" s="26" t="n">
        <v>45530</v>
      </c>
      <c r="B2220" s="14" t="inlineStr">
        <is>
          <t>NB-0022</t>
        </is>
      </c>
      <c r="C2220" s="14" t="n">
        <v>15</v>
      </c>
      <c r="D2220" s="14">
        <f>IF(A2220&gt;LastWeek-364,1,0)</f>
        <v/>
      </c>
      <c r="E2220" s="14">
        <f>C2220^2*D2220</f>
        <v/>
      </c>
    </row>
    <row r="2221">
      <c r="A2221" s="26" t="n">
        <v>45537</v>
      </c>
      <c r="B2221" s="14" t="inlineStr">
        <is>
          <t>NB-0022</t>
        </is>
      </c>
      <c r="C2221" s="14" t="n">
        <v>15</v>
      </c>
      <c r="D2221" s="14">
        <f>IF(A2221&gt;LastWeek-364,1,0)</f>
        <v/>
      </c>
      <c r="E2221" s="14">
        <f>C2221^2*D2221</f>
        <v/>
      </c>
    </row>
    <row r="2222">
      <c r="A2222" s="26" t="n">
        <v>45544</v>
      </c>
      <c r="B2222" s="14" t="inlineStr">
        <is>
          <t>NB-0022</t>
        </is>
      </c>
      <c r="C2222" s="14" t="n">
        <v>15</v>
      </c>
      <c r="D2222" s="14">
        <f>IF(A2222&gt;LastWeek-364,1,0)</f>
        <v/>
      </c>
      <c r="E2222" s="14">
        <f>C2222^2*D2222</f>
        <v/>
      </c>
    </row>
    <row r="2223">
      <c r="A2223" s="26" t="n">
        <v>45551</v>
      </c>
      <c r="B2223" s="14" t="inlineStr">
        <is>
          <t>NB-0022</t>
        </is>
      </c>
      <c r="C2223" s="14" t="n">
        <v>16</v>
      </c>
      <c r="D2223" s="14">
        <f>IF(A2223&gt;LastWeek-364,1,0)</f>
        <v/>
      </c>
      <c r="E2223" s="14">
        <f>C2223^2*D2223</f>
        <v/>
      </c>
    </row>
    <row r="2224">
      <c r="A2224" s="26" t="n">
        <v>45558</v>
      </c>
      <c r="B2224" s="14" t="inlineStr">
        <is>
          <t>NB-0022</t>
        </is>
      </c>
      <c r="C2224" s="14" t="n">
        <v>17</v>
      </c>
      <c r="D2224" s="14">
        <f>IF(A2224&gt;LastWeek-364,1,0)</f>
        <v/>
      </c>
      <c r="E2224" s="14">
        <f>C2224^2*D2224</f>
        <v/>
      </c>
    </row>
    <row r="2225">
      <c r="A2225" s="26" t="n">
        <v>45565</v>
      </c>
      <c r="B2225" s="14" t="inlineStr">
        <is>
          <t>NB-0022</t>
        </is>
      </c>
      <c r="C2225" s="14" t="n">
        <v>21</v>
      </c>
      <c r="D2225" s="14">
        <f>IF(A2225&gt;LastWeek-364,1,0)</f>
        <v/>
      </c>
      <c r="E2225" s="14">
        <f>C2225^2*D2225</f>
        <v/>
      </c>
    </row>
    <row r="2226">
      <c r="A2226" s="26" t="n">
        <v>45572</v>
      </c>
      <c r="B2226" s="14" t="inlineStr">
        <is>
          <t>NB-0022</t>
        </is>
      </c>
      <c r="C2226" s="14" t="n">
        <v>24</v>
      </c>
      <c r="D2226" s="14">
        <f>IF(A2226&gt;LastWeek-364,1,0)</f>
        <v/>
      </c>
      <c r="E2226" s="14">
        <f>C2226^2*D2226</f>
        <v/>
      </c>
    </row>
    <row r="2227">
      <c r="A2227" s="26" t="n">
        <v>45579</v>
      </c>
      <c r="B2227" s="14" t="inlineStr">
        <is>
          <t>NB-0022</t>
        </is>
      </c>
      <c r="C2227" s="14" t="n">
        <v>19</v>
      </c>
      <c r="D2227" s="14">
        <f>IF(A2227&gt;LastWeek-364,1,0)</f>
        <v/>
      </c>
      <c r="E2227" s="14">
        <f>C2227^2*D2227</f>
        <v/>
      </c>
    </row>
    <row r="2228">
      <c r="A2228" s="26" t="n">
        <v>45586</v>
      </c>
      <c r="B2228" s="14" t="inlineStr">
        <is>
          <t>NB-0022</t>
        </is>
      </c>
      <c r="C2228" s="14" t="n">
        <v>23</v>
      </c>
      <c r="D2228" s="14">
        <f>IF(A2228&gt;LastWeek-364,1,0)</f>
        <v/>
      </c>
      <c r="E2228" s="14">
        <f>C2228^2*D2228</f>
        <v/>
      </c>
    </row>
    <row r="2229">
      <c r="A2229" s="26" t="n">
        <v>45593</v>
      </c>
      <c r="B2229" s="14" t="inlineStr">
        <is>
          <t>NB-0022</t>
        </is>
      </c>
      <c r="C2229" s="14" t="n">
        <v>17</v>
      </c>
      <c r="D2229" s="14">
        <f>IF(A2229&gt;LastWeek-364,1,0)</f>
        <v/>
      </c>
      <c r="E2229" s="14">
        <f>C2229^2*D2229</f>
        <v/>
      </c>
    </row>
    <row r="2230">
      <c r="A2230" s="26" t="n">
        <v>45600</v>
      </c>
      <c r="B2230" s="14" t="inlineStr">
        <is>
          <t>NB-0022</t>
        </is>
      </c>
      <c r="C2230" s="14" t="n">
        <v>25</v>
      </c>
      <c r="D2230" s="14">
        <f>IF(A2230&gt;LastWeek-364,1,0)</f>
        <v/>
      </c>
      <c r="E2230" s="14">
        <f>C2230^2*D2230</f>
        <v/>
      </c>
    </row>
    <row r="2231">
      <c r="A2231" s="26" t="n">
        <v>45607</v>
      </c>
      <c r="B2231" s="14" t="inlineStr">
        <is>
          <t>NB-0022</t>
        </is>
      </c>
      <c r="C2231" s="14" t="n">
        <v>18</v>
      </c>
      <c r="D2231" s="14">
        <f>IF(A2231&gt;LastWeek-364,1,0)</f>
        <v/>
      </c>
      <c r="E2231" s="14">
        <f>C2231^2*D2231</f>
        <v/>
      </c>
    </row>
    <row r="2232">
      <c r="A2232" s="26" t="n">
        <v>45614</v>
      </c>
      <c r="B2232" s="14" t="inlineStr">
        <is>
          <t>NB-0022</t>
        </is>
      </c>
      <c r="C2232" s="14" t="n">
        <v>28</v>
      </c>
      <c r="D2232" s="14">
        <f>IF(A2232&gt;LastWeek-364,1,0)</f>
        <v/>
      </c>
      <c r="E2232" s="14">
        <f>C2232^2*D2232</f>
        <v/>
      </c>
    </row>
    <row r="2233">
      <c r="A2233" s="26" t="n">
        <v>45621</v>
      </c>
      <c r="B2233" s="14" t="inlineStr">
        <is>
          <t>NB-0022</t>
        </is>
      </c>
      <c r="C2233" s="14" t="n">
        <v>35</v>
      </c>
      <c r="D2233" s="14">
        <f>IF(A2233&gt;LastWeek-364,1,0)</f>
        <v/>
      </c>
      <c r="E2233" s="14">
        <f>C2233^2*D2233</f>
        <v/>
      </c>
    </row>
    <row r="2234">
      <c r="A2234" s="26" t="n">
        <v>45628</v>
      </c>
      <c r="B2234" s="14" t="inlineStr">
        <is>
          <t>NB-0022</t>
        </is>
      </c>
      <c r="C2234" s="14" t="n">
        <v>23</v>
      </c>
      <c r="D2234" s="14">
        <f>IF(A2234&gt;LastWeek-364,1,0)</f>
        <v/>
      </c>
      <c r="E2234" s="14">
        <f>C2234^2*D2234</f>
        <v/>
      </c>
    </row>
    <row r="2235">
      <c r="A2235" s="26" t="n">
        <v>45635</v>
      </c>
      <c r="B2235" s="14" t="inlineStr">
        <is>
          <t>NB-0022</t>
        </is>
      </c>
      <c r="C2235" s="14" t="n">
        <v>11</v>
      </c>
      <c r="D2235" s="14">
        <f>IF(A2235&gt;LastWeek-364,1,0)</f>
        <v/>
      </c>
      <c r="E2235" s="14">
        <f>C2235^2*D2235</f>
        <v/>
      </c>
    </row>
    <row r="2236">
      <c r="A2236" s="26" t="n">
        <v>45642</v>
      </c>
      <c r="B2236" s="14" t="inlineStr">
        <is>
          <t>NB-0022</t>
        </is>
      </c>
      <c r="C2236" s="14" t="n">
        <v>21</v>
      </c>
      <c r="D2236" s="14">
        <f>IF(A2236&gt;LastWeek-364,1,0)</f>
        <v/>
      </c>
      <c r="E2236" s="14">
        <f>C2236^2*D2236</f>
        <v/>
      </c>
    </row>
    <row r="2237">
      <c r="A2237" s="26" t="n">
        <v>45649</v>
      </c>
      <c r="B2237" s="14" t="inlineStr">
        <is>
          <t>NB-0022</t>
        </is>
      </c>
      <c r="C2237" s="14" t="n">
        <v>32</v>
      </c>
      <c r="D2237" s="14">
        <f>IF(A2237&gt;LastWeek-364,1,0)</f>
        <v/>
      </c>
      <c r="E2237" s="14">
        <f>C2237^2*D2237</f>
        <v/>
      </c>
    </row>
    <row r="2238">
      <c r="A2238" s="26" t="n">
        <v>45656</v>
      </c>
      <c r="B2238" s="14" t="inlineStr">
        <is>
          <t>NB-0022</t>
        </is>
      </c>
      <c r="C2238" s="14" t="n">
        <v>28</v>
      </c>
      <c r="D2238" s="14">
        <f>IF(A2238&gt;LastWeek-364,1,0)</f>
        <v/>
      </c>
      <c r="E2238" s="14">
        <f>C2238^2*D2238</f>
        <v/>
      </c>
    </row>
    <row r="2239">
      <c r="A2239" s="26" t="n">
        <v>45663</v>
      </c>
      <c r="B2239" s="14" t="inlineStr">
        <is>
          <t>NB-0022</t>
        </is>
      </c>
      <c r="C2239" s="14" t="n">
        <v>26</v>
      </c>
      <c r="D2239" s="14">
        <f>IF(A2239&gt;LastWeek-364,1,0)</f>
        <v/>
      </c>
      <c r="E2239" s="14">
        <f>C2239^2*D2239</f>
        <v/>
      </c>
    </row>
    <row r="2240">
      <c r="A2240" s="26" t="n">
        <v>45670</v>
      </c>
      <c r="B2240" s="14" t="inlineStr">
        <is>
          <t>NB-0022</t>
        </is>
      </c>
      <c r="C2240" s="14" t="n">
        <v>31</v>
      </c>
      <c r="D2240" s="14">
        <f>IF(A2240&gt;LastWeek-364,1,0)</f>
        <v/>
      </c>
      <c r="E2240" s="14">
        <f>C2240^2*D2240</f>
        <v/>
      </c>
    </row>
    <row r="2241">
      <c r="A2241" s="26" t="n">
        <v>45677</v>
      </c>
      <c r="B2241" s="14" t="inlineStr">
        <is>
          <t>NB-0022</t>
        </is>
      </c>
      <c r="C2241" s="14" t="n">
        <v>28</v>
      </c>
      <c r="D2241" s="14">
        <f>IF(A2241&gt;LastWeek-364,1,0)</f>
        <v/>
      </c>
      <c r="E2241" s="14">
        <f>C2241^2*D2241</f>
        <v/>
      </c>
    </row>
    <row r="2242">
      <c r="A2242" s="26" t="n">
        <v>45684</v>
      </c>
      <c r="B2242" s="14" t="inlineStr">
        <is>
          <t>NB-0022</t>
        </is>
      </c>
      <c r="C2242" s="14" t="n">
        <v>32</v>
      </c>
      <c r="D2242" s="14">
        <f>IF(A2242&gt;LastWeek-364,1,0)</f>
        <v/>
      </c>
      <c r="E2242" s="14">
        <f>C2242^2*D2242</f>
        <v/>
      </c>
    </row>
    <row r="2243">
      <c r="A2243" s="26" t="n">
        <v>45691</v>
      </c>
      <c r="B2243" s="14" t="inlineStr">
        <is>
          <t>NB-0022</t>
        </is>
      </c>
      <c r="C2243" s="14" t="n">
        <v>30</v>
      </c>
      <c r="D2243" s="14">
        <f>IF(A2243&gt;LastWeek-364,1,0)</f>
        <v/>
      </c>
      <c r="E2243" s="14">
        <f>C2243^2*D2243</f>
        <v/>
      </c>
    </row>
    <row r="2244">
      <c r="A2244" s="26" t="n">
        <v>45698</v>
      </c>
      <c r="B2244" s="14" t="inlineStr">
        <is>
          <t>NB-0022</t>
        </is>
      </c>
      <c r="C2244" s="14" t="n">
        <v>33</v>
      </c>
      <c r="D2244" s="14">
        <f>IF(A2244&gt;LastWeek-364,1,0)</f>
        <v/>
      </c>
      <c r="E2244" s="14">
        <f>C2244^2*D2244</f>
        <v/>
      </c>
    </row>
    <row r="2245">
      <c r="A2245" s="26" t="n">
        <v>45705</v>
      </c>
      <c r="B2245" s="14" t="inlineStr">
        <is>
          <t>NB-0022</t>
        </is>
      </c>
      <c r="C2245" s="14" t="n">
        <v>26</v>
      </c>
      <c r="D2245" s="14">
        <f>IF(A2245&gt;LastWeek-364,1,0)</f>
        <v/>
      </c>
      <c r="E2245" s="14">
        <f>C2245^2*D2245</f>
        <v/>
      </c>
    </row>
    <row r="2246">
      <c r="A2246" s="26" t="n">
        <v>45712</v>
      </c>
      <c r="B2246" s="14" t="inlineStr">
        <is>
          <t>NB-0022</t>
        </is>
      </c>
      <c r="C2246" s="14" t="n">
        <v>29</v>
      </c>
      <c r="D2246" s="14">
        <f>IF(A2246&gt;LastWeek-364,1,0)</f>
        <v/>
      </c>
      <c r="E2246" s="14">
        <f>C2246^2*D2246</f>
        <v/>
      </c>
    </row>
    <row r="2247">
      <c r="A2247" s="26" t="n">
        <v>45719</v>
      </c>
      <c r="B2247" s="14" t="inlineStr">
        <is>
          <t>NB-0022</t>
        </is>
      </c>
      <c r="C2247" s="14" t="n">
        <v>22</v>
      </c>
      <c r="D2247" s="14">
        <f>IF(A2247&gt;LastWeek-364,1,0)</f>
        <v/>
      </c>
      <c r="E2247" s="14">
        <f>C2247^2*D2247</f>
        <v/>
      </c>
    </row>
    <row r="2248">
      <c r="A2248" s="26" t="n">
        <v>45726</v>
      </c>
      <c r="B2248" s="14" t="inlineStr">
        <is>
          <t>NB-0022</t>
        </is>
      </c>
      <c r="C2248" s="14" t="n">
        <v>20</v>
      </c>
      <c r="D2248" s="14">
        <f>IF(A2248&gt;LastWeek-364,1,0)</f>
        <v/>
      </c>
      <c r="E2248" s="14">
        <f>C2248^2*D2248</f>
        <v/>
      </c>
    </row>
    <row r="2249">
      <c r="A2249" s="26" t="n">
        <v>45733</v>
      </c>
      <c r="B2249" s="14" t="inlineStr">
        <is>
          <t>NB-0022</t>
        </is>
      </c>
      <c r="C2249" s="14" t="n">
        <v>31</v>
      </c>
      <c r="D2249" s="14">
        <f>IF(A2249&gt;LastWeek-364,1,0)</f>
        <v/>
      </c>
      <c r="E2249" s="14">
        <f>C2249^2*D2249</f>
        <v/>
      </c>
    </row>
    <row r="2250">
      <c r="A2250" s="26" t="n">
        <v>45740</v>
      </c>
      <c r="B2250" s="14" t="inlineStr">
        <is>
          <t>NB-0022</t>
        </is>
      </c>
      <c r="C2250" s="14" t="n">
        <v>23</v>
      </c>
      <c r="D2250" s="14">
        <f>IF(A2250&gt;LastWeek-364,1,0)</f>
        <v/>
      </c>
      <c r="E2250" s="14">
        <f>C2250^2*D2250</f>
        <v/>
      </c>
    </row>
    <row r="2251">
      <c r="A2251" s="26" t="n">
        <v>45747</v>
      </c>
      <c r="B2251" s="14" t="inlineStr">
        <is>
          <t>NB-0022</t>
        </is>
      </c>
      <c r="C2251" s="14" t="n">
        <v>25</v>
      </c>
      <c r="D2251" s="14">
        <f>IF(A2251&gt;LastWeek-364,1,0)</f>
        <v/>
      </c>
      <c r="E2251" s="14">
        <f>C2251^2*D2251</f>
        <v/>
      </c>
    </row>
    <row r="2252">
      <c r="A2252" s="26" t="n">
        <v>45754</v>
      </c>
      <c r="B2252" s="14" t="inlineStr">
        <is>
          <t>NB-0022</t>
        </is>
      </c>
      <c r="C2252" s="14" t="n">
        <v>21</v>
      </c>
      <c r="D2252" s="14">
        <f>IF(A2252&gt;LastWeek-364,1,0)</f>
        <v/>
      </c>
      <c r="E2252" s="14">
        <f>C2252^2*D2252</f>
        <v/>
      </c>
    </row>
    <row r="2253">
      <c r="A2253" s="26" t="n">
        <v>45761</v>
      </c>
      <c r="B2253" s="14" t="inlineStr">
        <is>
          <t>NB-0022</t>
        </is>
      </c>
      <c r="C2253" s="14" t="n">
        <v>17</v>
      </c>
      <c r="D2253" s="14">
        <f>IF(A2253&gt;LastWeek-364,1,0)</f>
        <v/>
      </c>
      <c r="E2253" s="14">
        <f>C2253^2*D2253</f>
        <v/>
      </c>
    </row>
    <row r="2254">
      <c r="A2254" s="26" t="n">
        <v>45768</v>
      </c>
      <c r="B2254" s="14" t="inlineStr">
        <is>
          <t>NB-0022</t>
        </is>
      </c>
      <c r="C2254" s="14" t="n">
        <v>19</v>
      </c>
      <c r="D2254" s="14">
        <f>IF(A2254&gt;LastWeek-364,1,0)</f>
        <v/>
      </c>
      <c r="E2254" s="14">
        <f>C2254^2*D2254</f>
        <v/>
      </c>
    </row>
    <row r="2255">
      <c r="A2255" s="26" t="n">
        <v>45775</v>
      </c>
      <c r="B2255" s="14" t="inlineStr">
        <is>
          <t>NB-0022</t>
        </is>
      </c>
      <c r="C2255" s="14" t="n">
        <v>25</v>
      </c>
      <c r="D2255" s="14">
        <f>IF(A2255&gt;LastWeek-364,1,0)</f>
        <v/>
      </c>
      <c r="E2255" s="14">
        <f>C2255^2*D2255</f>
        <v/>
      </c>
    </row>
    <row r="2256">
      <c r="A2256" s="26" t="n">
        <v>45782</v>
      </c>
      <c r="B2256" s="14" t="inlineStr">
        <is>
          <t>NB-0022</t>
        </is>
      </c>
      <c r="C2256" s="14" t="n">
        <v>20</v>
      </c>
      <c r="D2256" s="14">
        <f>IF(A2256&gt;LastWeek-364,1,0)</f>
        <v/>
      </c>
      <c r="E2256" s="14">
        <f>C2256^2*D2256</f>
        <v/>
      </c>
    </row>
    <row r="2257">
      <c r="A2257" s="26" t="n">
        <v>45789</v>
      </c>
      <c r="B2257" s="14" t="inlineStr">
        <is>
          <t>NB-0022</t>
        </is>
      </c>
      <c r="C2257" s="14" t="n">
        <v>10</v>
      </c>
      <c r="D2257" s="14">
        <f>IF(A2257&gt;LastWeek-364,1,0)</f>
        <v/>
      </c>
      <c r="E2257" s="14">
        <f>C2257^2*D2257</f>
        <v/>
      </c>
    </row>
    <row r="2258">
      <c r="A2258" s="26" t="n">
        <v>45796</v>
      </c>
      <c r="B2258" s="14" t="inlineStr">
        <is>
          <t>NB-0022</t>
        </is>
      </c>
      <c r="C2258" s="14" t="n">
        <v>16</v>
      </c>
      <c r="D2258" s="14">
        <f>IF(A2258&gt;LastWeek-364,1,0)</f>
        <v/>
      </c>
      <c r="E2258" s="14">
        <f>C2258^2*D2258</f>
        <v/>
      </c>
    </row>
    <row r="2259">
      <c r="A2259" s="26" t="n">
        <v>45803</v>
      </c>
      <c r="B2259" s="14" t="inlineStr">
        <is>
          <t>NB-0022</t>
        </is>
      </c>
      <c r="C2259" s="14" t="n">
        <v>24</v>
      </c>
      <c r="D2259" s="14">
        <f>IF(A2259&gt;LastWeek-364,1,0)</f>
        <v/>
      </c>
      <c r="E2259" s="14">
        <f>C2259^2*D2259</f>
        <v/>
      </c>
    </row>
    <row r="2260">
      <c r="A2260" s="26" t="n">
        <v>45810</v>
      </c>
      <c r="B2260" s="14" t="inlineStr">
        <is>
          <t>NB-0022</t>
        </is>
      </c>
      <c r="C2260" s="14" t="n">
        <v>15</v>
      </c>
      <c r="D2260" s="14">
        <f>IF(A2260&gt;LastWeek-364,1,0)</f>
        <v/>
      </c>
      <c r="E2260" s="14">
        <f>C2260^2*D2260</f>
        <v/>
      </c>
    </row>
    <row r="2261">
      <c r="A2261" s="26" t="n">
        <v>45817</v>
      </c>
      <c r="B2261" s="14" t="inlineStr">
        <is>
          <t>NB-0022</t>
        </is>
      </c>
      <c r="C2261" s="14" t="n">
        <v>9</v>
      </c>
      <c r="D2261" s="14">
        <f>IF(A2261&gt;LastWeek-364,1,0)</f>
        <v/>
      </c>
      <c r="E2261" s="14">
        <f>C2261^2*D2261</f>
        <v/>
      </c>
    </row>
    <row r="2262">
      <c r="A2262" s="26" t="n">
        <v>45824</v>
      </c>
      <c r="B2262" s="14" t="inlineStr">
        <is>
          <t>NB-0022</t>
        </is>
      </c>
      <c r="C2262" s="14" t="n">
        <v>23</v>
      </c>
      <c r="D2262" s="14">
        <f>IF(A2262&gt;LastWeek-364,1,0)</f>
        <v/>
      </c>
      <c r="E2262" s="14">
        <f>C2262^2*D2262</f>
        <v/>
      </c>
    </row>
    <row r="2263">
      <c r="A2263" s="26" t="n">
        <v>45831</v>
      </c>
      <c r="B2263" s="14" t="inlineStr">
        <is>
          <t>NB-0022</t>
        </is>
      </c>
      <c r="C2263" s="14" t="n">
        <v>18</v>
      </c>
      <c r="D2263" s="14">
        <f>IF(A2263&gt;LastWeek-364,1,0)</f>
        <v/>
      </c>
      <c r="E2263" s="14">
        <f>C2263^2*D2263</f>
        <v/>
      </c>
    </row>
    <row r="2264">
      <c r="A2264" s="26" t="n">
        <v>45838</v>
      </c>
      <c r="B2264" s="14" t="inlineStr">
        <is>
          <t>NB-0022</t>
        </is>
      </c>
      <c r="C2264" s="14" t="n">
        <v>15</v>
      </c>
      <c r="D2264" s="14">
        <f>IF(A2264&gt;LastWeek-364,1,0)</f>
        <v/>
      </c>
      <c r="E2264" s="14">
        <f>C2264^2*D2264</f>
        <v/>
      </c>
    </row>
    <row r="2265">
      <c r="A2265" s="26" t="n">
        <v>45845</v>
      </c>
      <c r="B2265" s="14" t="inlineStr">
        <is>
          <t>NB-0022</t>
        </is>
      </c>
      <c r="C2265" s="14" t="n">
        <v>14</v>
      </c>
      <c r="D2265" s="14">
        <f>IF(A2265&gt;LastWeek-364,1,0)</f>
        <v/>
      </c>
      <c r="E2265" s="14">
        <f>C2265^2*D2265</f>
        <v/>
      </c>
    </row>
    <row r="2266">
      <c r="A2266" s="26" t="n">
        <v>45852</v>
      </c>
      <c r="B2266" s="14" t="inlineStr">
        <is>
          <t>NB-0022</t>
        </is>
      </c>
      <c r="C2266" s="14" t="n">
        <v>20</v>
      </c>
      <c r="D2266" s="14">
        <f>IF(A2266&gt;LastWeek-364,1,0)</f>
        <v/>
      </c>
      <c r="E2266" s="14">
        <f>C2266^2*D2266</f>
        <v/>
      </c>
    </row>
    <row r="2267">
      <c r="A2267" s="26" t="n">
        <v>45859</v>
      </c>
      <c r="B2267" s="14" t="inlineStr">
        <is>
          <t>NB-0022</t>
        </is>
      </c>
      <c r="C2267" s="14" t="n">
        <v>14</v>
      </c>
      <c r="D2267" s="14">
        <f>IF(A2267&gt;LastWeek-364,1,0)</f>
        <v/>
      </c>
      <c r="E2267" s="14">
        <f>C2267^2*D2267</f>
        <v/>
      </c>
    </row>
    <row r="2268">
      <c r="A2268" s="26" t="n">
        <v>45866</v>
      </c>
      <c r="B2268" s="14" t="inlineStr">
        <is>
          <t>NB-0022</t>
        </is>
      </c>
      <c r="C2268" s="14" t="n">
        <v>20</v>
      </c>
      <c r="D2268" s="14">
        <f>IF(A2268&gt;LastWeek-364,1,0)</f>
        <v/>
      </c>
      <c r="E2268" s="14">
        <f>C2268^2*D2268</f>
        <v/>
      </c>
    </row>
    <row r="2269">
      <c r="A2269" s="26" t="n">
        <v>45873</v>
      </c>
      <c r="B2269" s="14" t="inlineStr">
        <is>
          <t>NB-0022</t>
        </is>
      </c>
      <c r="C2269" s="14" t="n">
        <v>19</v>
      </c>
      <c r="D2269" s="14">
        <f>IF(A2269&gt;LastWeek-364,1,0)</f>
        <v/>
      </c>
      <c r="E2269" s="14">
        <f>C2269^2*D2269</f>
        <v/>
      </c>
    </row>
    <row r="2270">
      <c r="A2270" s="26" t="n">
        <v>45880</v>
      </c>
      <c r="B2270" s="14" t="inlineStr">
        <is>
          <t>NB-0022</t>
        </is>
      </c>
      <c r="C2270" s="14" t="n">
        <v>18</v>
      </c>
      <c r="D2270" s="14">
        <f>IF(A2270&gt;LastWeek-364,1,0)</f>
        <v/>
      </c>
      <c r="E2270" s="14">
        <f>C2270^2*D2270</f>
        <v/>
      </c>
    </row>
    <row r="2271">
      <c r="A2271" s="26" t="n">
        <v>45887</v>
      </c>
      <c r="B2271" s="14" t="inlineStr">
        <is>
          <t>NB-0022</t>
        </is>
      </c>
      <c r="C2271" s="14" t="n">
        <v>18</v>
      </c>
      <c r="D2271" s="14">
        <f>IF(A2271&gt;LastWeek-364,1,0)</f>
        <v/>
      </c>
      <c r="E2271" s="14">
        <f>C2271^2*D2271</f>
        <v/>
      </c>
    </row>
    <row r="2272">
      <c r="A2272" s="26" t="n">
        <v>45894</v>
      </c>
      <c r="B2272" s="14" t="inlineStr">
        <is>
          <t>NB-0022</t>
        </is>
      </c>
      <c r="C2272" s="14" t="n">
        <v>17</v>
      </c>
      <c r="D2272" s="14">
        <f>IF(A2272&gt;LastWeek-364,1,0)</f>
        <v/>
      </c>
      <c r="E2272" s="14">
        <f>C2272^2*D2272</f>
        <v/>
      </c>
    </row>
    <row r="2273">
      <c r="A2273" s="26" t="n">
        <v>45901</v>
      </c>
      <c r="B2273" s="14" t="inlineStr">
        <is>
          <t>NB-0022</t>
        </is>
      </c>
      <c r="C2273" s="14" t="n">
        <v>24</v>
      </c>
      <c r="D2273" s="14">
        <f>IF(A2273&gt;LastWeek-364,1,0)</f>
        <v/>
      </c>
      <c r="E2273" s="14">
        <f>C2273^2*D2273</f>
        <v/>
      </c>
    </row>
    <row r="2274">
      <c r="A2274" s="26" t="n">
        <v>45908</v>
      </c>
      <c r="B2274" s="14" t="inlineStr">
        <is>
          <t>NB-0022</t>
        </is>
      </c>
      <c r="C2274" s="14" t="n">
        <v>16</v>
      </c>
      <c r="D2274" s="14">
        <f>IF(A2274&gt;LastWeek-364,1,0)</f>
        <v/>
      </c>
      <c r="E2274" s="14">
        <f>C2274^2*D2274</f>
        <v/>
      </c>
    </row>
    <row r="2275">
      <c r="A2275" s="26" t="n">
        <v>45915</v>
      </c>
      <c r="B2275" s="14" t="inlineStr">
        <is>
          <t>NB-0022</t>
        </is>
      </c>
      <c r="C2275" s="14" t="n">
        <v>13</v>
      </c>
      <c r="D2275" s="14">
        <f>IF(A2275&gt;LastWeek-364,1,0)</f>
        <v/>
      </c>
      <c r="E2275" s="14">
        <f>C2275^2*D2275</f>
        <v/>
      </c>
    </row>
    <row r="2276">
      <c r="A2276" s="26" t="n">
        <v>45922</v>
      </c>
      <c r="B2276" s="14" t="inlineStr">
        <is>
          <t>NB-0022</t>
        </is>
      </c>
      <c r="C2276" s="14" t="n">
        <v>25</v>
      </c>
      <c r="D2276" s="14">
        <f>IF(A2276&gt;LastWeek-364,1,0)</f>
        <v/>
      </c>
      <c r="E2276" s="14">
        <f>C2276^2*D2276</f>
        <v/>
      </c>
    </row>
    <row r="2277">
      <c r="A2277" s="26" t="n">
        <v>45929</v>
      </c>
      <c r="B2277" s="14" t="inlineStr">
        <is>
          <t>NB-0022</t>
        </is>
      </c>
      <c r="C2277" s="14" t="n">
        <v>26</v>
      </c>
      <c r="D2277" s="14">
        <f>IF(A2277&gt;LastWeek-364,1,0)</f>
        <v/>
      </c>
      <c r="E2277" s="14">
        <f>C2277^2*D2277</f>
        <v/>
      </c>
    </row>
    <row r="2278">
      <c r="A2278" s="26" t="n">
        <v>45936</v>
      </c>
      <c r="B2278" s="14" t="inlineStr">
        <is>
          <t>NB-0022</t>
        </is>
      </c>
      <c r="C2278" s="14" t="n">
        <v>26</v>
      </c>
      <c r="D2278" s="14">
        <f>IF(A2278&gt;LastWeek-364,1,0)</f>
        <v/>
      </c>
      <c r="E2278" s="14">
        <f>C2278^2*D2278</f>
        <v/>
      </c>
    </row>
    <row r="2279">
      <c r="A2279" s="26" t="n">
        <v>45943</v>
      </c>
      <c r="B2279" s="14" t="inlineStr">
        <is>
          <t>NB-0022</t>
        </is>
      </c>
      <c r="C2279" s="14" t="n">
        <v>26</v>
      </c>
      <c r="D2279" s="14">
        <f>IF(A2279&gt;LastWeek-364,1,0)</f>
        <v/>
      </c>
      <c r="E2279" s="14">
        <f>C2279^2*D2279</f>
        <v/>
      </c>
    </row>
    <row r="2280">
      <c r="A2280" s="26" t="n">
        <v>45950</v>
      </c>
      <c r="B2280" s="14" t="inlineStr">
        <is>
          <t>NB-0022</t>
        </is>
      </c>
      <c r="C2280" s="14" t="n">
        <v>23</v>
      </c>
      <c r="D2280" s="14">
        <f>IF(A2280&gt;LastWeek-364,1,0)</f>
        <v/>
      </c>
      <c r="E2280" s="14">
        <f>C2280^2*D2280</f>
        <v/>
      </c>
    </row>
    <row r="2281">
      <c r="A2281" s="26" t="n">
        <v>45957</v>
      </c>
      <c r="B2281" s="14" t="inlineStr">
        <is>
          <t>NB-0022</t>
        </is>
      </c>
      <c r="C2281" s="14" t="n">
        <v>31</v>
      </c>
      <c r="D2281" s="14">
        <f>IF(A2281&gt;LastWeek-364,1,0)</f>
        <v/>
      </c>
      <c r="E2281" s="14">
        <f>C2281^2*D2281</f>
        <v/>
      </c>
    </row>
    <row r="2282">
      <c r="A2282" s="26" t="n">
        <v>45964</v>
      </c>
      <c r="B2282" s="14" t="inlineStr">
        <is>
          <t>NB-0022</t>
        </is>
      </c>
      <c r="C2282" s="14" t="n">
        <v>27</v>
      </c>
      <c r="D2282" s="14">
        <f>IF(A2282&gt;LastWeek-364,1,0)</f>
        <v/>
      </c>
      <c r="E2282" s="14">
        <f>C2282^2*D2282</f>
        <v/>
      </c>
    </row>
    <row r="2283">
      <c r="A2283" s="26" t="n">
        <v>45971</v>
      </c>
      <c r="B2283" s="14" t="inlineStr">
        <is>
          <t>NB-0022</t>
        </is>
      </c>
      <c r="C2283" s="14" t="n">
        <v>24</v>
      </c>
      <c r="D2283" s="14">
        <f>IF(A2283&gt;LastWeek-364,1,0)</f>
        <v/>
      </c>
      <c r="E2283" s="14">
        <f>C2283^2*D2283</f>
        <v/>
      </c>
    </row>
    <row r="2284">
      <c r="A2284" s="26" t="n">
        <v>45978</v>
      </c>
      <c r="B2284" s="14" t="inlineStr">
        <is>
          <t>NB-0022</t>
        </is>
      </c>
      <c r="C2284" s="14" t="n">
        <v>26</v>
      </c>
      <c r="D2284" s="14">
        <f>IF(A2284&gt;LastWeek-364,1,0)</f>
        <v/>
      </c>
      <c r="E2284" s="14">
        <f>C2284^2*D2284</f>
        <v/>
      </c>
    </row>
    <row r="2285">
      <c r="A2285" s="26" t="n">
        <v>45985</v>
      </c>
      <c r="B2285" s="14" t="inlineStr">
        <is>
          <t>NB-0022</t>
        </is>
      </c>
      <c r="C2285" s="14" t="n">
        <v>43</v>
      </c>
      <c r="D2285" s="14">
        <f>IF(A2285&gt;LastWeek-364,1,0)</f>
        <v/>
      </c>
      <c r="E2285" s="14">
        <f>C2285^2*D2285</f>
        <v/>
      </c>
    </row>
    <row r="2286">
      <c r="A2286" s="26" t="n">
        <v>45992</v>
      </c>
      <c r="B2286" s="14" t="inlineStr">
        <is>
          <t>NB-0022</t>
        </is>
      </c>
      <c r="C2286" s="14" t="n">
        <v>17</v>
      </c>
      <c r="D2286" s="14">
        <f>IF(A2286&gt;LastWeek-364,1,0)</f>
        <v/>
      </c>
      <c r="E2286" s="14">
        <f>C2286^2*D2286</f>
        <v/>
      </c>
    </row>
    <row r="2287">
      <c r="A2287" s="26" t="n">
        <v>45999</v>
      </c>
      <c r="B2287" s="14" t="inlineStr">
        <is>
          <t>NB-0022</t>
        </is>
      </c>
      <c r="C2287" s="14" t="n">
        <v>34</v>
      </c>
      <c r="D2287" s="14">
        <f>IF(A2287&gt;LastWeek-364,1,0)</f>
        <v/>
      </c>
      <c r="E2287" s="14">
        <f>C2287^2*D2287</f>
        <v/>
      </c>
    </row>
    <row r="2288">
      <c r="A2288" s="26" t="n">
        <v>46006</v>
      </c>
      <c r="B2288" s="14" t="inlineStr">
        <is>
          <t>NB-0022</t>
        </is>
      </c>
      <c r="C2288" s="14" t="n">
        <v>18</v>
      </c>
      <c r="D2288" s="14">
        <f>IF(A2288&gt;LastWeek-364,1,0)</f>
        <v/>
      </c>
      <c r="E2288" s="14">
        <f>C2288^2*D2288</f>
        <v/>
      </c>
    </row>
    <row r="2289">
      <c r="A2289" s="26" t="n">
        <v>46013</v>
      </c>
      <c r="B2289" s="14" t="inlineStr">
        <is>
          <t>NB-0022</t>
        </is>
      </c>
      <c r="C2289" s="14" t="n">
        <v>31</v>
      </c>
      <c r="D2289" s="14">
        <f>IF(A2289&gt;LastWeek-364,1,0)</f>
        <v/>
      </c>
      <c r="E2289" s="14">
        <f>C2289^2*D2289</f>
        <v/>
      </c>
    </row>
    <row r="2290">
      <c r="A2290" s="26" t="n">
        <v>45292</v>
      </c>
      <c r="B2290" s="14" t="inlineStr">
        <is>
          <t>NB-0023</t>
        </is>
      </c>
      <c r="C2290" s="14" t="n">
        <v>46</v>
      </c>
      <c r="D2290" s="14">
        <f>IF(A2290&gt;LastWeek-364,1,0)</f>
        <v/>
      </c>
      <c r="E2290" s="14">
        <f>C2290^2*D2290</f>
        <v/>
      </c>
    </row>
    <row r="2291">
      <c r="A2291" s="26" t="n">
        <v>45299</v>
      </c>
      <c r="B2291" s="14" t="inlineStr">
        <is>
          <t>NB-0023</t>
        </is>
      </c>
      <c r="C2291" s="14" t="n">
        <v>39</v>
      </c>
      <c r="D2291" s="14">
        <f>IF(A2291&gt;LastWeek-364,1,0)</f>
        <v/>
      </c>
      <c r="E2291" s="14">
        <f>C2291^2*D2291</f>
        <v/>
      </c>
    </row>
    <row r="2292">
      <c r="A2292" s="26" t="n">
        <v>45306</v>
      </c>
      <c r="B2292" s="14" t="inlineStr">
        <is>
          <t>NB-0023</t>
        </is>
      </c>
      <c r="C2292" s="14" t="n">
        <v>50</v>
      </c>
      <c r="D2292" s="14">
        <f>IF(A2292&gt;LastWeek-364,1,0)</f>
        <v/>
      </c>
      <c r="E2292" s="14">
        <f>C2292^2*D2292</f>
        <v/>
      </c>
    </row>
    <row r="2293">
      <c r="A2293" s="26" t="n">
        <v>45313</v>
      </c>
      <c r="B2293" s="14" t="inlineStr">
        <is>
          <t>NB-0023</t>
        </is>
      </c>
      <c r="C2293" s="14" t="n">
        <v>46</v>
      </c>
      <c r="D2293" s="14">
        <f>IF(A2293&gt;LastWeek-364,1,0)</f>
        <v/>
      </c>
      <c r="E2293" s="14">
        <f>C2293^2*D2293</f>
        <v/>
      </c>
    </row>
    <row r="2294">
      <c r="A2294" s="26" t="n">
        <v>45320</v>
      </c>
      <c r="B2294" s="14" t="inlineStr">
        <is>
          <t>NB-0023</t>
        </is>
      </c>
      <c r="C2294" s="14" t="n">
        <v>38</v>
      </c>
      <c r="D2294" s="14">
        <f>IF(A2294&gt;LastWeek-364,1,0)</f>
        <v/>
      </c>
      <c r="E2294" s="14">
        <f>C2294^2*D2294</f>
        <v/>
      </c>
    </row>
    <row r="2295">
      <c r="A2295" s="26" t="n">
        <v>45327</v>
      </c>
      <c r="B2295" s="14" t="inlineStr">
        <is>
          <t>NB-0023</t>
        </is>
      </c>
      <c r="C2295" s="14" t="n">
        <v>51</v>
      </c>
      <c r="D2295" s="14">
        <f>IF(A2295&gt;LastWeek-364,1,0)</f>
        <v/>
      </c>
      <c r="E2295" s="14">
        <f>C2295^2*D2295</f>
        <v/>
      </c>
    </row>
    <row r="2296">
      <c r="A2296" s="26" t="n">
        <v>45334</v>
      </c>
      <c r="B2296" s="14" t="inlineStr">
        <is>
          <t>NB-0023</t>
        </is>
      </c>
      <c r="C2296" s="14" t="n">
        <v>54</v>
      </c>
      <c r="D2296" s="14">
        <f>IF(A2296&gt;LastWeek-364,1,0)</f>
        <v/>
      </c>
      <c r="E2296" s="14">
        <f>C2296^2*D2296</f>
        <v/>
      </c>
    </row>
    <row r="2297">
      <c r="A2297" s="26" t="n">
        <v>45341</v>
      </c>
      <c r="B2297" s="14" t="inlineStr">
        <is>
          <t>NB-0023</t>
        </is>
      </c>
      <c r="C2297" s="14" t="n">
        <v>53</v>
      </c>
      <c r="D2297" s="14">
        <f>IF(A2297&gt;LastWeek-364,1,0)</f>
        <v/>
      </c>
      <c r="E2297" s="14">
        <f>C2297^2*D2297</f>
        <v/>
      </c>
    </row>
    <row r="2298">
      <c r="A2298" s="26" t="n">
        <v>45348</v>
      </c>
      <c r="B2298" s="14" t="inlineStr">
        <is>
          <t>NB-0023</t>
        </is>
      </c>
      <c r="C2298" s="14" t="n">
        <v>47</v>
      </c>
      <c r="D2298" s="14">
        <f>IF(A2298&gt;LastWeek-364,1,0)</f>
        <v/>
      </c>
      <c r="E2298" s="14">
        <f>C2298^2*D2298</f>
        <v/>
      </c>
    </row>
    <row r="2299">
      <c r="A2299" s="26" t="n">
        <v>45355</v>
      </c>
      <c r="B2299" s="14" t="inlineStr">
        <is>
          <t>NB-0023</t>
        </is>
      </c>
      <c r="C2299" s="14" t="n">
        <v>45</v>
      </c>
      <c r="D2299" s="14">
        <f>IF(A2299&gt;LastWeek-364,1,0)</f>
        <v/>
      </c>
      <c r="E2299" s="14">
        <f>C2299^2*D2299</f>
        <v/>
      </c>
    </row>
    <row r="2300">
      <c r="A2300" s="26" t="n">
        <v>45362</v>
      </c>
      <c r="B2300" s="14" t="inlineStr">
        <is>
          <t>NB-0023</t>
        </is>
      </c>
      <c r="C2300" s="14" t="n">
        <v>49</v>
      </c>
      <c r="D2300" s="14">
        <f>IF(A2300&gt;LastWeek-364,1,0)</f>
        <v/>
      </c>
      <c r="E2300" s="14">
        <f>C2300^2*D2300</f>
        <v/>
      </c>
    </row>
    <row r="2301">
      <c r="A2301" s="26" t="n">
        <v>45369</v>
      </c>
      <c r="B2301" s="14" t="inlineStr">
        <is>
          <t>NB-0023</t>
        </is>
      </c>
      <c r="C2301" s="14" t="n">
        <v>50</v>
      </c>
      <c r="D2301" s="14">
        <f>IF(A2301&gt;LastWeek-364,1,0)</f>
        <v/>
      </c>
      <c r="E2301" s="14">
        <f>C2301^2*D2301</f>
        <v/>
      </c>
    </row>
    <row r="2302">
      <c r="A2302" s="26" t="n">
        <v>45376</v>
      </c>
      <c r="B2302" s="14" t="inlineStr">
        <is>
          <t>NB-0023</t>
        </is>
      </c>
      <c r="C2302" s="14" t="n">
        <v>46</v>
      </c>
      <c r="D2302" s="14">
        <f>IF(A2302&gt;LastWeek-364,1,0)</f>
        <v/>
      </c>
      <c r="E2302" s="14">
        <f>C2302^2*D2302</f>
        <v/>
      </c>
    </row>
    <row r="2303">
      <c r="A2303" s="26" t="n">
        <v>45383</v>
      </c>
      <c r="B2303" s="14" t="inlineStr">
        <is>
          <t>NB-0023</t>
        </is>
      </c>
      <c r="C2303" s="14" t="n">
        <v>37</v>
      </c>
      <c r="D2303" s="14">
        <f>IF(A2303&gt;LastWeek-364,1,0)</f>
        <v/>
      </c>
      <c r="E2303" s="14">
        <f>C2303^2*D2303</f>
        <v/>
      </c>
    </row>
    <row r="2304">
      <c r="A2304" s="26" t="n">
        <v>45390</v>
      </c>
      <c r="B2304" s="14" t="inlineStr">
        <is>
          <t>NB-0023</t>
        </is>
      </c>
      <c r="C2304" s="14" t="n">
        <v>40</v>
      </c>
      <c r="D2304" s="14">
        <f>IF(A2304&gt;LastWeek-364,1,0)</f>
        <v/>
      </c>
      <c r="E2304" s="14">
        <f>C2304^2*D2304</f>
        <v/>
      </c>
    </row>
    <row r="2305">
      <c r="A2305" s="26" t="n">
        <v>45397</v>
      </c>
      <c r="B2305" s="14" t="inlineStr">
        <is>
          <t>NB-0023</t>
        </is>
      </c>
      <c r="C2305" s="14" t="n">
        <v>40</v>
      </c>
      <c r="D2305" s="14">
        <f>IF(A2305&gt;LastWeek-364,1,0)</f>
        <v/>
      </c>
      <c r="E2305" s="14">
        <f>C2305^2*D2305</f>
        <v/>
      </c>
    </row>
    <row r="2306">
      <c r="A2306" s="26" t="n">
        <v>45404</v>
      </c>
      <c r="B2306" s="14" t="inlineStr">
        <is>
          <t>NB-0023</t>
        </is>
      </c>
      <c r="C2306" s="14" t="n">
        <v>31</v>
      </c>
      <c r="D2306" s="14">
        <f>IF(A2306&gt;LastWeek-364,1,0)</f>
        <v/>
      </c>
      <c r="E2306" s="14">
        <f>C2306^2*D2306</f>
        <v/>
      </c>
    </row>
    <row r="2307">
      <c r="A2307" s="26" t="n">
        <v>45411</v>
      </c>
      <c r="B2307" s="14" t="inlineStr">
        <is>
          <t>NB-0023</t>
        </is>
      </c>
      <c r="C2307" s="14" t="n">
        <v>38</v>
      </c>
      <c r="D2307" s="14">
        <f>IF(A2307&gt;LastWeek-364,1,0)</f>
        <v/>
      </c>
      <c r="E2307" s="14">
        <f>C2307^2*D2307</f>
        <v/>
      </c>
    </row>
    <row r="2308">
      <c r="A2308" s="26" t="n">
        <v>45418</v>
      </c>
      <c r="B2308" s="14" t="inlineStr">
        <is>
          <t>NB-0023</t>
        </is>
      </c>
      <c r="C2308" s="14" t="n">
        <v>43</v>
      </c>
      <c r="D2308" s="14">
        <f>IF(A2308&gt;LastWeek-364,1,0)</f>
        <v/>
      </c>
      <c r="E2308" s="14">
        <f>C2308^2*D2308</f>
        <v/>
      </c>
    </row>
    <row r="2309">
      <c r="A2309" s="26" t="n">
        <v>45425</v>
      </c>
      <c r="B2309" s="14" t="inlineStr">
        <is>
          <t>NB-0023</t>
        </is>
      </c>
      <c r="C2309" s="14" t="n">
        <v>36</v>
      </c>
      <c r="D2309" s="14">
        <f>IF(A2309&gt;LastWeek-364,1,0)</f>
        <v/>
      </c>
      <c r="E2309" s="14">
        <f>C2309^2*D2309</f>
        <v/>
      </c>
    </row>
    <row r="2310">
      <c r="A2310" s="26" t="n">
        <v>45432</v>
      </c>
      <c r="B2310" s="14" t="inlineStr">
        <is>
          <t>NB-0023</t>
        </is>
      </c>
      <c r="C2310" s="14" t="n">
        <v>38</v>
      </c>
      <c r="D2310" s="14">
        <f>IF(A2310&gt;LastWeek-364,1,0)</f>
        <v/>
      </c>
      <c r="E2310" s="14">
        <f>C2310^2*D2310</f>
        <v/>
      </c>
    </row>
    <row r="2311">
      <c r="A2311" s="26" t="n">
        <v>45439</v>
      </c>
      <c r="B2311" s="14" t="inlineStr">
        <is>
          <t>NB-0023</t>
        </is>
      </c>
      <c r="C2311" s="14" t="n">
        <v>33</v>
      </c>
      <c r="D2311" s="14">
        <f>IF(A2311&gt;LastWeek-364,1,0)</f>
        <v/>
      </c>
      <c r="E2311" s="14">
        <f>C2311^2*D2311</f>
        <v/>
      </c>
    </row>
    <row r="2312">
      <c r="A2312" s="26" t="n">
        <v>45446</v>
      </c>
      <c r="B2312" s="14" t="inlineStr">
        <is>
          <t>NB-0023</t>
        </is>
      </c>
      <c r="C2312" s="14" t="n">
        <v>31</v>
      </c>
      <c r="D2312" s="14">
        <f>IF(A2312&gt;LastWeek-364,1,0)</f>
        <v/>
      </c>
      <c r="E2312" s="14">
        <f>C2312^2*D2312</f>
        <v/>
      </c>
    </row>
    <row r="2313">
      <c r="A2313" s="26" t="n">
        <v>45453</v>
      </c>
      <c r="B2313" s="14" t="inlineStr">
        <is>
          <t>NB-0023</t>
        </is>
      </c>
      <c r="C2313" s="14" t="n">
        <v>32</v>
      </c>
      <c r="D2313" s="14">
        <f>IF(A2313&gt;LastWeek-364,1,0)</f>
        <v/>
      </c>
      <c r="E2313" s="14">
        <f>C2313^2*D2313</f>
        <v/>
      </c>
    </row>
    <row r="2314">
      <c r="A2314" s="26" t="n">
        <v>45460</v>
      </c>
      <c r="B2314" s="14" t="inlineStr">
        <is>
          <t>NB-0023</t>
        </is>
      </c>
      <c r="C2314" s="14" t="n">
        <v>28</v>
      </c>
      <c r="D2314" s="14">
        <f>IF(A2314&gt;LastWeek-364,1,0)</f>
        <v/>
      </c>
      <c r="E2314" s="14">
        <f>C2314^2*D2314</f>
        <v/>
      </c>
    </row>
    <row r="2315">
      <c r="A2315" s="26" t="n">
        <v>45467</v>
      </c>
      <c r="B2315" s="14" t="inlineStr">
        <is>
          <t>NB-0023</t>
        </is>
      </c>
      <c r="C2315" s="14" t="n">
        <v>27</v>
      </c>
      <c r="D2315" s="14">
        <f>IF(A2315&gt;LastWeek-364,1,0)</f>
        <v/>
      </c>
      <c r="E2315" s="14">
        <f>C2315^2*D2315</f>
        <v/>
      </c>
    </row>
    <row r="2316">
      <c r="A2316" s="26" t="n">
        <v>45474</v>
      </c>
      <c r="B2316" s="14" t="inlineStr">
        <is>
          <t>NB-0023</t>
        </is>
      </c>
      <c r="C2316" s="14" t="n">
        <v>34</v>
      </c>
      <c r="D2316" s="14">
        <f>IF(A2316&gt;LastWeek-364,1,0)</f>
        <v/>
      </c>
      <c r="E2316" s="14">
        <f>C2316^2*D2316</f>
        <v/>
      </c>
    </row>
    <row r="2317">
      <c r="A2317" s="26" t="n">
        <v>45481</v>
      </c>
      <c r="B2317" s="14" t="inlineStr">
        <is>
          <t>NB-0023</t>
        </is>
      </c>
      <c r="C2317" s="14" t="n">
        <v>34</v>
      </c>
      <c r="D2317" s="14">
        <f>IF(A2317&gt;LastWeek-364,1,0)</f>
        <v/>
      </c>
      <c r="E2317" s="14">
        <f>C2317^2*D2317</f>
        <v/>
      </c>
    </row>
    <row r="2318">
      <c r="A2318" s="26" t="n">
        <v>45488</v>
      </c>
      <c r="B2318" s="14" t="inlineStr">
        <is>
          <t>NB-0023</t>
        </is>
      </c>
      <c r="C2318" s="14" t="n">
        <v>27</v>
      </c>
      <c r="D2318" s="14">
        <f>IF(A2318&gt;LastWeek-364,1,0)</f>
        <v/>
      </c>
      <c r="E2318" s="14">
        <f>C2318^2*D2318</f>
        <v/>
      </c>
    </row>
    <row r="2319">
      <c r="A2319" s="26" t="n">
        <v>45495</v>
      </c>
      <c r="B2319" s="14" t="inlineStr">
        <is>
          <t>NB-0023</t>
        </is>
      </c>
      <c r="C2319" s="14" t="n">
        <v>33</v>
      </c>
      <c r="D2319" s="14">
        <f>IF(A2319&gt;LastWeek-364,1,0)</f>
        <v/>
      </c>
      <c r="E2319" s="14">
        <f>C2319^2*D2319</f>
        <v/>
      </c>
    </row>
    <row r="2320">
      <c r="A2320" s="26" t="n">
        <v>45502</v>
      </c>
      <c r="B2320" s="14" t="inlineStr">
        <is>
          <t>NB-0023</t>
        </is>
      </c>
      <c r="C2320" s="14" t="n">
        <v>31</v>
      </c>
      <c r="D2320" s="14">
        <f>IF(A2320&gt;LastWeek-364,1,0)</f>
        <v/>
      </c>
      <c r="E2320" s="14">
        <f>C2320^2*D2320</f>
        <v/>
      </c>
    </row>
    <row r="2321">
      <c r="A2321" s="26" t="n">
        <v>45509</v>
      </c>
      <c r="B2321" s="14" t="inlineStr">
        <is>
          <t>NB-0023</t>
        </is>
      </c>
      <c r="C2321" s="14" t="n">
        <v>33</v>
      </c>
      <c r="D2321" s="14">
        <f>IF(A2321&gt;LastWeek-364,1,0)</f>
        <v/>
      </c>
      <c r="E2321" s="14">
        <f>C2321^2*D2321</f>
        <v/>
      </c>
    </row>
    <row r="2322">
      <c r="A2322" s="26" t="n">
        <v>45516</v>
      </c>
      <c r="B2322" s="14" t="inlineStr">
        <is>
          <t>NB-0023</t>
        </is>
      </c>
      <c r="C2322" s="14" t="n">
        <v>34</v>
      </c>
      <c r="D2322" s="14">
        <f>IF(A2322&gt;LastWeek-364,1,0)</f>
        <v/>
      </c>
      <c r="E2322" s="14">
        <f>C2322^2*D2322</f>
        <v/>
      </c>
    </row>
    <row r="2323">
      <c r="A2323" s="26" t="n">
        <v>45523</v>
      </c>
      <c r="B2323" s="14" t="inlineStr">
        <is>
          <t>NB-0023</t>
        </is>
      </c>
      <c r="C2323" s="14" t="n">
        <v>37</v>
      </c>
      <c r="D2323" s="14">
        <f>IF(A2323&gt;LastWeek-364,1,0)</f>
        <v/>
      </c>
      <c r="E2323" s="14">
        <f>C2323^2*D2323</f>
        <v/>
      </c>
    </row>
    <row r="2324">
      <c r="A2324" s="26" t="n">
        <v>45530</v>
      </c>
      <c r="B2324" s="14" t="inlineStr">
        <is>
          <t>NB-0023</t>
        </is>
      </c>
      <c r="C2324" s="14" t="n">
        <v>35</v>
      </c>
      <c r="D2324" s="14">
        <f>IF(A2324&gt;LastWeek-364,1,0)</f>
        <v/>
      </c>
      <c r="E2324" s="14">
        <f>C2324^2*D2324</f>
        <v/>
      </c>
    </row>
    <row r="2325">
      <c r="A2325" s="26" t="n">
        <v>45537</v>
      </c>
      <c r="B2325" s="14" t="inlineStr">
        <is>
          <t>NB-0023</t>
        </is>
      </c>
      <c r="C2325" s="14" t="n">
        <v>41</v>
      </c>
      <c r="D2325" s="14">
        <f>IF(A2325&gt;LastWeek-364,1,0)</f>
        <v/>
      </c>
      <c r="E2325" s="14">
        <f>C2325^2*D2325</f>
        <v/>
      </c>
    </row>
    <row r="2326">
      <c r="A2326" s="26" t="n">
        <v>45544</v>
      </c>
      <c r="B2326" s="14" t="inlineStr">
        <is>
          <t>NB-0023</t>
        </is>
      </c>
      <c r="C2326" s="14" t="n">
        <v>38</v>
      </c>
      <c r="D2326" s="14">
        <f>IF(A2326&gt;LastWeek-364,1,0)</f>
        <v/>
      </c>
      <c r="E2326" s="14">
        <f>C2326^2*D2326</f>
        <v/>
      </c>
    </row>
    <row r="2327">
      <c r="A2327" s="26" t="n">
        <v>45551</v>
      </c>
      <c r="B2327" s="14" t="inlineStr">
        <is>
          <t>NB-0023</t>
        </is>
      </c>
      <c r="C2327" s="14" t="n">
        <v>41</v>
      </c>
      <c r="D2327" s="14">
        <f>IF(A2327&gt;LastWeek-364,1,0)</f>
        <v/>
      </c>
      <c r="E2327" s="14">
        <f>C2327^2*D2327</f>
        <v/>
      </c>
    </row>
    <row r="2328">
      <c r="A2328" s="26" t="n">
        <v>45558</v>
      </c>
      <c r="B2328" s="14" t="inlineStr">
        <is>
          <t>NB-0023</t>
        </is>
      </c>
      <c r="C2328" s="14" t="n">
        <v>37</v>
      </c>
      <c r="D2328" s="14">
        <f>IF(A2328&gt;LastWeek-364,1,0)</f>
        <v/>
      </c>
      <c r="E2328" s="14">
        <f>C2328^2*D2328</f>
        <v/>
      </c>
    </row>
    <row r="2329">
      <c r="A2329" s="26" t="n">
        <v>45565</v>
      </c>
      <c r="B2329" s="14" t="inlineStr">
        <is>
          <t>NB-0023</t>
        </is>
      </c>
      <c r="C2329" s="14" t="n">
        <v>50</v>
      </c>
      <c r="D2329" s="14">
        <f>IF(A2329&gt;LastWeek-364,1,0)</f>
        <v/>
      </c>
      <c r="E2329" s="14">
        <f>C2329^2*D2329</f>
        <v/>
      </c>
    </row>
    <row r="2330">
      <c r="A2330" s="26" t="n">
        <v>45572</v>
      </c>
      <c r="B2330" s="14" t="inlineStr">
        <is>
          <t>NB-0023</t>
        </is>
      </c>
      <c r="C2330" s="14" t="n">
        <v>45</v>
      </c>
      <c r="D2330" s="14">
        <f>IF(A2330&gt;LastWeek-364,1,0)</f>
        <v/>
      </c>
      <c r="E2330" s="14">
        <f>C2330^2*D2330</f>
        <v/>
      </c>
    </row>
    <row r="2331">
      <c r="A2331" s="26" t="n">
        <v>45579</v>
      </c>
      <c r="B2331" s="14" t="inlineStr">
        <is>
          <t>NB-0023</t>
        </is>
      </c>
      <c r="C2331" s="14" t="n">
        <v>47</v>
      </c>
      <c r="D2331" s="14">
        <f>IF(A2331&gt;LastWeek-364,1,0)</f>
        <v/>
      </c>
      <c r="E2331" s="14">
        <f>C2331^2*D2331</f>
        <v/>
      </c>
    </row>
    <row r="2332">
      <c r="A2332" s="26" t="n">
        <v>45586</v>
      </c>
      <c r="B2332" s="14" t="inlineStr">
        <is>
          <t>NB-0023</t>
        </is>
      </c>
      <c r="C2332" s="14" t="n">
        <v>39</v>
      </c>
      <c r="D2332" s="14">
        <f>IF(A2332&gt;LastWeek-364,1,0)</f>
        <v/>
      </c>
      <c r="E2332" s="14">
        <f>C2332^2*D2332</f>
        <v/>
      </c>
    </row>
    <row r="2333">
      <c r="A2333" s="26" t="n">
        <v>45593</v>
      </c>
      <c r="B2333" s="14" t="inlineStr">
        <is>
          <t>NB-0023</t>
        </is>
      </c>
      <c r="C2333" s="14" t="n">
        <v>44</v>
      </c>
      <c r="D2333" s="14">
        <f>IF(A2333&gt;LastWeek-364,1,0)</f>
        <v/>
      </c>
      <c r="E2333" s="14">
        <f>C2333^2*D2333</f>
        <v/>
      </c>
    </row>
    <row r="2334">
      <c r="A2334" s="26" t="n">
        <v>45600</v>
      </c>
      <c r="B2334" s="14" t="inlineStr">
        <is>
          <t>NB-0023</t>
        </is>
      </c>
      <c r="C2334" s="14" t="n">
        <v>55</v>
      </c>
      <c r="D2334" s="14">
        <f>IF(A2334&gt;LastWeek-364,1,0)</f>
        <v/>
      </c>
      <c r="E2334" s="14">
        <f>C2334^2*D2334</f>
        <v/>
      </c>
    </row>
    <row r="2335">
      <c r="A2335" s="26" t="n">
        <v>45607</v>
      </c>
      <c r="B2335" s="14" t="inlineStr">
        <is>
          <t>NB-0023</t>
        </is>
      </c>
      <c r="C2335" s="14" t="n">
        <v>52</v>
      </c>
      <c r="D2335" s="14">
        <f>IF(A2335&gt;LastWeek-364,1,0)</f>
        <v/>
      </c>
      <c r="E2335" s="14">
        <f>C2335^2*D2335</f>
        <v/>
      </c>
    </row>
    <row r="2336">
      <c r="A2336" s="26" t="n">
        <v>45614</v>
      </c>
      <c r="B2336" s="14" t="inlineStr">
        <is>
          <t>NB-0023</t>
        </is>
      </c>
      <c r="C2336" s="14" t="n">
        <v>42</v>
      </c>
      <c r="D2336" s="14">
        <f>IF(A2336&gt;LastWeek-364,1,0)</f>
        <v/>
      </c>
      <c r="E2336" s="14">
        <f>C2336^2*D2336</f>
        <v/>
      </c>
    </row>
    <row r="2337">
      <c r="A2337" s="26" t="n">
        <v>45621</v>
      </c>
      <c r="B2337" s="14" t="inlineStr">
        <is>
          <t>NB-0023</t>
        </is>
      </c>
      <c r="C2337" s="14" t="n">
        <v>58</v>
      </c>
      <c r="D2337" s="14">
        <f>IF(A2337&gt;LastWeek-364,1,0)</f>
        <v/>
      </c>
      <c r="E2337" s="14">
        <f>C2337^2*D2337</f>
        <v/>
      </c>
    </row>
    <row r="2338">
      <c r="A2338" s="26" t="n">
        <v>45628</v>
      </c>
      <c r="B2338" s="14" t="inlineStr">
        <is>
          <t>NB-0023</t>
        </is>
      </c>
      <c r="C2338" s="14" t="n">
        <v>51</v>
      </c>
      <c r="D2338" s="14">
        <f>IF(A2338&gt;LastWeek-364,1,0)</f>
        <v/>
      </c>
      <c r="E2338" s="14">
        <f>C2338^2*D2338</f>
        <v/>
      </c>
    </row>
    <row r="2339">
      <c r="A2339" s="26" t="n">
        <v>45635</v>
      </c>
      <c r="B2339" s="14" t="inlineStr">
        <is>
          <t>NB-0023</t>
        </is>
      </c>
      <c r="C2339" s="14" t="n">
        <v>62</v>
      </c>
      <c r="D2339" s="14">
        <f>IF(A2339&gt;LastWeek-364,1,0)</f>
        <v/>
      </c>
      <c r="E2339" s="14">
        <f>C2339^2*D2339</f>
        <v/>
      </c>
    </row>
    <row r="2340">
      <c r="A2340" s="26" t="n">
        <v>45642</v>
      </c>
      <c r="B2340" s="14" t="inlineStr">
        <is>
          <t>NB-0023</t>
        </is>
      </c>
      <c r="C2340" s="14" t="n">
        <v>55</v>
      </c>
      <c r="D2340" s="14">
        <f>IF(A2340&gt;LastWeek-364,1,0)</f>
        <v/>
      </c>
      <c r="E2340" s="14">
        <f>C2340^2*D2340</f>
        <v/>
      </c>
    </row>
    <row r="2341">
      <c r="A2341" s="26" t="n">
        <v>45649</v>
      </c>
      <c r="B2341" s="14" t="inlineStr">
        <is>
          <t>NB-0023</t>
        </is>
      </c>
      <c r="C2341" s="14" t="n">
        <v>57</v>
      </c>
      <c r="D2341" s="14">
        <f>IF(A2341&gt;LastWeek-364,1,0)</f>
        <v/>
      </c>
      <c r="E2341" s="14">
        <f>C2341^2*D2341</f>
        <v/>
      </c>
    </row>
    <row r="2342">
      <c r="A2342" s="26" t="n">
        <v>45656</v>
      </c>
      <c r="B2342" s="14" t="inlineStr">
        <is>
          <t>NB-0023</t>
        </is>
      </c>
      <c r="C2342" s="14" t="n">
        <v>63</v>
      </c>
      <c r="D2342" s="14">
        <f>IF(A2342&gt;LastWeek-364,1,0)</f>
        <v/>
      </c>
      <c r="E2342" s="14">
        <f>C2342^2*D2342</f>
        <v/>
      </c>
    </row>
    <row r="2343">
      <c r="A2343" s="26" t="n">
        <v>45663</v>
      </c>
      <c r="B2343" s="14" t="inlineStr">
        <is>
          <t>NB-0023</t>
        </is>
      </c>
      <c r="C2343" s="14" t="n">
        <v>52</v>
      </c>
      <c r="D2343" s="14">
        <f>IF(A2343&gt;LastWeek-364,1,0)</f>
        <v/>
      </c>
      <c r="E2343" s="14">
        <f>C2343^2*D2343</f>
        <v/>
      </c>
    </row>
    <row r="2344">
      <c r="A2344" s="26" t="n">
        <v>45670</v>
      </c>
      <c r="B2344" s="14" t="inlineStr">
        <is>
          <t>NB-0023</t>
        </is>
      </c>
      <c r="C2344" s="14" t="n">
        <v>51</v>
      </c>
      <c r="D2344" s="14">
        <f>IF(A2344&gt;LastWeek-364,1,0)</f>
        <v/>
      </c>
      <c r="E2344" s="14">
        <f>C2344^2*D2344</f>
        <v/>
      </c>
    </row>
    <row r="2345">
      <c r="A2345" s="26" t="n">
        <v>45677</v>
      </c>
      <c r="B2345" s="14" t="inlineStr">
        <is>
          <t>NB-0023</t>
        </is>
      </c>
      <c r="C2345" s="14" t="n">
        <v>56</v>
      </c>
      <c r="D2345" s="14">
        <f>IF(A2345&gt;LastWeek-364,1,0)</f>
        <v/>
      </c>
      <c r="E2345" s="14">
        <f>C2345^2*D2345</f>
        <v/>
      </c>
    </row>
    <row r="2346">
      <c r="A2346" s="26" t="n">
        <v>45684</v>
      </c>
      <c r="B2346" s="14" t="inlineStr">
        <is>
          <t>NB-0023</t>
        </is>
      </c>
      <c r="C2346" s="14" t="n">
        <v>61</v>
      </c>
      <c r="D2346" s="14">
        <f>IF(A2346&gt;LastWeek-364,1,0)</f>
        <v/>
      </c>
      <c r="E2346" s="14">
        <f>C2346^2*D2346</f>
        <v/>
      </c>
    </row>
    <row r="2347">
      <c r="A2347" s="26" t="n">
        <v>45691</v>
      </c>
      <c r="B2347" s="14" t="inlineStr">
        <is>
          <t>NB-0023</t>
        </is>
      </c>
      <c r="C2347" s="14" t="n">
        <v>49</v>
      </c>
      <c r="D2347" s="14">
        <f>IF(A2347&gt;LastWeek-364,1,0)</f>
        <v/>
      </c>
      <c r="E2347" s="14">
        <f>C2347^2*D2347</f>
        <v/>
      </c>
    </row>
    <row r="2348">
      <c r="A2348" s="26" t="n">
        <v>45698</v>
      </c>
      <c r="B2348" s="14" t="inlineStr">
        <is>
          <t>NB-0023</t>
        </is>
      </c>
      <c r="C2348" s="14" t="n">
        <v>47</v>
      </c>
      <c r="D2348" s="14">
        <f>IF(A2348&gt;LastWeek-364,1,0)</f>
        <v/>
      </c>
      <c r="E2348" s="14">
        <f>C2348^2*D2348</f>
        <v/>
      </c>
    </row>
    <row r="2349">
      <c r="A2349" s="26" t="n">
        <v>45705</v>
      </c>
      <c r="B2349" s="14" t="inlineStr">
        <is>
          <t>NB-0023</t>
        </is>
      </c>
      <c r="C2349" s="14" t="n">
        <v>59</v>
      </c>
      <c r="D2349" s="14">
        <f>IF(A2349&gt;LastWeek-364,1,0)</f>
        <v/>
      </c>
      <c r="E2349" s="14">
        <f>C2349^2*D2349</f>
        <v/>
      </c>
    </row>
    <row r="2350">
      <c r="A2350" s="26" t="n">
        <v>45712</v>
      </c>
      <c r="B2350" s="14" t="inlineStr">
        <is>
          <t>NB-0023</t>
        </is>
      </c>
      <c r="C2350" s="14" t="n">
        <v>51</v>
      </c>
      <c r="D2350" s="14">
        <f>IF(A2350&gt;LastWeek-364,1,0)</f>
        <v/>
      </c>
      <c r="E2350" s="14">
        <f>C2350^2*D2350</f>
        <v/>
      </c>
    </row>
    <row r="2351">
      <c r="A2351" s="26" t="n">
        <v>45719</v>
      </c>
      <c r="B2351" s="14" t="inlineStr">
        <is>
          <t>NB-0023</t>
        </is>
      </c>
      <c r="C2351" s="14" t="n">
        <v>51</v>
      </c>
      <c r="D2351" s="14">
        <f>IF(A2351&gt;LastWeek-364,1,0)</f>
        <v/>
      </c>
      <c r="E2351" s="14">
        <f>C2351^2*D2351</f>
        <v/>
      </c>
    </row>
    <row r="2352">
      <c r="A2352" s="26" t="n">
        <v>45726</v>
      </c>
      <c r="B2352" s="14" t="inlineStr">
        <is>
          <t>NB-0023</t>
        </is>
      </c>
      <c r="C2352" s="14" t="n">
        <v>43</v>
      </c>
      <c r="D2352" s="14">
        <f>IF(A2352&gt;LastWeek-364,1,0)</f>
        <v/>
      </c>
      <c r="E2352" s="14">
        <f>C2352^2*D2352</f>
        <v/>
      </c>
    </row>
    <row r="2353">
      <c r="A2353" s="26" t="n">
        <v>45733</v>
      </c>
      <c r="B2353" s="14" t="inlineStr">
        <is>
          <t>NB-0023</t>
        </is>
      </c>
      <c r="C2353" s="14" t="n">
        <v>47</v>
      </c>
      <c r="D2353" s="14">
        <f>IF(A2353&gt;LastWeek-364,1,0)</f>
        <v/>
      </c>
      <c r="E2353" s="14">
        <f>C2353^2*D2353</f>
        <v/>
      </c>
    </row>
    <row r="2354">
      <c r="A2354" s="26" t="n">
        <v>45740</v>
      </c>
      <c r="B2354" s="14" t="inlineStr">
        <is>
          <t>NB-0023</t>
        </is>
      </c>
      <c r="C2354" s="14" t="n">
        <v>49</v>
      </c>
      <c r="D2354" s="14">
        <f>IF(A2354&gt;LastWeek-364,1,0)</f>
        <v/>
      </c>
      <c r="E2354" s="14">
        <f>C2354^2*D2354</f>
        <v/>
      </c>
    </row>
    <row r="2355">
      <c r="A2355" s="26" t="n">
        <v>45747</v>
      </c>
      <c r="B2355" s="14" t="inlineStr">
        <is>
          <t>NB-0023</t>
        </is>
      </c>
      <c r="C2355" s="14" t="n">
        <v>52</v>
      </c>
      <c r="D2355" s="14">
        <f>IF(A2355&gt;LastWeek-364,1,0)</f>
        <v/>
      </c>
      <c r="E2355" s="14">
        <f>C2355^2*D2355</f>
        <v/>
      </c>
    </row>
    <row r="2356">
      <c r="A2356" s="26" t="n">
        <v>45754</v>
      </c>
      <c r="B2356" s="14" t="inlineStr">
        <is>
          <t>NB-0023</t>
        </is>
      </c>
      <c r="C2356" s="14" t="n">
        <v>43</v>
      </c>
      <c r="D2356" s="14">
        <f>IF(A2356&gt;LastWeek-364,1,0)</f>
        <v/>
      </c>
      <c r="E2356" s="14">
        <f>C2356^2*D2356</f>
        <v/>
      </c>
    </row>
    <row r="2357">
      <c r="A2357" s="26" t="n">
        <v>45761</v>
      </c>
      <c r="B2357" s="14" t="inlineStr">
        <is>
          <t>NB-0023</t>
        </is>
      </c>
      <c r="C2357" s="14" t="n">
        <v>52</v>
      </c>
      <c r="D2357" s="14">
        <f>IF(A2357&gt;LastWeek-364,1,0)</f>
        <v/>
      </c>
      <c r="E2357" s="14">
        <f>C2357^2*D2357</f>
        <v/>
      </c>
    </row>
    <row r="2358">
      <c r="A2358" s="26" t="n">
        <v>45768</v>
      </c>
      <c r="B2358" s="14" t="inlineStr">
        <is>
          <t>NB-0023</t>
        </is>
      </c>
      <c r="C2358" s="14" t="n">
        <v>41</v>
      </c>
      <c r="D2358" s="14">
        <f>IF(A2358&gt;LastWeek-364,1,0)</f>
        <v/>
      </c>
      <c r="E2358" s="14">
        <f>C2358^2*D2358</f>
        <v/>
      </c>
    </row>
    <row r="2359">
      <c r="A2359" s="26" t="n">
        <v>45775</v>
      </c>
      <c r="B2359" s="14" t="inlineStr">
        <is>
          <t>NB-0023</t>
        </is>
      </c>
      <c r="C2359" s="14" t="n">
        <v>40</v>
      </c>
      <c r="D2359" s="14">
        <f>IF(A2359&gt;LastWeek-364,1,0)</f>
        <v/>
      </c>
      <c r="E2359" s="14">
        <f>C2359^2*D2359</f>
        <v/>
      </c>
    </row>
    <row r="2360">
      <c r="A2360" s="26" t="n">
        <v>45782</v>
      </c>
      <c r="B2360" s="14" t="inlineStr">
        <is>
          <t>NB-0023</t>
        </is>
      </c>
      <c r="C2360" s="14" t="n">
        <v>47</v>
      </c>
      <c r="D2360" s="14">
        <f>IF(A2360&gt;LastWeek-364,1,0)</f>
        <v/>
      </c>
      <c r="E2360" s="14">
        <f>C2360^2*D2360</f>
        <v/>
      </c>
    </row>
    <row r="2361">
      <c r="A2361" s="26" t="n">
        <v>45789</v>
      </c>
      <c r="B2361" s="14" t="inlineStr">
        <is>
          <t>NB-0023</t>
        </is>
      </c>
      <c r="C2361" s="14" t="n">
        <v>41</v>
      </c>
      <c r="D2361" s="14">
        <f>IF(A2361&gt;LastWeek-364,1,0)</f>
        <v/>
      </c>
      <c r="E2361" s="14">
        <f>C2361^2*D2361</f>
        <v/>
      </c>
    </row>
    <row r="2362">
      <c r="A2362" s="26" t="n">
        <v>45796</v>
      </c>
      <c r="B2362" s="14" t="inlineStr">
        <is>
          <t>NB-0023</t>
        </is>
      </c>
      <c r="C2362" s="14" t="n">
        <v>37</v>
      </c>
      <c r="D2362" s="14">
        <f>IF(A2362&gt;LastWeek-364,1,0)</f>
        <v/>
      </c>
      <c r="E2362" s="14">
        <f>C2362^2*D2362</f>
        <v/>
      </c>
    </row>
    <row r="2363">
      <c r="A2363" s="26" t="n">
        <v>45803</v>
      </c>
      <c r="B2363" s="14" t="inlineStr">
        <is>
          <t>NB-0023</t>
        </is>
      </c>
      <c r="C2363" s="14" t="n">
        <v>38</v>
      </c>
      <c r="D2363" s="14">
        <f>IF(A2363&gt;LastWeek-364,1,0)</f>
        <v/>
      </c>
      <c r="E2363" s="14">
        <f>C2363^2*D2363</f>
        <v/>
      </c>
    </row>
    <row r="2364">
      <c r="A2364" s="26" t="n">
        <v>45810</v>
      </c>
      <c r="B2364" s="14" t="inlineStr">
        <is>
          <t>NB-0023</t>
        </is>
      </c>
      <c r="C2364" s="14" t="n">
        <v>42</v>
      </c>
      <c r="D2364" s="14">
        <f>IF(A2364&gt;LastWeek-364,1,0)</f>
        <v/>
      </c>
      <c r="E2364" s="14">
        <f>C2364^2*D2364</f>
        <v/>
      </c>
    </row>
    <row r="2365">
      <c r="A2365" s="26" t="n">
        <v>45817</v>
      </c>
      <c r="B2365" s="14" t="inlineStr">
        <is>
          <t>NB-0023</t>
        </is>
      </c>
      <c r="C2365" s="14" t="n">
        <v>42</v>
      </c>
      <c r="D2365" s="14">
        <f>IF(A2365&gt;LastWeek-364,1,0)</f>
        <v/>
      </c>
      <c r="E2365" s="14">
        <f>C2365^2*D2365</f>
        <v/>
      </c>
    </row>
    <row r="2366">
      <c r="A2366" s="26" t="n">
        <v>45824</v>
      </c>
      <c r="B2366" s="14" t="inlineStr">
        <is>
          <t>NB-0023</t>
        </is>
      </c>
      <c r="C2366" s="14" t="n">
        <v>33</v>
      </c>
      <c r="D2366" s="14">
        <f>IF(A2366&gt;LastWeek-364,1,0)</f>
        <v/>
      </c>
      <c r="E2366" s="14">
        <f>C2366^2*D2366</f>
        <v/>
      </c>
    </row>
    <row r="2367">
      <c r="A2367" s="26" t="n">
        <v>45831</v>
      </c>
      <c r="B2367" s="14" t="inlineStr">
        <is>
          <t>NB-0023</t>
        </is>
      </c>
      <c r="C2367" s="14" t="n">
        <v>36</v>
      </c>
      <c r="D2367" s="14">
        <f>IF(A2367&gt;LastWeek-364,1,0)</f>
        <v/>
      </c>
      <c r="E2367" s="14">
        <f>C2367^2*D2367</f>
        <v/>
      </c>
    </row>
    <row r="2368">
      <c r="A2368" s="26" t="n">
        <v>45838</v>
      </c>
      <c r="B2368" s="14" t="inlineStr">
        <is>
          <t>NB-0023</t>
        </is>
      </c>
      <c r="C2368" s="14" t="n">
        <v>36</v>
      </c>
      <c r="D2368" s="14">
        <f>IF(A2368&gt;LastWeek-364,1,0)</f>
        <v/>
      </c>
      <c r="E2368" s="14">
        <f>C2368^2*D2368</f>
        <v/>
      </c>
    </row>
    <row r="2369">
      <c r="A2369" s="26" t="n">
        <v>45845</v>
      </c>
      <c r="B2369" s="14" t="inlineStr">
        <is>
          <t>NB-0023</t>
        </is>
      </c>
      <c r="C2369" s="14" t="n">
        <v>32</v>
      </c>
      <c r="D2369" s="14">
        <f>IF(A2369&gt;LastWeek-364,1,0)</f>
        <v/>
      </c>
      <c r="E2369" s="14">
        <f>C2369^2*D2369</f>
        <v/>
      </c>
    </row>
    <row r="2370">
      <c r="A2370" s="26" t="n">
        <v>45852</v>
      </c>
      <c r="B2370" s="14" t="inlineStr">
        <is>
          <t>NB-0023</t>
        </is>
      </c>
      <c r="C2370" s="14" t="n">
        <v>36</v>
      </c>
      <c r="D2370" s="14">
        <f>IF(A2370&gt;LastWeek-364,1,0)</f>
        <v/>
      </c>
      <c r="E2370" s="14">
        <f>C2370^2*D2370</f>
        <v/>
      </c>
    </row>
    <row r="2371">
      <c r="A2371" s="26" t="n">
        <v>45859</v>
      </c>
      <c r="B2371" s="14" t="inlineStr">
        <is>
          <t>NB-0023</t>
        </is>
      </c>
      <c r="C2371" s="14" t="n">
        <v>36</v>
      </c>
      <c r="D2371" s="14">
        <f>IF(A2371&gt;LastWeek-364,1,0)</f>
        <v/>
      </c>
      <c r="E2371" s="14">
        <f>C2371^2*D2371</f>
        <v/>
      </c>
    </row>
    <row r="2372">
      <c r="A2372" s="26" t="n">
        <v>45866</v>
      </c>
      <c r="B2372" s="14" t="inlineStr">
        <is>
          <t>NB-0023</t>
        </is>
      </c>
      <c r="C2372" s="14" t="n">
        <v>41</v>
      </c>
      <c r="D2372" s="14">
        <f>IF(A2372&gt;LastWeek-364,1,0)</f>
        <v/>
      </c>
      <c r="E2372" s="14">
        <f>C2372^2*D2372</f>
        <v/>
      </c>
    </row>
    <row r="2373">
      <c r="A2373" s="26" t="n">
        <v>45873</v>
      </c>
      <c r="B2373" s="14" t="inlineStr">
        <is>
          <t>NB-0023</t>
        </is>
      </c>
      <c r="C2373" s="14" t="n">
        <v>42</v>
      </c>
      <c r="D2373" s="14">
        <f>IF(A2373&gt;LastWeek-364,1,0)</f>
        <v/>
      </c>
      <c r="E2373" s="14">
        <f>C2373^2*D2373</f>
        <v/>
      </c>
    </row>
    <row r="2374">
      <c r="A2374" s="26" t="n">
        <v>45880</v>
      </c>
      <c r="B2374" s="14" t="inlineStr">
        <is>
          <t>NB-0023</t>
        </is>
      </c>
      <c r="C2374" s="14" t="n">
        <v>37</v>
      </c>
      <c r="D2374" s="14">
        <f>IF(A2374&gt;LastWeek-364,1,0)</f>
        <v/>
      </c>
      <c r="E2374" s="14">
        <f>C2374^2*D2374</f>
        <v/>
      </c>
    </row>
    <row r="2375">
      <c r="A2375" s="26" t="n">
        <v>45887</v>
      </c>
      <c r="B2375" s="14" t="inlineStr">
        <is>
          <t>NB-0023</t>
        </is>
      </c>
      <c r="C2375" s="14" t="n">
        <v>39</v>
      </c>
      <c r="D2375" s="14">
        <f>IF(A2375&gt;LastWeek-364,1,0)</f>
        <v/>
      </c>
      <c r="E2375" s="14">
        <f>C2375^2*D2375</f>
        <v/>
      </c>
    </row>
    <row r="2376">
      <c r="A2376" s="26" t="n">
        <v>45894</v>
      </c>
      <c r="B2376" s="14" t="inlineStr">
        <is>
          <t>NB-0023</t>
        </is>
      </c>
      <c r="C2376" s="14" t="n">
        <v>43</v>
      </c>
      <c r="D2376" s="14">
        <f>IF(A2376&gt;LastWeek-364,1,0)</f>
        <v/>
      </c>
      <c r="E2376" s="14">
        <f>C2376^2*D2376</f>
        <v/>
      </c>
    </row>
    <row r="2377">
      <c r="A2377" s="26" t="n">
        <v>45901</v>
      </c>
      <c r="B2377" s="14" t="inlineStr">
        <is>
          <t>NB-0023</t>
        </is>
      </c>
      <c r="C2377" s="14" t="n">
        <v>40</v>
      </c>
      <c r="D2377" s="14">
        <f>IF(A2377&gt;LastWeek-364,1,0)</f>
        <v/>
      </c>
      <c r="E2377" s="14">
        <f>C2377^2*D2377</f>
        <v/>
      </c>
    </row>
    <row r="2378">
      <c r="A2378" s="26" t="n">
        <v>45908</v>
      </c>
      <c r="B2378" s="14" t="inlineStr">
        <is>
          <t>NB-0023</t>
        </is>
      </c>
      <c r="C2378" s="14" t="n">
        <v>46</v>
      </c>
      <c r="D2378" s="14">
        <f>IF(A2378&gt;LastWeek-364,1,0)</f>
        <v/>
      </c>
      <c r="E2378" s="14">
        <f>C2378^2*D2378</f>
        <v/>
      </c>
    </row>
    <row r="2379">
      <c r="A2379" s="26" t="n">
        <v>45915</v>
      </c>
      <c r="B2379" s="14" t="inlineStr">
        <is>
          <t>NB-0023</t>
        </is>
      </c>
      <c r="C2379" s="14" t="n">
        <v>45</v>
      </c>
      <c r="D2379" s="14">
        <f>IF(A2379&gt;LastWeek-364,1,0)</f>
        <v/>
      </c>
      <c r="E2379" s="14">
        <f>C2379^2*D2379</f>
        <v/>
      </c>
    </row>
    <row r="2380">
      <c r="A2380" s="26" t="n">
        <v>45922</v>
      </c>
      <c r="B2380" s="14" t="inlineStr">
        <is>
          <t>NB-0023</t>
        </is>
      </c>
      <c r="C2380" s="14" t="n">
        <v>43</v>
      </c>
      <c r="D2380" s="14">
        <f>IF(A2380&gt;LastWeek-364,1,0)</f>
        <v/>
      </c>
      <c r="E2380" s="14">
        <f>C2380^2*D2380</f>
        <v/>
      </c>
    </row>
    <row r="2381">
      <c r="A2381" s="26" t="n">
        <v>45929</v>
      </c>
      <c r="B2381" s="14" t="inlineStr">
        <is>
          <t>NB-0023</t>
        </is>
      </c>
      <c r="C2381" s="14" t="n">
        <v>44</v>
      </c>
      <c r="D2381" s="14">
        <f>IF(A2381&gt;LastWeek-364,1,0)</f>
        <v/>
      </c>
      <c r="E2381" s="14">
        <f>C2381^2*D2381</f>
        <v/>
      </c>
    </row>
    <row r="2382">
      <c r="A2382" s="26" t="n">
        <v>45936</v>
      </c>
      <c r="B2382" s="14" t="inlineStr">
        <is>
          <t>NB-0023</t>
        </is>
      </c>
      <c r="C2382" s="14" t="n">
        <v>58</v>
      </c>
      <c r="D2382" s="14">
        <f>IF(A2382&gt;LastWeek-364,1,0)</f>
        <v/>
      </c>
      <c r="E2382" s="14">
        <f>C2382^2*D2382</f>
        <v/>
      </c>
    </row>
    <row r="2383">
      <c r="A2383" s="26" t="n">
        <v>45943</v>
      </c>
      <c r="B2383" s="14" t="inlineStr">
        <is>
          <t>NB-0023</t>
        </is>
      </c>
      <c r="C2383" s="14" t="n">
        <v>52</v>
      </c>
      <c r="D2383" s="14">
        <f>IF(A2383&gt;LastWeek-364,1,0)</f>
        <v/>
      </c>
      <c r="E2383" s="14">
        <f>C2383^2*D2383</f>
        <v/>
      </c>
    </row>
    <row r="2384">
      <c r="A2384" s="26" t="n">
        <v>45950</v>
      </c>
      <c r="B2384" s="14" t="inlineStr">
        <is>
          <t>NB-0023</t>
        </is>
      </c>
      <c r="C2384" s="14" t="n">
        <v>63</v>
      </c>
      <c r="D2384" s="14">
        <f>IF(A2384&gt;LastWeek-364,1,0)</f>
        <v/>
      </c>
      <c r="E2384" s="14">
        <f>C2384^2*D2384</f>
        <v/>
      </c>
    </row>
    <row r="2385">
      <c r="A2385" s="26" t="n">
        <v>45957</v>
      </c>
      <c r="B2385" s="14" t="inlineStr">
        <is>
          <t>NB-0023</t>
        </is>
      </c>
      <c r="C2385" s="14" t="n">
        <v>53</v>
      </c>
      <c r="D2385" s="14">
        <f>IF(A2385&gt;LastWeek-364,1,0)</f>
        <v/>
      </c>
      <c r="E2385" s="14">
        <f>C2385^2*D2385</f>
        <v/>
      </c>
    </row>
    <row r="2386">
      <c r="A2386" s="26" t="n">
        <v>45964</v>
      </c>
      <c r="B2386" s="14" t="inlineStr">
        <is>
          <t>NB-0023</t>
        </is>
      </c>
      <c r="C2386" s="14" t="n">
        <v>59</v>
      </c>
      <c r="D2386" s="14">
        <f>IF(A2386&gt;LastWeek-364,1,0)</f>
        <v/>
      </c>
      <c r="E2386" s="14">
        <f>C2386^2*D2386</f>
        <v/>
      </c>
    </row>
    <row r="2387">
      <c r="A2387" s="26" t="n">
        <v>45971</v>
      </c>
      <c r="B2387" s="14" t="inlineStr">
        <is>
          <t>NB-0023</t>
        </is>
      </c>
      <c r="C2387" s="14" t="n">
        <v>73</v>
      </c>
      <c r="D2387" s="14">
        <f>IF(A2387&gt;LastWeek-364,1,0)</f>
        <v/>
      </c>
      <c r="E2387" s="14">
        <f>C2387^2*D2387</f>
        <v/>
      </c>
    </row>
    <row r="2388">
      <c r="A2388" s="26" t="n">
        <v>45978</v>
      </c>
      <c r="B2388" s="14" t="inlineStr">
        <is>
          <t>NB-0023</t>
        </is>
      </c>
      <c r="C2388" s="14" t="n">
        <v>55</v>
      </c>
      <c r="D2388" s="14">
        <f>IF(A2388&gt;LastWeek-364,1,0)</f>
        <v/>
      </c>
      <c r="E2388" s="14">
        <f>C2388^2*D2388</f>
        <v/>
      </c>
    </row>
    <row r="2389">
      <c r="A2389" s="26" t="n">
        <v>45985</v>
      </c>
      <c r="B2389" s="14" t="inlineStr">
        <is>
          <t>NB-0023</t>
        </is>
      </c>
      <c r="C2389" s="14" t="n">
        <v>51</v>
      </c>
      <c r="D2389" s="14">
        <f>IF(A2389&gt;LastWeek-364,1,0)</f>
        <v/>
      </c>
      <c r="E2389" s="14">
        <f>C2389^2*D2389</f>
        <v/>
      </c>
    </row>
    <row r="2390">
      <c r="A2390" s="26" t="n">
        <v>45992</v>
      </c>
      <c r="B2390" s="14" t="inlineStr">
        <is>
          <t>NB-0023</t>
        </is>
      </c>
      <c r="C2390" s="14" t="n">
        <v>71</v>
      </c>
      <c r="D2390" s="14">
        <f>IF(A2390&gt;LastWeek-364,1,0)</f>
        <v/>
      </c>
      <c r="E2390" s="14">
        <f>C2390^2*D2390</f>
        <v/>
      </c>
    </row>
    <row r="2391">
      <c r="A2391" s="26" t="n">
        <v>45999</v>
      </c>
      <c r="B2391" s="14" t="inlineStr">
        <is>
          <t>NB-0023</t>
        </is>
      </c>
      <c r="C2391" s="14" t="n">
        <v>59</v>
      </c>
      <c r="D2391" s="14">
        <f>IF(A2391&gt;LastWeek-364,1,0)</f>
        <v/>
      </c>
      <c r="E2391" s="14">
        <f>C2391^2*D2391</f>
        <v/>
      </c>
    </row>
    <row r="2392">
      <c r="A2392" s="26" t="n">
        <v>46006</v>
      </c>
      <c r="B2392" s="14" t="inlineStr">
        <is>
          <t>NB-0023</t>
        </is>
      </c>
      <c r="C2392" s="14" t="n">
        <v>65</v>
      </c>
      <c r="D2392" s="14">
        <f>IF(A2392&gt;LastWeek-364,1,0)</f>
        <v/>
      </c>
      <c r="E2392" s="14">
        <f>C2392^2*D2392</f>
        <v/>
      </c>
    </row>
    <row r="2393">
      <c r="A2393" s="26" t="n">
        <v>46013</v>
      </c>
      <c r="B2393" s="14" t="inlineStr">
        <is>
          <t>NB-0023</t>
        </is>
      </c>
      <c r="C2393" s="14" t="n">
        <v>62</v>
      </c>
      <c r="D2393" s="14">
        <f>IF(A2393&gt;LastWeek-364,1,0)</f>
        <v/>
      </c>
      <c r="E2393" s="14">
        <f>C2393^2*D2393</f>
        <v/>
      </c>
    </row>
    <row r="2394">
      <c r="A2394" s="26" t="n">
        <v>45292</v>
      </c>
      <c r="B2394" s="14" t="inlineStr">
        <is>
          <t>NB-0024</t>
        </is>
      </c>
      <c r="C2394" s="14" t="n">
        <v>262</v>
      </c>
      <c r="D2394" s="14">
        <f>IF(A2394&gt;LastWeek-364,1,0)</f>
        <v/>
      </c>
      <c r="E2394" s="14">
        <f>C2394^2*D2394</f>
        <v/>
      </c>
    </row>
    <row r="2395">
      <c r="A2395" s="26" t="n">
        <v>45299</v>
      </c>
      <c r="B2395" s="14" t="inlineStr">
        <is>
          <t>NB-0024</t>
        </is>
      </c>
      <c r="C2395" s="14" t="n">
        <v>174</v>
      </c>
      <c r="D2395" s="14">
        <f>IF(A2395&gt;LastWeek-364,1,0)</f>
        <v/>
      </c>
      <c r="E2395" s="14">
        <f>C2395^2*D2395</f>
        <v/>
      </c>
    </row>
    <row r="2396">
      <c r="A2396" s="26" t="n">
        <v>45306</v>
      </c>
      <c r="B2396" s="14" t="inlineStr">
        <is>
          <t>NB-0024</t>
        </is>
      </c>
      <c r="C2396" s="14" t="n">
        <v>230</v>
      </c>
      <c r="D2396" s="14">
        <f>IF(A2396&gt;LastWeek-364,1,0)</f>
        <v/>
      </c>
      <c r="E2396" s="14">
        <f>C2396^2*D2396</f>
        <v/>
      </c>
    </row>
    <row r="2397">
      <c r="A2397" s="26" t="n">
        <v>45313</v>
      </c>
      <c r="B2397" s="14" t="inlineStr">
        <is>
          <t>NB-0024</t>
        </is>
      </c>
      <c r="C2397" s="14" t="n">
        <v>274</v>
      </c>
      <c r="D2397" s="14">
        <f>IF(A2397&gt;LastWeek-364,1,0)</f>
        <v/>
      </c>
      <c r="E2397" s="14">
        <f>C2397^2*D2397</f>
        <v/>
      </c>
    </row>
    <row r="2398">
      <c r="A2398" s="26" t="n">
        <v>45320</v>
      </c>
      <c r="B2398" s="14" t="inlineStr">
        <is>
          <t>NB-0024</t>
        </is>
      </c>
      <c r="C2398" s="14" t="n">
        <v>168</v>
      </c>
      <c r="D2398" s="14">
        <f>IF(A2398&gt;LastWeek-364,1,0)</f>
        <v/>
      </c>
      <c r="E2398" s="14">
        <f>C2398^2*D2398</f>
        <v/>
      </c>
    </row>
    <row r="2399">
      <c r="A2399" s="26" t="n">
        <v>45327</v>
      </c>
      <c r="B2399" s="14" t="inlineStr">
        <is>
          <t>NB-0024</t>
        </is>
      </c>
      <c r="C2399" s="14" t="n">
        <v>188</v>
      </c>
      <c r="D2399" s="14">
        <f>IF(A2399&gt;LastWeek-364,1,0)</f>
        <v/>
      </c>
      <c r="E2399" s="14">
        <f>C2399^2*D2399</f>
        <v/>
      </c>
    </row>
    <row r="2400">
      <c r="A2400" s="26" t="n">
        <v>45334</v>
      </c>
      <c r="B2400" s="14" t="inlineStr">
        <is>
          <t>NB-0024</t>
        </is>
      </c>
      <c r="C2400" s="14" t="n">
        <v>211</v>
      </c>
      <c r="D2400" s="14">
        <f>IF(A2400&gt;LastWeek-364,1,0)</f>
        <v/>
      </c>
      <c r="E2400" s="14">
        <f>C2400^2*D2400</f>
        <v/>
      </c>
    </row>
    <row r="2401">
      <c r="A2401" s="26" t="n">
        <v>45341</v>
      </c>
      <c r="B2401" s="14" t="inlineStr">
        <is>
          <t>NB-0024</t>
        </is>
      </c>
      <c r="C2401" s="14" t="n">
        <v>133</v>
      </c>
      <c r="D2401" s="14">
        <f>IF(A2401&gt;LastWeek-364,1,0)</f>
        <v/>
      </c>
      <c r="E2401" s="14">
        <f>C2401^2*D2401</f>
        <v/>
      </c>
    </row>
    <row r="2402">
      <c r="A2402" s="26" t="n">
        <v>45348</v>
      </c>
      <c r="B2402" s="14" t="inlineStr">
        <is>
          <t>NB-0024</t>
        </is>
      </c>
      <c r="C2402" s="14" t="n">
        <v>200</v>
      </c>
      <c r="D2402" s="14">
        <f>IF(A2402&gt;LastWeek-364,1,0)</f>
        <v/>
      </c>
      <c r="E2402" s="14">
        <f>C2402^2*D2402</f>
        <v/>
      </c>
    </row>
    <row r="2403">
      <c r="A2403" s="26" t="n">
        <v>45355</v>
      </c>
      <c r="B2403" s="14" t="inlineStr">
        <is>
          <t>NB-0024</t>
        </is>
      </c>
      <c r="C2403" s="14" t="n">
        <v>232</v>
      </c>
      <c r="D2403" s="14">
        <f>IF(A2403&gt;LastWeek-364,1,0)</f>
        <v/>
      </c>
      <c r="E2403" s="14">
        <f>C2403^2*D2403</f>
        <v/>
      </c>
    </row>
    <row r="2404">
      <c r="A2404" s="26" t="n">
        <v>45362</v>
      </c>
      <c r="B2404" s="14" t="inlineStr">
        <is>
          <t>NB-0024</t>
        </is>
      </c>
      <c r="C2404" s="14" t="n">
        <v>194</v>
      </c>
      <c r="D2404" s="14">
        <f>IF(A2404&gt;LastWeek-364,1,0)</f>
        <v/>
      </c>
      <c r="E2404" s="14">
        <f>C2404^2*D2404</f>
        <v/>
      </c>
    </row>
    <row r="2405">
      <c r="A2405" s="26" t="n">
        <v>45369</v>
      </c>
      <c r="B2405" s="14" t="inlineStr">
        <is>
          <t>NB-0024</t>
        </is>
      </c>
      <c r="C2405" s="14" t="n">
        <v>198</v>
      </c>
      <c r="D2405" s="14">
        <f>IF(A2405&gt;LastWeek-364,1,0)</f>
        <v/>
      </c>
      <c r="E2405" s="14">
        <f>C2405^2*D2405</f>
        <v/>
      </c>
    </row>
    <row r="2406">
      <c r="A2406" s="26" t="n">
        <v>45376</v>
      </c>
      <c r="B2406" s="14" t="inlineStr">
        <is>
          <t>NB-0024</t>
        </is>
      </c>
      <c r="C2406" s="14" t="n">
        <v>209</v>
      </c>
      <c r="D2406" s="14">
        <f>IF(A2406&gt;LastWeek-364,1,0)</f>
        <v/>
      </c>
      <c r="E2406" s="14">
        <f>C2406^2*D2406</f>
        <v/>
      </c>
    </row>
    <row r="2407">
      <c r="A2407" s="26" t="n">
        <v>45383</v>
      </c>
      <c r="B2407" s="14" t="inlineStr">
        <is>
          <t>NB-0024</t>
        </is>
      </c>
      <c r="C2407" s="14" t="n">
        <v>165</v>
      </c>
      <c r="D2407" s="14">
        <f>IF(A2407&gt;LastWeek-364,1,0)</f>
        <v/>
      </c>
      <c r="E2407" s="14">
        <f>C2407^2*D2407</f>
        <v/>
      </c>
    </row>
    <row r="2408">
      <c r="A2408" s="26" t="n">
        <v>45390</v>
      </c>
      <c r="B2408" s="14" t="inlineStr">
        <is>
          <t>NB-0024</t>
        </is>
      </c>
      <c r="C2408" s="14" t="n">
        <v>241</v>
      </c>
      <c r="D2408" s="14">
        <f>IF(A2408&gt;LastWeek-364,1,0)</f>
        <v/>
      </c>
      <c r="E2408" s="14">
        <f>C2408^2*D2408</f>
        <v/>
      </c>
    </row>
    <row r="2409">
      <c r="A2409" s="26" t="n">
        <v>45397</v>
      </c>
      <c r="B2409" s="14" t="inlineStr">
        <is>
          <t>NB-0024</t>
        </is>
      </c>
      <c r="C2409" s="14" t="n">
        <v>278</v>
      </c>
      <c r="D2409" s="14">
        <f>IF(A2409&gt;LastWeek-364,1,0)</f>
        <v/>
      </c>
      <c r="E2409" s="14">
        <f>C2409^2*D2409</f>
        <v/>
      </c>
    </row>
    <row r="2410">
      <c r="A2410" s="26" t="n">
        <v>45404</v>
      </c>
      <c r="B2410" s="14" t="inlineStr">
        <is>
          <t>NB-0024</t>
        </is>
      </c>
      <c r="C2410" s="14" t="n">
        <v>163</v>
      </c>
      <c r="D2410" s="14">
        <f>IF(A2410&gt;LastWeek-364,1,0)</f>
        <v/>
      </c>
      <c r="E2410" s="14">
        <f>C2410^2*D2410</f>
        <v/>
      </c>
    </row>
    <row r="2411">
      <c r="A2411" s="26" t="n">
        <v>45411</v>
      </c>
      <c r="B2411" s="14" t="inlineStr">
        <is>
          <t>NB-0024</t>
        </is>
      </c>
      <c r="C2411" s="14" t="n">
        <v>211</v>
      </c>
      <c r="D2411" s="14">
        <f>IF(A2411&gt;LastWeek-364,1,0)</f>
        <v/>
      </c>
      <c r="E2411" s="14">
        <f>C2411^2*D2411</f>
        <v/>
      </c>
    </row>
    <row r="2412">
      <c r="A2412" s="26" t="n">
        <v>45418</v>
      </c>
      <c r="B2412" s="14" t="inlineStr">
        <is>
          <t>NB-0024</t>
        </is>
      </c>
      <c r="C2412" s="14" t="n">
        <v>167</v>
      </c>
      <c r="D2412" s="14">
        <f>IF(A2412&gt;LastWeek-364,1,0)</f>
        <v/>
      </c>
      <c r="E2412" s="14">
        <f>C2412^2*D2412</f>
        <v/>
      </c>
    </row>
    <row r="2413">
      <c r="A2413" s="26" t="n">
        <v>45425</v>
      </c>
      <c r="B2413" s="14" t="inlineStr">
        <is>
          <t>NB-0024</t>
        </is>
      </c>
      <c r="C2413" s="14" t="n">
        <v>195</v>
      </c>
      <c r="D2413" s="14">
        <f>IF(A2413&gt;LastWeek-364,1,0)</f>
        <v/>
      </c>
      <c r="E2413" s="14">
        <f>C2413^2*D2413</f>
        <v/>
      </c>
    </row>
    <row r="2414">
      <c r="A2414" s="26" t="n">
        <v>45432</v>
      </c>
      <c r="B2414" s="14" t="inlineStr">
        <is>
          <t>NB-0024</t>
        </is>
      </c>
      <c r="C2414" s="14" t="n">
        <v>251</v>
      </c>
      <c r="D2414" s="14">
        <f>IF(A2414&gt;LastWeek-364,1,0)</f>
        <v/>
      </c>
      <c r="E2414" s="14">
        <f>C2414^2*D2414</f>
        <v/>
      </c>
    </row>
    <row r="2415">
      <c r="A2415" s="26" t="n">
        <v>45439</v>
      </c>
      <c r="B2415" s="14" t="inlineStr">
        <is>
          <t>NB-0024</t>
        </is>
      </c>
      <c r="C2415" s="14" t="n">
        <v>193</v>
      </c>
      <c r="D2415" s="14">
        <f>IF(A2415&gt;LastWeek-364,1,0)</f>
        <v/>
      </c>
      <c r="E2415" s="14">
        <f>C2415^2*D2415</f>
        <v/>
      </c>
    </row>
    <row r="2416">
      <c r="A2416" s="26" t="n">
        <v>45446</v>
      </c>
      <c r="B2416" s="14" t="inlineStr">
        <is>
          <t>NB-0024</t>
        </is>
      </c>
      <c r="C2416" s="14" t="n">
        <v>78</v>
      </c>
      <c r="D2416" s="14">
        <f>IF(A2416&gt;LastWeek-364,1,0)</f>
        <v/>
      </c>
      <c r="E2416" s="14">
        <f>C2416^2*D2416</f>
        <v/>
      </c>
    </row>
    <row r="2417">
      <c r="A2417" s="26" t="n">
        <v>45453</v>
      </c>
      <c r="B2417" s="14" t="inlineStr">
        <is>
          <t>NB-0024</t>
        </is>
      </c>
      <c r="C2417" s="14" t="n">
        <v>184</v>
      </c>
      <c r="D2417" s="14">
        <f>IF(A2417&gt;LastWeek-364,1,0)</f>
        <v/>
      </c>
      <c r="E2417" s="14">
        <f>C2417^2*D2417</f>
        <v/>
      </c>
    </row>
    <row r="2418">
      <c r="A2418" s="26" t="n">
        <v>45460</v>
      </c>
      <c r="B2418" s="14" t="inlineStr">
        <is>
          <t>NB-0024</t>
        </is>
      </c>
      <c r="C2418" s="14" t="n">
        <v>219</v>
      </c>
      <c r="D2418" s="14">
        <f>IF(A2418&gt;LastWeek-364,1,0)</f>
        <v/>
      </c>
      <c r="E2418" s="14">
        <f>C2418^2*D2418</f>
        <v/>
      </c>
    </row>
    <row r="2419">
      <c r="A2419" s="26" t="n">
        <v>45467</v>
      </c>
      <c r="B2419" s="14" t="inlineStr">
        <is>
          <t>NB-0024</t>
        </is>
      </c>
      <c r="C2419" s="14" t="n">
        <v>148</v>
      </c>
      <c r="D2419" s="14">
        <f>IF(A2419&gt;LastWeek-364,1,0)</f>
        <v/>
      </c>
      <c r="E2419" s="14">
        <f>C2419^2*D2419</f>
        <v/>
      </c>
    </row>
    <row r="2420">
      <c r="A2420" s="26" t="n">
        <v>45474</v>
      </c>
      <c r="B2420" s="14" t="inlineStr">
        <is>
          <t>NB-0024</t>
        </is>
      </c>
      <c r="C2420" s="14" t="n">
        <v>204</v>
      </c>
      <c r="D2420" s="14">
        <f>IF(A2420&gt;LastWeek-364,1,0)</f>
        <v/>
      </c>
      <c r="E2420" s="14">
        <f>C2420^2*D2420</f>
        <v/>
      </c>
    </row>
    <row r="2421">
      <c r="A2421" s="26" t="n">
        <v>45481</v>
      </c>
      <c r="B2421" s="14" t="inlineStr">
        <is>
          <t>NB-0024</t>
        </is>
      </c>
      <c r="C2421" s="14" t="n">
        <v>125</v>
      </c>
      <c r="D2421" s="14">
        <f>IF(A2421&gt;LastWeek-364,1,0)</f>
        <v/>
      </c>
      <c r="E2421" s="14">
        <f>C2421^2*D2421</f>
        <v/>
      </c>
    </row>
    <row r="2422">
      <c r="A2422" s="26" t="n">
        <v>45488</v>
      </c>
      <c r="B2422" s="14" t="inlineStr">
        <is>
          <t>NB-0024</t>
        </is>
      </c>
      <c r="C2422" s="14" t="n">
        <v>88</v>
      </c>
      <c r="D2422" s="14">
        <f>IF(A2422&gt;LastWeek-364,1,0)</f>
        <v/>
      </c>
      <c r="E2422" s="14">
        <f>C2422^2*D2422</f>
        <v/>
      </c>
    </row>
    <row r="2423">
      <c r="A2423" s="26" t="n">
        <v>45495</v>
      </c>
      <c r="B2423" s="14" t="inlineStr">
        <is>
          <t>NB-0024</t>
        </is>
      </c>
      <c r="C2423" s="14" t="n">
        <v>165</v>
      </c>
      <c r="D2423" s="14">
        <f>IF(A2423&gt;LastWeek-364,1,0)</f>
        <v/>
      </c>
      <c r="E2423" s="14">
        <f>C2423^2*D2423</f>
        <v/>
      </c>
    </row>
    <row r="2424">
      <c r="A2424" s="26" t="n">
        <v>45502</v>
      </c>
      <c r="B2424" s="14" t="inlineStr">
        <is>
          <t>NB-0024</t>
        </is>
      </c>
      <c r="C2424" s="14" t="n">
        <v>76</v>
      </c>
      <c r="D2424" s="14">
        <f>IF(A2424&gt;LastWeek-364,1,0)</f>
        <v/>
      </c>
      <c r="E2424" s="14">
        <f>C2424^2*D2424</f>
        <v/>
      </c>
    </row>
    <row r="2425">
      <c r="A2425" s="26" t="n">
        <v>45509</v>
      </c>
      <c r="B2425" s="14" t="inlineStr">
        <is>
          <t>NB-0024</t>
        </is>
      </c>
      <c r="C2425" s="14" t="n">
        <v>150</v>
      </c>
      <c r="D2425" s="14">
        <f>IF(A2425&gt;LastWeek-364,1,0)</f>
        <v/>
      </c>
      <c r="E2425" s="14">
        <f>C2425^2*D2425</f>
        <v/>
      </c>
    </row>
    <row r="2426">
      <c r="A2426" s="26" t="n">
        <v>45516</v>
      </c>
      <c r="B2426" s="14" t="inlineStr">
        <is>
          <t>NB-0024</t>
        </is>
      </c>
      <c r="C2426" s="14" t="n">
        <v>227</v>
      </c>
      <c r="D2426" s="14">
        <f>IF(A2426&gt;LastWeek-364,1,0)</f>
        <v/>
      </c>
      <c r="E2426" s="14">
        <f>C2426^2*D2426</f>
        <v/>
      </c>
    </row>
    <row r="2427">
      <c r="A2427" s="26" t="n">
        <v>45523</v>
      </c>
      <c r="B2427" s="14" t="inlineStr">
        <is>
          <t>NB-0024</t>
        </is>
      </c>
      <c r="C2427" s="14" t="n">
        <v>72</v>
      </c>
      <c r="D2427" s="14">
        <f>IF(A2427&gt;LastWeek-364,1,0)</f>
        <v/>
      </c>
      <c r="E2427" s="14">
        <f>C2427^2*D2427</f>
        <v/>
      </c>
    </row>
    <row r="2428">
      <c r="A2428" s="26" t="n">
        <v>45530</v>
      </c>
      <c r="B2428" s="14" t="inlineStr">
        <is>
          <t>NB-0024</t>
        </is>
      </c>
      <c r="C2428" s="14" t="n">
        <v>106</v>
      </c>
      <c r="D2428" s="14">
        <f>IF(A2428&gt;LastWeek-364,1,0)</f>
        <v/>
      </c>
      <c r="E2428" s="14">
        <f>C2428^2*D2428</f>
        <v/>
      </c>
    </row>
    <row r="2429">
      <c r="A2429" s="26" t="n">
        <v>45537</v>
      </c>
      <c r="B2429" s="14" t="inlineStr">
        <is>
          <t>NB-0024</t>
        </is>
      </c>
      <c r="C2429" s="14" t="n">
        <v>121</v>
      </c>
      <c r="D2429" s="14">
        <f>IF(A2429&gt;LastWeek-364,1,0)</f>
        <v/>
      </c>
      <c r="E2429" s="14">
        <f>C2429^2*D2429</f>
        <v/>
      </c>
    </row>
    <row r="2430">
      <c r="A2430" s="26" t="n">
        <v>45544</v>
      </c>
      <c r="B2430" s="14" t="inlineStr">
        <is>
          <t>NB-0024</t>
        </is>
      </c>
      <c r="C2430" s="14" t="n">
        <v>175</v>
      </c>
      <c r="D2430" s="14">
        <f>IF(A2430&gt;LastWeek-364,1,0)</f>
        <v/>
      </c>
      <c r="E2430" s="14">
        <f>C2430^2*D2430</f>
        <v/>
      </c>
    </row>
    <row r="2431">
      <c r="A2431" s="26" t="n">
        <v>45551</v>
      </c>
      <c r="B2431" s="14" t="inlineStr">
        <is>
          <t>NB-0024</t>
        </is>
      </c>
      <c r="C2431" s="14" t="n">
        <v>163</v>
      </c>
      <c r="D2431" s="14">
        <f>IF(A2431&gt;LastWeek-364,1,0)</f>
        <v/>
      </c>
      <c r="E2431" s="14">
        <f>C2431^2*D2431</f>
        <v/>
      </c>
    </row>
    <row r="2432">
      <c r="A2432" s="26" t="n">
        <v>45558</v>
      </c>
      <c r="B2432" s="14" t="inlineStr">
        <is>
          <t>NB-0024</t>
        </is>
      </c>
      <c r="C2432" s="14" t="n">
        <v>266</v>
      </c>
      <c r="D2432" s="14">
        <f>IF(A2432&gt;LastWeek-364,1,0)</f>
        <v/>
      </c>
      <c r="E2432" s="14">
        <f>C2432^2*D2432</f>
        <v/>
      </c>
    </row>
    <row r="2433">
      <c r="A2433" s="26" t="n">
        <v>45565</v>
      </c>
      <c r="B2433" s="14" t="inlineStr">
        <is>
          <t>NB-0024</t>
        </is>
      </c>
      <c r="C2433" s="14" t="n">
        <v>248</v>
      </c>
      <c r="D2433" s="14">
        <f>IF(A2433&gt;LastWeek-364,1,0)</f>
        <v/>
      </c>
      <c r="E2433" s="14">
        <f>C2433^2*D2433</f>
        <v/>
      </c>
    </row>
    <row r="2434">
      <c r="A2434" s="26" t="n">
        <v>45572</v>
      </c>
      <c r="B2434" s="14" t="inlineStr">
        <is>
          <t>NB-0024</t>
        </is>
      </c>
      <c r="C2434" s="14" t="n">
        <v>227</v>
      </c>
      <c r="D2434" s="14">
        <f>IF(A2434&gt;LastWeek-364,1,0)</f>
        <v/>
      </c>
      <c r="E2434" s="14">
        <f>C2434^2*D2434</f>
        <v/>
      </c>
    </row>
    <row r="2435">
      <c r="A2435" s="26" t="n">
        <v>45579</v>
      </c>
      <c r="B2435" s="14" t="inlineStr">
        <is>
          <t>NB-0024</t>
        </is>
      </c>
      <c r="C2435" s="14" t="n">
        <v>212</v>
      </c>
      <c r="D2435" s="14">
        <f>IF(A2435&gt;LastWeek-364,1,0)</f>
        <v/>
      </c>
      <c r="E2435" s="14">
        <f>C2435^2*D2435</f>
        <v/>
      </c>
    </row>
    <row r="2436">
      <c r="A2436" s="26" t="n">
        <v>45586</v>
      </c>
      <c r="B2436" s="14" t="inlineStr">
        <is>
          <t>NB-0024</t>
        </is>
      </c>
      <c r="C2436" s="14" t="n">
        <v>232</v>
      </c>
      <c r="D2436" s="14">
        <f>IF(A2436&gt;LastWeek-364,1,0)</f>
        <v/>
      </c>
      <c r="E2436" s="14">
        <f>C2436^2*D2436</f>
        <v/>
      </c>
    </row>
    <row r="2437">
      <c r="A2437" s="26" t="n">
        <v>45593</v>
      </c>
      <c r="B2437" s="14" t="inlineStr">
        <is>
          <t>NB-0024</t>
        </is>
      </c>
      <c r="C2437" s="14" t="n">
        <v>158</v>
      </c>
      <c r="D2437" s="14">
        <f>IF(A2437&gt;LastWeek-364,1,0)</f>
        <v/>
      </c>
      <c r="E2437" s="14">
        <f>C2437^2*D2437</f>
        <v/>
      </c>
    </row>
    <row r="2438">
      <c r="A2438" s="26" t="n">
        <v>45600</v>
      </c>
      <c r="B2438" s="14" t="inlineStr">
        <is>
          <t>NB-0024</t>
        </is>
      </c>
      <c r="C2438" s="14" t="n">
        <v>272</v>
      </c>
      <c r="D2438" s="14">
        <f>IF(A2438&gt;LastWeek-364,1,0)</f>
        <v/>
      </c>
      <c r="E2438" s="14">
        <f>C2438^2*D2438</f>
        <v/>
      </c>
    </row>
    <row r="2439">
      <c r="A2439" s="26" t="n">
        <v>45607</v>
      </c>
      <c r="B2439" s="14" t="inlineStr">
        <is>
          <t>NB-0024</t>
        </is>
      </c>
      <c r="C2439" s="14" t="n">
        <v>148</v>
      </c>
      <c r="D2439" s="14">
        <f>IF(A2439&gt;LastWeek-364,1,0)</f>
        <v/>
      </c>
      <c r="E2439" s="14">
        <f>C2439^2*D2439</f>
        <v/>
      </c>
    </row>
    <row r="2440">
      <c r="A2440" s="26" t="n">
        <v>45614</v>
      </c>
      <c r="B2440" s="14" t="inlineStr">
        <is>
          <t>NB-0024</t>
        </is>
      </c>
      <c r="C2440" s="14" t="n">
        <v>281</v>
      </c>
      <c r="D2440" s="14">
        <f>IF(A2440&gt;LastWeek-364,1,0)</f>
        <v/>
      </c>
      <c r="E2440" s="14">
        <f>C2440^2*D2440</f>
        <v/>
      </c>
    </row>
    <row r="2441">
      <c r="A2441" s="26" t="n">
        <v>45621</v>
      </c>
      <c r="B2441" s="14" t="inlineStr">
        <is>
          <t>NB-0024</t>
        </is>
      </c>
      <c r="C2441" s="14" t="n">
        <v>309</v>
      </c>
      <c r="D2441" s="14">
        <f>IF(A2441&gt;LastWeek-364,1,0)</f>
        <v/>
      </c>
      <c r="E2441" s="14">
        <f>C2441^2*D2441</f>
        <v/>
      </c>
    </row>
    <row r="2442">
      <c r="A2442" s="26" t="n">
        <v>45628</v>
      </c>
      <c r="B2442" s="14" t="inlineStr">
        <is>
          <t>NB-0024</t>
        </is>
      </c>
      <c r="C2442" s="14" t="n">
        <v>246</v>
      </c>
      <c r="D2442" s="14">
        <f>IF(A2442&gt;LastWeek-364,1,0)</f>
        <v/>
      </c>
      <c r="E2442" s="14">
        <f>C2442^2*D2442</f>
        <v/>
      </c>
    </row>
    <row r="2443">
      <c r="A2443" s="26" t="n">
        <v>45635</v>
      </c>
      <c r="B2443" s="14" t="inlineStr">
        <is>
          <t>NB-0024</t>
        </is>
      </c>
      <c r="C2443" s="14" t="n">
        <v>222</v>
      </c>
      <c r="D2443" s="14">
        <f>IF(A2443&gt;LastWeek-364,1,0)</f>
        <v/>
      </c>
      <c r="E2443" s="14">
        <f>C2443^2*D2443</f>
        <v/>
      </c>
    </row>
    <row r="2444">
      <c r="A2444" s="26" t="n">
        <v>45642</v>
      </c>
      <c r="B2444" s="14" t="inlineStr">
        <is>
          <t>NB-0024</t>
        </is>
      </c>
      <c r="C2444" s="14" t="n">
        <v>264</v>
      </c>
      <c r="D2444" s="14">
        <f>IF(A2444&gt;LastWeek-364,1,0)</f>
        <v/>
      </c>
      <c r="E2444" s="14">
        <f>C2444^2*D2444</f>
        <v/>
      </c>
    </row>
    <row r="2445">
      <c r="A2445" s="26" t="n">
        <v>45649</v>
      </c>
      <c r="B2445" s="14" t="inlineStr">
        <is>
          <t>NB-0024</t>
        </is>
      </c>
      <c r="C2445" s="14" t="n">
        <v>35</v>
      </c>
      <c r="D2445" s="14">
        <f>IF(A2445&gt;LastWeek-364,1,0)</f>
        <v/>
      </c>
      <c r="E2445" s="14">
        <f>C2445^2*D2445</f>
        <v/>
      </c>
    </row>
    <row r="2446">
      <c r="A2446" s="26" t="n">
        <v>45656</v>
      </c>
      <c r="B2446" s="14" t="inlineStr">
        <is>
          <t>NB-0024</t>
        </is>
      </c>
      <c r="C2446" s="14" t="n">
        <v>260</v>
      </c>
      <c r="D2446" s="14">
        <f>IF(A2446&gt;LastWeek-364,1,0)</f>
        <v/>
      </c>
      <c r="E2446" s="14">
        <f>C2446^2*D2446</f>
        <v/>
      </c>
    </row>
    <row r="2447">
      <c r="A2447" s="26" t="n">
        <v>45663</v>
      </c>
      <c r="B2447" s="14" t="inlineStr">
        <is>
          <t>NB-0024</t>
        </is>
      </c>
      <c r="C2447" s="14" t="n">
        <v>231</v>
      </c>
      <c r="D2447" s="14">
        <f>IF(A2447&gt;LastWeek-364,1,0)</f>
        <v/>
      </c>
      <c r="E2447" s="14">
        <f>C2447^2*D2447</f>
        <v/>
      </c>
    </row>
    <row r="2448">
      <c r="A2448" s="26" t="n">
        <v>45670</v>
      </c>
      <c r="B2448" s="14" t="inlineStr">
        <is>
          <t>NB-0024</t>
        </is>
      </c>
      <c r="C2448" s="14" t="n">
        <v>235</v>
      </c>
      <c r="D2448" s="14">
        <f>IF(A2448&gt;LastWeek-364,1,0)</f>
        <v/>
      </c>
      <c r="E2448" s="14">
        <f>C2448^2*D2448</f>
        <v/>
      </c>
    </row>
    <row r="2449">
      <c r="A2449" s="26" t="n">
        <v>45677</v>
      </c>
      <c r="B2449" s="14" t="inlineStr">
        <is>
          <t>NB-0024</t>
        </is>
      </c>
      <c r="C2449" s="14" t="n">
        <v>287</v>
      </c>
      <c r="D2449" s="14">
        <f>IF(A2449&gt;LastWeek-364,1,0)</f>
        <v/>
      </c>
      <c r="E2449" s="14">
        <f>C2449^2*D2449</f>
        <v/>
      </c>
    </row>
    <row r="2450">
      <c r="A2450" s="26" t="n">
        <v>45684</v>
      </c>
      <c r="B2450" s="14" t="inlineStr">
        <is>
          <t>NB-0024</t>
        </is>
      </c>
      <c r="C2450" s="14" t="n">
        <v>230</v>
      </c>
      <c r="D2450" s="14">
        <f>IF(A2450&gt;LastWeek-364,1,0)</f>
        <v/>
      </c>
      <c r="E2450" s="14">
        <f>C2450^2*D2450</f>
        <v/>
      </c>
    </row>
    <row r="2451">
      <c r="A2451" s="26" t="n">
        <v>45691</v>
      </c>
      <c r="B2451" s="14" t="inlineStr">
        <is>
          <t>NB-0024</t>
        </is>
      </c>
      <c r="C2451" s="14" t="n">
        <v>154</v>
      </c>
      <c r="D2451" s="14">
        <f>IF(A2451&gt;LastWeek-364,1,0)</f>
        <v/>
      </c>
      <c r="E2451" s="14">
        <f>C2451^2*D2451</f>
        <v/>
      </c>
    </row>
    <row r="2452">
      <c r="A2452" s="26" t="n">
        <v>45698</v>
      </c>
      <c r="B2452" s="14" t="inlineStr">
        <is>
          <t>NB-0024</t>
        </is>
      </c>
      <c r="C2452" s="14" t="n">
        <v>221</v>
      </c>
      <c r="D2452" s="14">
        <f>IF(A2452&gt;LastWeek-364,1,0)</f>
        <v/>
      </c>
      <c r="E2452" s="14">
        <f>C2452^2*D2452</f>
        <v/>
      </c>
    </row>
    <row r="2453">
      <c r="A2453" s="26" t="n">
        <v>45705</v>
      </c>
      <c r="B2453" s="14" t="inlineStr">
        <is>
          <t>NB-0024</t>
        </is>
      </c>
      <c r="C2453" s="14" t="n">
        <v>232</v>
      </c>
      <c r="D2453" s="14">
        <f>IF(A2453&gt;LastWeek-364,1,0)</f>
        <v/>
      </c>
      <c r="E2453" s="14">
        <f>C2453^2*D2453</f>
        <v/>
      </c>
    </row>
    <row r="2454">
      <c r="A2454" s="26" t="n">
        <v>45712</v>
      </c>
      <c r="B2454" s="14" t="inlineStr">
        <is>
          <t>NB-0024</t>
        </is>
      </c>
      <c r="C2454" s="14" t="n">
        <v>232</v>
      </c>
      <c r="D2454" s="14">
        <f>IF(A2454&gt;LastWeek-364,1,0)</f>
        <v/>
      </c>
      <c r="E2454" s="14">
        <f>C2454^2*D2454</f>
        <v/>
      </c>
    </row>
    <row r="2455">
      <c r="A2455" s="26" t="n">
        <v>45719</v>
      </c>
      <c r="B2455" s="14" t="inlineStr">
        <is>
          <t>NB-0024</t>
        </is>
      </c>
      <c r="C2455" s="14" t="n">
        <v>231</v>
      </c>
      <c r="D2455" s="14">
        <f>IF(A2455&gt;LastWeek-364,1,0)</f>
        <v/>
      </c>
      <c r="E2455" s="14">
        <f>C2455^2*D2455</f>
        <v/>
      </c>
    </row>
    <row r="2456">
      <c r="A2456" s="26" t="n">
        <v>45726</v>
      </c>
      <c r="B2456" s="14" t="inlineStr">
        <is>
          <t>NB-0024</t>
        </is>
      </c>
      <c r="C2456" s="14" t="n">
        <v>282</v>
      </c>
      <c r="D2456" s="14">
        <f>IF(A2456&gt;LastWeek-364,1,0)</f>
        <v/>
      </c>
      <c r="E2456" s="14">
        <f>C2456^2*D2456</f>
        <v/>
      </c>
    </row>
    <row r="2457">
      <c r="A2457" s="26" t="n">
        <v>45733</v>
      </c>
      <c r="B2457" s="14" t="inlineStr">
        <is>
          <t>NB-0024</t>
        </is>
      </c>
      <c r="C2457" s="14" t="n">
        <v>143</v>
      </c>
      <c r="D2457" s="14">
        <f>IF(A2457&gt;LastWeek-364,1,0)</f>
        <v/>
      </c>
      <c r="E2457" s="14">
        <f>C2457^2*D2457</f>
        <v/>
      </c>
    </row>
    <row r="2458">
      <c r="A2458" s="26" t="n">
        <v>45740</v>
      </c>
      <c r="B2458" s="14" t="inlineStr">
        <is>
          <t>NB-0024</t>
        </is>
      </c>
      <c r="C2458" s="14" t="n">
        <v>217</v>
      </c>
      <c r="D2458" s="14">
        <f>IF(A2458&gt;LastWeek-364,1,0)</f>
        <v/>
      </c>
      <c r="E2458" s="14">
        <f>C2458^2*D2458</f>
        <v/>
      </c>
    </row>
    <row r="2459">
      <c r="A2459" s="26" t="n">
        <v>45747</v>
      </c>
      <c r="B2459" s="14" t="inlineStr">
        <is>
          <t>NB-0024</t>
        </is>
      </c>
      <c r="C2459" s="14" t="n">
        <v>278</v>
      </c>
      <c r="D2459" s="14">
        <f>IF(A2459&gt;LastWeek-364,1,0)</f>
        <v/>
      </c>
      <c r="E2459" s="14">
        <f>C2459^2*D2459</f>
        <v/>
      </c>
    </row>
    <row r="2460">
      <c r="A2460" s="26" t="n">
        <v>45754</v>
      </c>
      <c r="B2460" s="14" t="inlineStr">
        <is>
          <t>NB-0024</t>
        </is>
      </c>
      <c r="C2460" s="14" t="n">
        <v>95</v>
      </c>
      <c r="D2460" s="14">
        <f>IF(A2460&gt;LastWeek-364,1,0)</f>
        <v/>
      </c>
      <c r="E2460" s="14">
        <f>C2460^2*D2460</f>
        <v/>
      </c>
    </row>
    <row r="2461">
      <c r="A2461" s="26" t="n">
        <v>45761</v>
      </c>
      <c r="B2461" s="14" t="inlineStr">
        <is>
          <t>NB-0024</t>
        </is>
      </c>
      <c r="C2461" s="14" t="n">
        <v>201</v>
      </c>
      <c r="D2461" s="14">
        <f>IF(A2461&gt;LastWeek-364,1,0)</f>
        <v/>
      </c>
      <c r="E2461" s="14">
        <f>C2461^2*D2461</f>
        <v/>
      </c>
    </row>
    <row r="2462">
      <c r="A2462" s="26" t="n">
        <v>45768</v>
      </c>
      <c r="B2462" s="14" t="inlineStr">
        <is>
          <t>NB-0024</t>
        </is>
      </c>
      <c r="C2462" s="14" t="n">
        <v>154</v>
      </c>
      <c r="D2462" s="14">
        <f>IF(A2462&gt;LastWeek-364,1,0)</f>
        <v/>
      </c>
      <c r="E2462" s="14">
        <f>C2462^2*D2462</f>
        <v/>
      </c>
    </row>
    <row r="2463">
      <c r="A2463" s="26" t="n">
        <v>45775</v>
      </c>
      <c r="B2463" s="14" t="inlineStr">
        <is>
          <t>NB-0024</t>
        </is>
      </c>
      <c r="C2463" s="14" t="n">
        <v>161</v>
      </c>
      <c r="D2463" s="14">
        <f>IF(A2463&gt;LastWeek-364,1,0)</f>
        <v/>
      </c>
      <c r="E2463" s="14">
        <f>C2463^2*D2463</f>
        <v/>
      </c>
    </row>
    <row r="2464">
      <c r="A2464" s="26" t="n">
        <v>45782</v>
      </c>
      <c r="B2464" s="14" t="inlineStr">
        <is>
          <t>NB-0024</t>
        </is>
      </c>
      <c r="C2464" s="14" t="n">
        <v>129</v>
      </c>
      <c r="D2464" s="14">
        <f>IF(A2464&gt;LastWeek-364,1,0)</f>
        <v/>
      </c>
      <c r="E2464" s="14">
        <f>C2464^2*D2464</f>
        <v/>
      </c>
    </row>
    <row r="2465">
      <c r="A2465" s="26" t="n">
        <v>45789</v>
      </c>
      <c r="B2465" s="14" t="inlineStr">
        <is>
          <t>NB-0024</t>
        </is>
      </c>
      <c r="C2465" s="14" t="n">
        <v>164</v>
      </c>
      <c r="D2465" s="14">
        <f>IF(A2465&gt;LastWeek-364,1,0)</f>
        <v/>
      </c>
      <c r="E2465" s="14">
        <f>C2465^2*D2465</f>
        <v/>
      </c>
    </row>
    <row r="2466">
      <c r="A2466" s="26" t="n">
        <v>45796</v>
      </c>
      <c r="B2466" s="14" t="inlineStr">
        <is>
          <t>NB-0024</t>
        </is>
      </c>
      <c r="C2466" s="14" t="n">
        <v>261</v>
      </c>
      <c r="D2466" s="14">
        <f>IF(A2466&gt;LastWeek-364,1,0)</f>
        <v/>
      </c>
      <c r="E2466" s="14">
        <f>C2466^2*D2466</f>
        <v/>
      </c>
    </row>
    <row r="2467">
      <c r="A2467" s="26" t="n">
        <v>45803</v>
      </c>
      <c r="B2467" s="14" t="inlineStr">
        <is>
          <t>NB-0024</t>
        </is>
      </c>
      <c r="C2467" s="14" t="n">
        <v>103</v>
      </c>
      <c r="D2467" s="14">
        <f>IF(A2467&gt;LastWeek-364,1,0)</f>
        <v/>
      </c>
      <c r="E2467" s="14">
        <f>C2467^2*D2467</f>
        <v/>
      </c>
    </row>
    <row r="2468">
      <c r="A2468" s="26" t="n">
        <v>45810</v>
      </c>
      <c r="B2468" s="14" t="inlineStr">
        <is>
          <t>NB-0024</t>
        </is>
      </c>
      <c r="C2468" s="14" t="n">
        <v>105</v>
      </c>
      <c r="D2468" s="14">
        <f>IF(A2468&gt;LastWeek-364,1,0)</f>
        <v/>
      </c>
      <c r="E2468" s="14">
        <f>C2468^2*D2468</f>
        <v/>
      </c>
    </row>
    <row r="2469">
      <c r="A2469" s="26" t="n">
        <v>45817</v>
      </c>
      <c r="B2469" s="14" t="inlineStr">
        <is>
          <t>NB-0024</t>
        </is>
      </c>
      <c r="C2469" s="14" t="n">
        <v>97</v>
      </c>
      <c r="D2469" s="14">
        <f>IF(A2469&gt;LastWeek-364,1,0)</f>
        <v/>
      </c>
      <c r="E2469" s="14">
        <f>C2469^2*D2469</f>
        <v/>
      </c>
    </row>
    <row r="2470">
      <c r="A2470" s="26" t="n">
        <v>45824</v>
      </c>
      <c r="B2470" s="14" t="inlineStr">
        <is>
          <t>NB-0024</t>
        </is>
      </c>
      <c r="C2470" s="14" t="n">
        <v>238</v>
      </c>
      <c r="D2470" s="14">
        <f>IF(A2470&gt;LastWeek-364,1,0)</f>
        <v/>
      </c>
      <c r="E2470" s="14">
        <f>C2470^2*D2470</f>
        <v/>
      </c>
    </row>
    <row r="2471">
      <c r="A2471" s="26" t="n">
        <v>45831</v>
      </c>
      <c r="B2471" s="14" t="inlineStr">
        <is>
          <t>NB-0024</t>
        </is>
      </c>
      <c r="C2471" s="14" t="n">
        <v>134</v>
      </c>
      <c r="D2471" s="14">
        <f>IF(A2471&gt;LastWeek-364,1,0)</f>
        <v/>
      </c>
      <c r="E2471" s="14">
        <f>C2471^2*D2471</f>
        <v/>
      </c>
    </row>
    <row r="2472">
      <c r="A2472" s="26" t="n">
        <v>45838</v>
      </c>
      <c r="B2472" s="14" t="inlineStr">
        <is>
          <t>NB-0024</t>
        </is>
      </c>
      <c r="C2472" s="14" t="n">
        <v>153</v>
      </c>
      <c r="D2472" s="14">
        <f>IF(A2472&gt;LastWeek-364,1,0)</f>
        <v/>
      </c>
      <c r="E2472" s="14">
        <f>C2472^2*D2472</f>
        <v/>
      </c>
    </row>
    <row r="2473">
      <c r="A2473" s="26" t="n">
        <v>45845</v>
      </c>
      <c r="B2473" s="14" t="inlineStr">
        <is>
          <t>NB-0024</t>
        </is>
      </c>
      <c r="C2473" s="14" t="n">
        <v>136</v>
      </c>
      <c r="D2473" s="14">
        <f>IF(A2473&gt;LastWeek-364,1,0)</f>
        <v/>
      </c>
      <c r="E2473" s="14">
        <f>C2473^2*D2473</f>
        <v/>
      </c>
    </row>
    <row r="2474">
      <c r="A2474" s="26" t="n">
        <v>45852</v>
      </c>
      <c r="B2474" s="14" t="inlineStr">
        <is>
          <t>NB-0024</t>
        </is>
      </c>
      <c r="C2474" s="14" t="n">
        <v>111</v>
      </c>
      <c r="D2474" s="14">
        <f>IF(A2474&gt;LastWeek-364,1,0)</f>
        <v/>
      </c>
      <c r="E2474" s="14">
        <f>C2474^2*D2474</f>
        <v/>
      </c>
    </row>
    <row r="2475">
      <c r="A2475" s="26" t="n">
        <v>45859</v>
      </c>
      <c r="B2475" s="14" t="inlineStr">
        <is>
          <t>NB-0024</t>
        </is>
      </c>
      <c r="C2475" s="14" t="n">
        <v>144</v>
      </c>
      <c r="D2475" s="14">
        <f>IF(A2475&gt;LastWeek-364,1,0)</f>
        <v/>
      </c>
      <c r="E2475" s="14">
        <f>C2475^2*D2475</f>
        <v/>
      </c>
    </row>
    <row r="2476">
      <c r="A2476" s="26" t="n">
        <v>45866</v>
      </c>
      <c r="B2476" s="14" t="inlineStr">
        <is>
          <t>NB-0024</t>
        </is>
      </c>
      <c r="C2476" s="14" t="n">
        <v>271</v>
      </c>
      <c r="D2476" s="14">
        <f>IF(A2476&gt;LastWeek-364,1,0)</f>
        <v/>
      </c>
      <c r="E2476" s="14">
        <f>C2476^2*D2476</f>
        <v/>
      </c>
    </row>
    <row r="2477">
      <c r="A2477" s="26" t="n">
        <v>45873</v>
      </c>
      <c r="B2477" s="14" t="inlineStr">
        <is>
          <t>NB-0024</t>
        </is>
      </c>
      <c r="C2477" s="14" t="n">
        <v>224</v>
      </c>
      <c r="D2477" s="14">
        <f>IF(A2477&gt;LastWeek-364,1,0)</f>
        <v/>
      </c>
      <c r="E2477" s="14">
        <f>C2477^2*D2477</f>
        <v/>
      </c>
    </row>
    <row r="2478">
      <c r="A2478" s="26" t="n">
        <v>45880</v>
      </c>
      <c r="B2478" s="14" t="inlineStr">
        <is>
          <t>NB-0024</t>
        </is>
      </c>
      <c r="C2478" s="14" t="n">
        <v>120</v>
      </c>
      <c r="D2478" s="14">
        <f>IF(A2478&gt;LastWeek-364,1,0)</f>
        <v/>
      </c>
      <c r="E2478" s="14">
        <f>C2478^2*D2478</f>
        <v/>
      </c>
    </row>
    <row r="2479">
      <c r="A2479" s="26" t="n">
        <v>45887</v>
      </c>
      <c r="B2479" s="14" t="inlineStr">
        <is>
          <t>NB-0024</t>
        </is>
      </c>
      <c r="C2479" s="14" t="n">
        <v>196</v>
      </c>
      <c r="D2479" s="14">
        <f>IF(A2479&gt;LastWeek-364,1,0)</f>
        <v/>
      </c>
      <c r="E2479" s="14">
        <f>C2479^2*D2479</f>
        <v/>
      </c>
    </row>
    <row r="2480">
      <c r="A2480" s="26" t="n">
        <v>45894</v>
      </c>
      <c r="B2480" s="14" t="inlineStr">
        <is>
          <t>NB-0024</t>
        </is>
      </c>
      <c r="C2480" s="14" t="n">
        <v>126</v>
      </c>
      <c r="D2480" s="14">
        <f>IF(A2480&gt;LastWeek-364,1,0)</f>
        <v/>
      </c>
      <c r="E2480" s="14">
        <f>C2480^2*D2480</f>
        <v/>
      </c>
    </row>
    <row r="2481">
      <c r="A2481" s="26" t="n">
        <v>45901</v>
      </c>
      <c r="B2481" s="14" t="inlineStr">
        <is>
          <t>NB-0024</t>
        </is>
      </c>
      <c r="C2481" s="14" t="n">
        <v>81</v>
      </c>
      <c r="D2481" s="14">
        <f>IF(A2481&gt;LastWeek-364,1,0)</f>
        <v/>
      </c>
      <c r="E2481" s="14">
        <f>C2481^2*D2481</f>
        <v/>
      </c>
    </row>
    <row r="2482">
      <c r="A2482" s="26" t="n">
        <v>45908</v>
      </c>
      <c r="B2482" s="14" t="inlineStr">
        <is>
          <t>NB-0024</t>
        </is>
      </c>
      <c r="C2482" s="14" t="n">
        <v>229</v>
      </c>
      <c r="D2482" s="14">
        <f>IF(A2482&gt;LastWeek-364,1,0)</f>
        <v/>
      </c>
      <c r="E2482" s="14">
        <f>C2482^2*D2482</f>
        <v/>
      </c>
    </row>
    <row r="2483">
      <c r="A2483" s="26" t="n">
        <v>45915</v>
      </c>
      <c r="B2483" s="14" t="inlineStr">
        <is>
          <t>NB-0024</t>
        </is>
      </c>
      <c r="C2483" s="14" t="n">
        <v>242</v>
      </c>
      <c r="D2483" s="14">
        <f>IF(A2483&gt;LastWeek-364,1,0)</f>
        <v/>
      </c>
      <c r="E2483" s="14">
        <f>C2483^2*D2483</f>
        <v/>
      </c>
    </row>
    <row r="2484">
      <c r="A2484" s="26" t="n">
        <v>45922</v>
      </c>
      <c r="B2484" s="14" t="inlineStr">
        <is>
          <t>NB-0024</t>
        </is>
      </c>
      <c r="C2484" s="14" t="n">
        <v>242</v>
      </c>
      <c r="D2484" s="14">
        <f>IF(A2484&gt;LastWeek-364,1,0)</f>
        <v/>
      </c>
      <c r="E2484" s="14">
        <f>C2484^2*D2484</f>
        <v/>
      </c>
    </row>
    <row r="2485">
      <c r="A2485" s="26" t="n">
        <v>45929</v>
      </c>
      <c r="B2485" s="14" t="inlineStr">
        <is>
          <t>NB-0024</t>
        </is>
      </c>
      <c r="C2485" s="14" t="n">
        <v>163</v>
      </c>
      <c r="D2485" s="14">
        <f>IF(A2485&gt;LastWeek-364,1,0)</f>
        <v/>
      </c>
      <c r="E2485" s="14">
        <f>C2485^2*D2485</f>
        <v/>
      </c>
    </row>
    <row r="2486">
      <c r="A2486" s="26" t="n">
        <v>45936</v>
      </c>
      <c r="B2486" s="14" t="inlineStr">
        <is>
          <t>NB-0024</t>
        </is>
      </c>
      <c r="C2486" s="14" t="n">
        <v>185</v>
      </c>
      <c r="D2486" s="14">
        <f>IF(A2486&gt;LastWeek-364,1,0)</f>
        <v/>
      </c>
      <c r="E2486" s="14">
        <f>C2486^2*D2486</f>
        <v/>
      </c>
    </row>
    <row r="2487">
      <c r="A2487" s="26" t="n">
        <v>45943</v>
      </c>
      <c r="B2487" s="14" t="inlineStr">
        <is>
          <t>NB-0024</t>
        </is>
      </c>
      <c r="C2487" s="14" t="n">
        <v>244</v>
      </c>
      <c r="D2487" s="14">
        <f>IF(A2487&gt;LastWeek-364,1,0)</f>
        <v/>
      </c>
      <c r="E2487" s="14">
        <f>C2487^2*D2487</f>
        <v/>
      </c>
    </row>
    <row r="2488">
      <c r="A2488" s="26" t="n">
        <v>45950</v>
      </c>
      <c r="B2488" s="14" t="inlineStr">
        <is>
          <t>NB-0024</t>
        </is>
      </c>
      <c r="C2488" s="14" t="n">
        <v>228</v>
      </c>
      <c r="D2488" s="14">
        <f>IF(A2488&gt;LastWeek-364,1,0)</f>
        <v/>
      </c>
      <c r="E2488" s="14">
        <f>C2488^2*D2488</f>
        <v/>
      </c>
    </row>
    <row r="2489">
      <c r="A2489" s="26" t="n">
        <v>45957</v>
      </c>
      <c r="B2489" s="14" t="inlineStr">
        <is>
          <t>NB-0024</t>
        </is>
      </c>
      <c r="C2489" s="14" t="n">
        <v>184</v>
      </c>
      <c r="D2489" s="14">
        <f>IF(A2489&gt;LastWeek-364,1,0)</f>
        <v/>
      </c>
      <c r="E2489" s="14">
        <f>C2489^2*D2489</f>
        <v/>
      </c>
    </row>
    <row r="2490">
      <c r="A2490" s="26" t="n">
        <v>45964</v>
      </c>
      <c r="B2490" s="14" t="inlineStr">
        <is>
          <t>NB-0024</t>
        </is>
      </c>
      <c r="C2490" s="14" t="n">
        <v>110</v>
      </c>
      <c r="D2490" s="14">
        <f>IF(A2490&gt;LastWeek-364,1,0)</f>
        <v/>
      </c>
      <c r="E2490" s="14">
        <f>C2490^2*D2490</f>
        <v/>
      </c>
    </row>
    <row r="2491">
      <c r="A2491" s="26" t="n">
        <v>45971</v>
      </c>
      <c r="B2491" s="14" t="inlineStr">
        <is>
          <t>NB-0024</t>
        </is>
      </c>
      <c r="C2491" s="14" t="n">
        <v>225</v>
      </c>
      <c r="D2491" s="14">
        <f>IF(A2491&gt;LastWeek-364,1,0)</f>
        <v/>
      </c>
      <c r="E2491" s="14">
        <f>C2491^2*D2491</f>
        <v/>
      </c>
    </row>
    <row r="2492">
      <c r="A2492" s="26" t="n">
        <v>45978</v>
      </c>
      <c r="B2492" s="14" t="inlineStr">
        <is>
          <t>NB-0024</t>
        </is>
      </c>
      <c r="C2492" s="14" t="n">
        <v>292</v>
      </c>
      <c r="D2492" s="14">
        <f>IF(A2492&gt;LastWeek-364,1,0)</f>
        <v/>
      </c>
      <c r="E2492" s="14">
        <f>C2492^2*D2492</f>
        <v/>
      </c>
    </row>
    <row r="2493">
      <c r="A2493" s="26" t="n">
        <v>45985</v>
      </c>
      <c r="B2493" s="14" t="inlineStr">
        <is>
          <t>NB-0024</t>
        </is>
      </c>
      <c r="C2493" s="14" t="n">
        <v>145</v>
      </c>
      <c r="D2493" s="14">
        <f>IF(A2493&gt;LastWeek-364,1,0)</f>
        <v/>
      </c>
      <c r="E2493" s="14">
        <f>C2493^2*D2493</f>
        <v/>
      </c>
    </row>
    <row r="2494">
      <c r="A2494" s="26" t="n">
        <v>45992</v>
      </c>
      <c r="B2494" s="14" t="inlineStr">
        <is>
          <t>NB-0024</t>
        </is>
      </c>
      <c r="C2494" s="14" t="n">
        <v>271</v>
      </c>
      <c r="D2494" s="14">
        <f>IF(A2494&gt;LastWeek-364,1,0)</f>
        <v/>
      </c>
      <c r="E2494" s="14">
        <f>C2494^2*D2494</f>
        <v/>
      </c>
    </row>
    <row r="2495">
      <c r="A2495" s="26" t="n">
        <v>45999</v>
      </c>
      <c r="B2495" s="14" t="inlineStr">
        <is>
          <t>NB-0024</t>
        </is>
      </c>
      <c r="C2495" s="14" t="n">
        <v>253</v>
      </c>
      <c r="D2495" s="14">
        <f>IF(A2495&gt;LastWeek-364,1,0)</f>
        <v/>
      </c>
      <c r="E2495" s="14">
        <f>C2495^2*D2495</f>
        <v/>
      </c>
    </row>
    <row r="2496">
      <c r="A2496" s="26" t="n">
        <v>46006</v>
      </c>
      <c r="B2496" s="14" t="inlineStr">
        <is>
          <t>NB-0024</t>
        </is>
      </c>
      <c r="C2496" s="14" t="n">
        <v>284</v>
      </c>
      <c r="D2496" s="14">
        <f>IF(A2496&gt;LastWeek-364,1,0)</f>
        <v/>
      </c>
      <c r="E2496" s="14">
        <f>C2496^2*D2496</f>
        <v/>
      </c>
    </row>
    <row r="2497">
      <c r="A2497" s="26" t="n">
        <v>46013</v>
      </c>
      <c r="B2497" s="14" t="inlineStr">
        <is>
          <t>NB-0024</t>
        </is>
      </c>
      <c r="C2497" s="14" t="n">
        <v>294</v>
      </c>
      <c r="D2497" s="14">
        <f>IF(A2497&gt;LastWeek-364,1,0)</f>
        <v/>
      </c>
      <c r="E2497" s="14">
        <f>C2497^2*D2497</f>
        <v/>
      </c>
    </row>
    <row r="2498">
      <c r="A2498" s="26" t="n">
        <v>45292</v>
      </c>
      <c r="B2498" s="14" t="inlineStr">
        <is>
          <t>NB-0025</t>
        </is>
      </c>
      <c r="C2498" s="14" t="n">
        <v>87</v>
      </c>
      <c r="D2498" s="14">
        <f>IF(A2498&gt;LastWeek-364,1,0)</f>
        <v/>
      </c>
      <c r="E2498" s="14">
        <f>C2498^2*D2498</f>
        <v/>
      </c>
    </row>
    <row r="2499">
      <c r="A2499" s="26" t="n">
        <v>45299</v>
      </c>
      <c r="B2499" s="14" t="inlineStr">
        <is>
          <t>NB-0025</t>
        </is>
      </c>
      <c r="C2499" s="14" t="n">
        <v>79</v>
      </c>
      <c r="D2499" s="14">
        <f>IF(A2499&gt;LastWeek-364,1,0)</f>
        <v/>
      </c>
      <c r="E2499" s="14">
        <f>C2499^2*D2499</f>
        <v/>
      </c>
    </row>
    <row r="2500">
      <c r="A2500" s="26" t="n">
        <v>45306</v>
      </c>
      <c r="B2500" s="14" t="inlineStr">
        <is>
          <t>NB-0025</t>
        </is>
      </c>
      <c r="C2500" s="14" t="n">
        <v>88</v>
      </c>
      <c r="D2500" s="14">
        <f>IF(A2500&gt;LastWeek-364,1,0)</f>
        <v/>
      </c>
      <c r="E2500" s="14">
        <f>C2500^2*D2500</f>
        <v/>
      </c>
    </row>
    <row r="2501">
      <c r="A2501" s="26" t="n">
        <v>45313</v>
      </c>
      <c r="B2501" s="14" t="inlineStr">
        <is>
          <t>NB-0025</t>
        </is>
      </c>
      <c r="C2501" s="14" t="n">
        <v>99</v>
      </c>
      <c r="D2501" s="14">
        <f>IF(A2501&gt;LastWeek-364,1,0)</f>
        <v/>
      </c>
      <c r="E2501" s="14">
        <f>C2501^2*D2501</f>
        <v/>
      </c>
    </row>
    <row r="2502">
      <c r="A2502" s="26" t="n">
        <v>45320</v>
      </c>
      <c r="B2502" s="14" t="inlineStr">
        <is>
          <t>NB-0025</t>
        </is>
      </c>
      <c r="C2502" s="14" t="n">
        <v>86</v>
      </c>
      <c r="D2502" s="14">
        <f>IF(A2502&gt;LastWeek-364,1,0)</f>
        <v/>
      </c>
      <c r="E2502" s="14">
        <f>C2502^2*D2502</f>
        <v/>
      </c>
    </row>
    <row r="2503">
      <c r="A2503" s="26" t="n">
        <v>45327</v>
      </c>
      <c r="B2503" s="14" t="inlineStr">
        <is>
          <t>NB-0025</t>
        </is>
      </c>
      <c r="C2503" s="14" t="n">
        <v>84</v>
      </c>
      <c r="D2503" s="14">
        <f>IF(A2503&gt;LastWeek-364,1,0)</f>
        <v/>
      </c>
      <c r="E2503" s="14">
        <f>C2503^2*D2503</f>
        <v/>
      </c>
    </row>
    <row r="2504">
      <c r="A2504" s="26" t="n">
        <v>45334</v>
      </c>
      <c r="B2504" s="14" t="inlineStr">
        <is>
          <t>NB-0025</t>
        </is>
      </c>
      <c r="C2504" s="14" t="n">
        <v>74</v>
      </c>
      <c r="D2504" s="14">
        <f>IF(A2504&gt;LastWeek-364,1,0)</f>
        <v/>
      </c>
      <c r="E2504" s="14">
        <f>C2504^2*D2504</f>
        <v/>
      </c>
    </row>
    <row r="2505">
      <c r="A2505" s="26" t="n">
        <v>45341</v>
      </c>
      <c r="B2505" s="14" t="inlineStr">
        <is>
          <t>NB-0025</t>
        </is>
      </c>
      <c r="C2505" s="14" t="n">
        <v>100</v>
      </c>
      <c r="D2505" s="14">
        <f>IF(A2505&gt;LastWeek-364,1,0)</f>
        <v/>
      </c>
      <c r="E2505" s="14">
        <f>C2505^2*D2505</f>
        <v/>
      </c>
    </row>
    <row r="2506">
      <c r="A2506" s="26" t="n">
        <v>45348</v>
      </c>
      <c r="B2506" s="14" t="inlineStr">
        <is>
          <t>NB-0025</t>
        </is>
      </c>
      <c r="C2506" s="14" t="n">
        <v>90</v>
      </c>
      <c r="D2506" s="14">
        <f>IF(A2506&gt;LastWeek-364,1,0)</f>
        <v/>
      </c>
      <c r="E2506" s="14">
        <f>C2506^2*D2506</f>
        <v/>
      </c>
    </row>
    <row r="2507">
      <c r="A2507" s="26" t="n">
        <v>45355</v>
      </c>
      <c r="B2507" s="14" t="inlineStr">
        <is>
          <t>NB-0025</t>
        </is>
      </c>
      <c r="C2507" s="14" t="n">
        <v>87</v>
      </c>
      <c r="D2507" s="14">
        <f>IF(A2507&gt;LastWeek-364,1,0)</f>
        <v/>
      </c>
      <c r="E2507" s="14">
        <f>C2507^2*D2507</f>
        <v/>
      </c>
    </row>
    <row r="2508">
      <c r="A2508" s="26" t="n">
        <v>45362</v>
      </c>
      <c r="B2508" s="14" t="inlineStr">
        <is>
          <t>NB-0025</t>
        </is>
      </c>
      <c r="C2508" s="14" t="n">
        <v>86</v>
      </c>
      <c r="D2508" s="14">
        <f>IF(A2508&gt;LastWeek-364,1,0)</f>
        <v/>
      </c>
      <c r="E2508" s="14">
        <f>C2508^2*D2508</f>
        <v/>
      </c>
    </row>
    <row r="2509">
      <c r="A2509" s="26" t="n">
        <v>45369</v>
      </c>
      <c r="B2509" s="14" t="inlineStr">
        <is>
          <t>NB-0025</t>
        </is>
      </c>
      <c r="C2509" s="14" t="n">
        <v>80</v>
      </c>
      <c r="D2509" s="14">
        <f>IF(A2509&gt;LastWeek-364,1,0)</f>
        <v/>
      </c>
      <c r="E2509" s="14">
        <f>C2509^2*D2509</f>
        <v/>
      </c>
    </row>
    <row r="2510">
      <c r="A2510" s="26" t="n">
        <v>45376</v>
      </c>
      <c r="B2510" s="14" t="inlineStr">
        <is>
          <t>NB-0025</t>
        </is>
      </c>
      <c r="C2510" s="14" t="n">
        <v>72</v>
      </c>
      <c r="D2510" s="14">
        <f>IF(A2510&gt;LastWeek-364,1,0)</f>
        <v/>
      </c>
      <c r="E2510" s="14">
        <f>C2510^2*D2510</f>
        <v/>
      </c>
    </row>
    <row r="2511">
      <c r="A2511" s="26" t="n">
        <v>45383</v>
      </c>
      <c r="B2511" s="14" t="inlineStr">
        <is>
          <t>NB-0025</t>
        </is>
      </c>
      <c r="C2511" s="14" t="n">
        <v>70</v>
      </c>
      <c r="D2511" s="14">
        <f>IF(A2511&gt;LastWeek-364,1,0)</f>
        <v/>
      </c>
      <c r="E2511" s="14">
        <f>C2511^2*D2511</f>
        <v/>
      </c>
    </row>
    <row r="2512">
      <c r="A2512" s="26" t="n">
        <v>45390</v>
      </c>
      <c r="B2512" s="14" t="inlineStr">
        <is>
          <t>NB-0025</t>
        </is>
      </c>
      <c r="C2512" s="14" t="n">
        <v>65</v>
      </c>
      <c r="D2512" s="14">
        <f>IF(A2512&gt;LastWeek-364,1,0)</f>
        <v/>
      </c>
      <c r="E2512" s="14">
        <f>C2512^2*D2512</f>
        <v/>
      </c>
    </row>
    <row r="2513">
      <c r="A2513" s="26" t="n">
        <v>45397</v>
      </c>
      <c r="B2513" s="14" t="inlineStr">
        <is>
          <t>NB-0025</t>
        </is>
      </c>
      <c r="C2513" s="14" t="n">
        <v>80</v>
      </c>
      <c r="D2513" s="14">
        <f>IF(A2513&gt;LastWeek-364,1,0)</f>
        <v/>
      </c>
      <c r="E2513" s="14">
        <f>C2513^2*D2513</f>
        <v/>
      </c>
    </row>
    <row r="2514">
      <c r="A2514" s="26" t="n">
        <v>45404</v>
      </c>
      <c r="B2514" s="14" t="inlineStr">
        <is>
          <t>NB-0025</t>
        </is>
      </c>
      <c r="C2514" s="14" t="n">
        <v>65</v>
      </c>
      <c r="D2514" s="14">
        <f>IF(A2514&gt;LastWeek-364,1,0)</f>
        <v/>
      </c>
      <c r="E2514" s="14">
        <f>C2514^2*D2514</f>
        <v/>
      </c>
    </row>
    <row r="2515">
      <c r="A2515" s="26" t="n">
        <v>45411</v>
      </c>
      <c r="B2515" s="14" t="inlineStr">
        <is>
          <t>NB-0025</t>
        </is>
      </c>
      <c r="C2515" s="14" t="n">
        <v>57</v>
      </c>
      <c r="D2515" s="14">
        <f>IF(A2515&gt;LastWeek-364,1,0)</f>
        <v/>
      </c>
      <c r="E2515" s="14">
        <f>C2515^2*D2515</f>
        <v/>
      </c>
    </row>
    <row r="2516">
      <c r="A2516" s="26" t="n">
        <v>45418</v>
      </c>
      <c r="B2516" s="14" t="inlineStr">
        <is>
          <t>NB-0025</t>
        </is>
      </c>
      <c r="C2516" s="14" t="n">
        <v>59</v>
      </c>
      <c r="D2516" s="14">
        <f>IF(A2516&gt;LastWeek-364,1,0)</f>
        <v/>
      </c>
      <c r="E2516" s="14">
        <f>C2516^2*D2516</f>
        <v/>
      </c>
    </row>
    <row r="2517">
      <c r="A2517" s="26" t="n">
        <v>45425</v>
      </c>
      <c r="B2517" s="14" t="inlineStr">
        <is>
          <t>NB-0025</t>
        </is>
      </c>
      <c r="C2517" s="14" t="n">
        <v>49</v>
      </c>
      <c r="D2517" s="14">
        <f>IF(A2517&gt;LastWeek-364,1,0)</f>
        <v/>
      </c>
      <c r="E2517" s="14">
        <f>C2517^2*D2517</f>
        <v/>
      </c>
    </row>
    <row r="2518">
      <c r="A2518" s="26" t="n">
        <v>45432</v>
      </c>
      <c r="B2518" s="14" t="inlineStr">
        <is>
          <t>NB-0025</t>
        </is>
      </c>
      <c r="C2518" s="14" t="n">
        <v>59</v>
      </c>
      <c r="D2518" s="14">
        <f>IF(A2518&gt;LastWeek-364,1,0)</f>
        <v/>
      </c>
      <c r="E2518" s="14">
        <f>C2518^2*D2518</f>
        <v/>
      </c>
    </row>
    <row r="2519">
      <c r="A2519" s="26" t="n">
        <v>45439</v>
      </c>
      <c r="B2519" s="14" t="inlineStr">
        <is>
          <t>NB-0025</t>
        </is>
      </c>
      <c r="C2519" s="14" t="n">
        <v>47</v>
      </c>
      <c r="D2519" s="14">
        <f>IF(A2519&gt;LastWeek-364,1,0)</f>
        <v/>
      </c>
      <c r="E2519" s="14">
        <f>C2519^2*D2519</f>
        <v/>
      </c>
    </row>
    <row r="2520">
      <c r="A2520" s="26" t="n">
        <v>45446</v>
      </c>
      <c r="B2520" s="14" t="inlineStr">
        <is>
          <t>NB-0025</t>
        </is>
      </c>
      <c r="C2520" s="14" t="n">
        <v>50</v>
      </c>
      <c r="D2520" s="14">
        <f>IF(A2520&gt;LastWeek-364,1,0)</f>
        <v/>
      </c>
      <c r="E2520" s="14">
        <f>C2520^2*D2520</f>
        <v/>
      </c>
    </row>
    <row r="2521">
      <c r="A2521" s="26" t="n">
        <v>45453</v>
      </c>
      <c r="B2521" s="14" t="inlineStr">
        <is>
          <t>NB-0025</t>
        </is>
      </c>
      <c r="C2521" s="14" t="n">
        <v>51</v>
      </c>
      <c r="D2521" s="14">
        <f>IF(A2521&gt;LastWeek-364,1,0)</f>
        <v/>
      </c>
      <c r="E2521" s="14">
        <f>C2521^2*D2521</f>
        <v/>
      </c>
    </row>
    <row r="2522">
      <c r="A2522" s="26" t="n">
        <v>45460</v>
      </c>
      <c r="B2522" s="14" t="inlineStr">
        <is>
          <t>NB-0025</t>
        </is>
      </c>
      <c r="C2522" s="14" t="n">
        <v>47</v>
      </c>
      <c r="D2522" s="14">
        <f>IF(A2522&gt;LastWeek-364,1,0)</f>
        <v/>
      </c>
      <c r="E2522" s="14">
        <f>C2522^2*D2522</f>
        <v/>
      </c>
    </row>
    <row r="2523">
      <c r="A2523" s="26" t="n">
        <v>45467</v>
      </c>
      <c r="B2523" s="14" t="inlineStr">
        <is>
          <t>NB-0025</t>
        </is>
      </c>
      <c r="C2523" s="14" t="n">
        <v>45</v>
      </c>
      <c r="D2523" s="14">
        <f>IF(A2523&gt;LastWeek-364,1,0)</f>
        <v/>
      </c>
      <c r="E2523" s="14">
        <f>C2523^2*D2523</f>
        <v/>
      </c>
    </row>
    <row r="2524">
      <c r="A2524" s="26" t="n">
        <v>45474</v>
      </c>
      <c r="B2524" s="14" t="inlineStr">
        <is>
          <t>NB-0025</t>
        </is>
      </c>
      <c r="C2524" s="14" t="n">
        <v>44</v>
      </c>
      <c r="D2524" s="14">
        <f>IF(A2524&gt;LastWeek-364,1,0)</f>
        <v/>
      </c>
      <c r="E2524" s="14">
        <f>C2524^2*D2524</f>
        <v/>
      </c>
    </row>
    <row r="2525">
      <c r="A2525" s="26" t="n">
        <v>45481</v>
      </c>
      <c r="B2525" s="14" t="inlineStr">
        <is>
          <t>NB-0025</t>
        </is>
      </c>
      <c r="C2525" s="14" t="n">
        <v>43</v>
      </c>
      <c r="D2525" s="14">
        <f>IF(A2525&gt;LastWeek-364,1,0)</f>
        <v/>
      </c>
      <c r="E2525" s="14">
        <f>C2525^2*D2525</f>
        <v/>
      </c>
    </row>
    <row r="2526">
      <c r="A2526" s="26" t="n">
        <v>45488</v>
      </c>
      <c r="B2526" s="14" t="inlineStr">
        <is>
          <t>NB-0025</t>
        </is>
      </c>
      <c r="C2526" s="14" t="n">
        <v>42</v>
      </c>
      <c r="D2526" s="14">
        <f>IF(A2526&gt;LastWeek-364,1,0)</f>
        <v/>
      </c>
      <c r="E2526" s="14">
        <f>C2526^2*D2526</f>
        <v/>
      </c>
    </row>
    <row r="2527">
      <c r="A2527" s="26" t="n">
        <v>45495</v>
      </c>
      <c r="B2527" s="14" t="inlineStr">
        <is>
          <t>NB-0025</t>
        </is>
      </c>
      <c r="C2527" s="14" t="n">
        <v>43</v>
      </c>
      <c r="D2527" s="14">
        <f>IF(A2527&gt;LastWeek-364,1,0)</f>
        <v/>
      </c>
      <c r="E2527" s="14">
        <f>C2527^2*D2527</f>
        <v/>
      </c>
    </row>
    <row r="2528">
      <c r="A2528" s="26" t="n">
        <v>45502</v>
      </c>
      <c r="B2528" s="14" t="inlineStr">
        <is>
          <t>NB-0025</t>
        </is>
      </c>
      <c r="C2528" s="14" t="n">
        <v>51</v>
      </c>
      <c r="D2528" s="14">
        <f>IF(A2528&gt;LastWeek-364,1,0)</f>
        <v/>
      </c>
      <c r="E2528" s="14">
        <f>C2528^2*D2528</f>
        <v/>
      </c>
    </row>
    <row r="2529">
      <c r="A2529" s="26" t="n">
        <v>45509</v>
      </c>
      <c r="B2529" s="14" t="inlineStr">
        <is>
          <t>NB-0025</t>
        </is>
      </c>
      <c r="C2529" s="14" t="n">
        <v>46</v>
      </c>
      <c r="D2529" s="14">
        <f>IF(A2529&gt;LastWeek-364,1,0)</f>
        <v/>
      </c>
      <c r="E2529" s="14">
        <f>C2529^2*D2529</f>
        <v/>
      </c>
    </row>
    <row r="2530">
      <c r="A2530" s="26" t="n">
        <v>45516</v>
      </c>
      <c r="B2530" s="14" t="inlineStr">
        <is>
          <t>NB-0025</t>
        </is>
      </c>
      <c r="C2530" s="14" t="n">
        <v>44</v>
      </c>
      <c r="D2530" s="14">
        <f>IF(A2530&gt;LastWeek-364,1,0)</f>
        <v/>
      </c>
      <c r="E2530" s="14">
        <f>C2530^2*D2530</f>
        <v/>
      </c>
    </row>
    <row r="2531">
      <c r="A2531" s="26" t="n">
        <v>45523</v>
      </c>
      <c r="B2531" s="14" t="inlineStr">
        <is>
          <t>NB-0025</t>
        </is>
      </c>
      <c r="C2531" s="14" t="n">
        <v>47</v>
      </c>
      <c r="D2531" s="14">
        <f>IF(A2531&gt;LastWeek-364,1,0)</f>
        <v/>
      </c>
      <c r="E2531" s="14">
        <f>C2531^2*D2531</f>
        <v/>
      </c>
    </row>
    <row r="2532">
      <c r="A2532" s="26" t="n">
        <v>45530</v>
      </c>
      <c r="B2532" s="14" t="inlineStr">
        <is>
          <t>NB-0025</t>
        </is>
      </c>
      <c r="C2532" s="14" t="n">
        <v>56</v>
      </c>
      <c r="D2532" s="14">
        <f>IF(A2532&gt;LastWeek-364,1,0)</f>
        <v/>
      </c>
      <c r="E2532" s="14">
        <f>C2532^2*D2532</f>
        <v/>
      </c>
    </row>
    <row r="2533">
      <c r="A2533" s="26" t="n">
        <v>45537</v>
      </c>
      <c r="B2533" s="14" t="inlineStr">
        <is>
          <t>NB-0025</t>
        </is>
      </c>
      <c r="C2533" s="14" t="n">
        <v>57</v>
      </c>
      <c r="D2533" s="14">
        <f>IF(A2533&gt;LastWeek-364,1,0)</f>
        <v/>
      </c>
      <c r="E2533" s="14">
        <f>C2533^2*D2533</f>
        <v/>
      </c>
    </row>
    <row r="2534">
      <c r="A2534" s="26" t="n">
        <v>45544</v>
      </c>
      <c r="B2534" s="14" t="inlineStr">
        <is>
          <t>NB-0025</t>
        </is>
      </c>
      <c r="C2534" s="14" t="n">
        <v>59</v>
      </c>
      <c r="D2534" s="14">
        <f>IF(A2534&gt;LastWeek-364,1,0)</f>
        <v/>
      </c>
      <c r="E2534" s="14">
        <f>C2534^2*D2534</f>
        <v/>
      </c>
    </row>
    <row r="2535">
      <c r="A2535" s="26" t="n">
        <v>45551</v>
      </c>
      <c r="B2535" s="14" t="inlineStr">
        <is>
          <t>NB-0025</t>
        </is>
      </c>
      <c r="C2535" s="14" t="n">
        <v>57</v>
      </c>
      <c r="D2535" s="14">
        <f>IF(A2535&gt;LastWeek-364,1,0)</f>
        <v/>
      </c>
      <c r="E2535" s="14">
        <f>C2535^2*D2535</f>
        <v/>
      </c>
    </row>
    <row r="2536">
      <c r="A2536" s="26" t="n">
        <v>45558</v>
      </c>
      <c r="B2536" s="14" t="inlineStr">
        <is>
          <t>NB-0025</t>
        </is>
      </c>
      <c r="C2536" s="14" t="n">
        <v>65</v>
      </c>
      <c r="D2536" s="14">
        <f>IF(A2536&gt;LastWeek-364,1,0)</f>
        <v/>
      </c>
      <c r="E2536" s="14">
        <f>C2536^2*D2536</f>
        <v/>
      </c>
    </row>
    <row r="2537">
      <c r="A2537" s="26" t="n">
        <v>45565</v>
      </c>
      <c r="B2537" s="14" t="inlineStr">
        <is>
          <t>NB-0025</t>
        </is>
      </c>
      <c r="C2537" s="14" t="n">
        <v>61</v>
      </c>
      <c r="D2537" s="14">
        <f>IF(A2537&gt;LastWeek-364,1,0)</f>
        <v/>
      </c>
      <c r="E2537" s="14">
        <f>C2537^2*D2537</f>
        <v/>
      </c>
    </row>
    <row r="2538">
      <c r="A2538" s="26" t="n">
        <v>45572</v>
      </c>
      <c r="B2538" s="14" t="inlineStr">
        <is>
          <t>NB-0025</t>
        </is>
      </c>
      <c r="C2538" s="14" t="n">
        <v>65</v>
      </c>
      <c r="D2538" s="14">
        <f>IF(A2538&gt;LastWeek-364,1,0)</f>
        <v/>
      </c>
      <c r="E2538" s="14">
        <f>C2538^2*D2538</f>
        <v/>
      </c>
    </row>
    <row r="2539">
      <c r="A2539" s="26" t="n">
        <v>45579</v>
      </c>
      <c r="B2539" s="14" t="inlineStr">
        <is>
          <t>NB-0025</t>
        </is>
      </c>
      <c r="C2539" s="14" t="n">
        <v>76</v>
      </c>
      <c r="D2539" s="14">
        <f>IF(A2539&gt;LastWeek-364,1,0)</f>
        <v/>
      </c>
      <c r="E2539" s="14">
        <f>C2539^2*D2539</f>
        <v/>
      </c>
    </row>
    <row r="2540">
      <c r="A2540" s="26" t="n">
        <v>45586</v>
      </c>
      <c r="B2540" s="14" t="inlineStr">
        <is>
          <t>NB-0025</t>
        </is>
      </c>
      <c r="C2540" s="14" t="n">
        <v>78</v>
      </c>
      <c r="D2540" s="14">
        <f>IF(A2540&gt;LastWeek-364,1,0)</f>
        <v/>
      </c>
      <c r="E2540" s="14">
        <f>C2540^2*D2540</f>
        <v/>
      </c>
    </row>
    <row r="2541">
      <c r="A2541" s="26" t="n">
        <v>45593</v>
      </c>
      <c r="B2541" s="14" t="inlineStr">
        <is>
          <t>NB-0025</t>
        </is>
      </c>
      <c r="C2541" s="14" t="n">
        <v>69</v>
      </c>
      <c r="D2541" s="14">
        <f>IF(A2541&gt;LastWeek-364,1,0)</f>
        <v/>
      </c>
      <c r="E2541" s="14">
        <f>C2541^2*D2541</f>
        <v/>
      </c>
    </row>
    <row r="2542">
      <c r="A2542" s="26" t="n">
        <v>45600</v>
      </c>
      <c r="B2542" s="14" t="inlineStr">
        <is>
          <t>NB-0025</t>
        </is>
      </c>
      <c r="C2542" s="14" t="n">
        <v>72</v>
      </c>
      <c r="D2542" s="14">
        <f>IF(A2542&gt;LastWeek-364,1,0)</f>
        <v/>
      </c>
      <c r="E2542" s="14">
        <f>C2542^2*D2542</f>
        <v/>
      </c>
    </row>
    <row r="2543">
      <c r="A2543" s="26" t="n">
        <v>45607</v>
      </c>
      <c r="B2543" s="14" t="inlineStr">
        <is>
          <t>NB-0025</t>
        </is>
      </c>
      <c r="C2543" s="14" t="n">
        <v>81</v>
      </c>
      <c r="D2543" s="14">
        <f>IF(A2543&gt;LastWeek-364,1,0)</f>
        <v/>
      </c>
      <c r="E2543" s="14">
        <f>C2543^2*D2543</f>
        <v/>
      </c>
    </row>
    <row r="2544">
      <c r="A2544" s="26" t="n">
        <v>45614</v>
      </c>
      <c r="B2544" s="14" t="inlineStr">
        <is>
          <t>NB-0025</t>
        </is>
      </c>
      <c r="C2544" s="14" t="n">
        <v>95</v>
      </c>
      <c r="D2544" s="14">
        <f>IF(A2544&gt;LastWeek-364,1,0)</f>
        <v/>
      </c>
      <c r="E2544" s="14">
        <f>C2544^2*D2544</f>
        <v/>
      </c>
    </row>
    <row r="2545">
      <c r="A2545" s="26" t="n">
        <v>45621</v>
      </c>
      <c r="B2545" s="14" t="inlineStr">
        <is>
          <t>NB-0025</t>
        </is>
      </c>
      <c r="C2545" s="14" t="n">
        <v>70</v>
      </c>
      <c r="D2545" s="14">
        <f>IF(A2545&gt;LastWeek-364,1,0)</f>
        <v/>
      </c>
      <c r="E2545" s="14">
        <f>C2545^2*D2545</f>
        <v/>
      </c>
    </row>
    <row r="2546">
      <c r="A2546" s="26" t="n">
        <v>45628</v>
      </c>
      <c r="B2546" s="14" t="inlineStr">
        <is>
          <t>NB-0025</t>
        </is>
      </c>
      <c r="C2546" s="14" t="n">
        <v>88</v>
      </c>
      <c r="D2546" s="14">
        <f>IF(A2546&gt;LastWeek-364,1,0)</f>
        <v/>
      </c>
      <c r="E2546" s="14">
        <f>C2546^2*D2546</f>
        <v/>
      </c>
    </row>
    <row r="2547">
      <c r="A2547" s="26" t="n">
        <v>45635</v>
      </c>
      <c r="B2547" s="14" t="inlineStr">
        <is>
          <t>NB-0025</t>
        </is>
      </c>
      <c r="C2547" s="14" t="n">
        <v>77</v>
      </c>
      <c r="D2547" s="14">
        <f>IF(A2547&gt;LastWeek-364,1,0)</f>
        <v/>
      </c>
      <c r="E2547" s="14">
        <f>C2547^2*D2547</f>
        <v/>
      </c>
    </row>
    <row r="2548">
      <c r="A2548" s="26" t="n">
        <v>45642</v>
      </c>
      <c r="B2548" s="14" t="inlineStr">
        <is>
          <t>NB-0025</t>
        </is>
      </c>
      <c r="C2548" s="14" t="n">
        <v>84</v>
      </c>
      <c r="D2548" s="14">
        <f>IF(A2548&gt;LastWeek-364,1,0)</f>
        <v/>
      </c>
      <c r="E2548" s="14">
        <f>C2548^2*D2548</f>
        <v/>
      </c>
    </row>
    <row r="2549">
      <c r="A2549" s="26" t="n">
        <v>45649</v>
      </c>
      <c r="B2549" s="14" t="inlineStr">
        <is>
          <t>NB-0025</t>
        </is>
      </c>
      <c r="C2549" s="14" t="n">
        <v>87</v>
      </c>
      <c r="D2549" s="14">
        <f>IF(A2549&gt;LastWeek-364,1,0)</f>
        <v/>
      </c>
      <c r="E2549" s="14">
        <f>C2549^2*D2549</f>
        <v/>
      </c>
    </row>
    <row r="2550">
      <c r="A2550" s="26" t="n">
        <v>45656</v>
      </c>
      <c r="B2550" s="14" t="inlineStr">
        <is>
          <t>NB-0025</t>
        </is>
      </c>
      <c r="C2550" s="14" t="n">
        <v>87</v>
      </c>
      <c r="D2550" s="14">
        <f>IF(A2550&gt;LastWeek-364,1,0)</f>
        <v/>
      </c>
      <c r="E2550" s="14">
        <f>C2550^2*D2550</f>
        <v/>
      </c>
    </row>
    <row r="2551">
      <c r="A2551" s="26" t="n">
        <v>45663</v>
      </c>
      <c r="B2551" s="14" t="inlineStr">
        <is>
          <t>NB-0025</t>
        </is>
      </c>
      <c r="C2551" s="14" t="n">
        <v>86</v>
      </c>
      <c r="D2551" s="14">
        <f>IF(A2551&gt;LastWeek-364,1,0)</f>
        <v/>
      </c>
      <c r="E2551" s="14">
        <f>C2551^2*D2551</f>
        <v/>
      </c>
    </row>
    <row r="2552">
      <c r="A2552" s="26" t="n">
        <v>45670</v>
      </c>
      <c r="B2552" s="14" t="inlineStr">
        <is>
          <t>NB-0025</t>
        </is>
      </c>
      <c r="C2552" s="14" t="n">
        <v>90</v>
      </c>
      <c r="D2552" s="14">
        <f>IF(A2552&gt;LastWeek-364,1,0)</f>
        <v/>
      </c>
      <c r="E2552" s="14">
        <f>C2552^2*D2552</f>
        <v/>
      </c>
    </row>
    <row r="2553">
      <c r="A2553" s="26" t="n">
        <v>45677</v>
      </c>
      <c r="B2553" s="14" t="inlineStr">
        <is>
          <t>NB-0025</t>
        </is>
      </c>
      <c r="C2553" s="14" t="n">
        <v>85</v>
      </c>
      <c r="D2553" s="14">
        <f>IF(A2553&gt;LastWeek-364,1,0)</f>
        <v/>
      </c>
      <c r="E2553" s="14">
        <f>C2553^2*D2553</f>
        <v/>
      </c>
    </row>
    <row r="2554">
      <c r="A2554" s="26" t="n">
        <v>45684</v>
      </c>
      <c r="B2554" s="14" t="inlineStr">
        <is>
          <t>NB-0025</t>
        </is>
      </c>
      <c r="C2554" s="14" t="n">
        <v>77</v>
      </c>
      <c r="D2554" s="14">
        <f>IF(A2554&gt;LastWeek-364,1,0)</f>
        <v/>
      </c>
      <c r="E2554" s="14">
        <f>C2554^2*D2554</f>
        <v/>
      </c>
    </row>
    <row r="2555">
      <c r="A2555" s="26" t="n">
        <v>45691</v>
      </c>
      <c r="B2555" s="14" t="inlineStr">
        <is>
          <t>NB-0025</t>
        </is>
      </c>
      <c r="C2555" s="14" t="n">
        <v>93</v>
      </c>
      <c r="D2555" s="14">
        <f>IF(A2555&gt;LastWeek-364,1,0)</f>
        <v/>
      </c>
      <c r="E2555" s="14">
        <f>C2555^2*D2555</f>
        <v/>
      </c>
    </row>
    <row r="2556">
      <c r="A2556" s="26" t="n">
        <v>45698</v>
      </c>
      <c r="B2556" s="14" t="inlineStr">
        <is>
          <t>NB-0025</t>
        </is>
      </c>
      <c r="C2556" s="14" t="n">
        <v>91</v>
      </c>
      <c r="D2556" s="14">
        <f>IF(A2556&gt;LastWeek-364,1,0)</f>
        <v/>
      </c>
      <c r="E2556" s="14">
        <f>C2556^2*D2556</f>
        <v/>
      </c>
    </row>
    <row r="2557">
      <c r="A2557" s="26" t="n">
        <v>45705</v>
      </c>
      <c r="B2557" s="14" t="inlineStr">
        <is>
          <t>NB-0025</t>
        </is>
      </c>
      <c r="C2557" s="14" t="n">
        <v>90</v>
      </c>
      <c r="D2557" s="14">
        <f>IF(A2557&gt;LastWeek-364,1,0)</f>
        <v/>
      </c>
      <c r="E2557" s="14">
        <f>C2557^2*D2557</f>
        <v/>
      </c>
    </row>
    <row r="2558">
      <c r="A2558" s="26" t="n">
        <v>45712</v>
      </c>
      <c r="B2558" s="14" t="inlineStr">
        <is>
          <t>NB-0025</t>
        </is>
      </c>
      <c r="C2558" s="14" t="n">
        <v>71</v>
      </c>
      <c r="D2558" s="14">
        <f>IF(A2558&gt;LastWeek-364,1,0)</f>
        <v/>
      </c>
      <c r="E2558" s="14">
        <f>C2558^2*D2558</f>
        <v/>
      </c>
    </row>
    <row r="2559">
      <c r="A2559" s="26" t="n">
        <v>45719</v>
      </c>
      <c r="B2559" s="14" t="inlineStr">
        <is>
          <t>NB-0025</t>
        </is>
      </c>
      <c r="C2559" s="14" t="n">
        <v>82</v>
      </c>
      <c r="D2559" s="14">
        <f>IF(A2559&gt;LastWeek-364,1,0)</f>
        <v/>
      </c>
      <c r="E2559" s="14">
        <f>C2559^2*D2559</f>
        <v/>
      </c>
    </row>
    <row r="2560">
      <c r="A2560" s="26" t="n">
        <v>45726</v>
      </c>
      <c r="B2560" s="14" t="inlineStr">
        <is>
          <t>NB-0025</t>
        </is>
      </c>
      <c r="C2560" s="14" t="n">
        <v>82</v>
      </c>
      <c r="D2560" s="14">
        <f>IF(A2560&gt;LastWeek-364,1,0)</f>
        <v/>
      </c>
      <c r="E2560" s="14">
        <f>C2560^2*D2560</f>
        <v/>
      </c>
    </row>
    <row r="2561">
      <c r="A2561" s="26" t="n">
        <v>45733</v>
      </c>
      <c r="B2561" s="14" t="inlineStr">
        <is>
          <t>NB-0025</t>
        </is>
      </c>
      <c r="C2561" s="14" t="n">
        <v>68</v>
      </c>
      <c r="D2561" s="14">
        <f>IF(A2561&gt;LastWeek-364,1,0)</f>
        <v/>
      </c>
      <c r="E2561" s="14">
        <f>C2561^2*D2561</f>
        <v/>
      </c>
    </row>
    <row r="2562">
      <c r="A2562" s="26" t="n">
        <v>45740</v>
      </c>
      <c r="B2562" s="14" t="inlineStr">
        <is>
          <t>NB-0025</t>
        </is>
      </c>
      <c r="C2562" s="14" t="n">
        <v>72</v>
      </c>
      <c r="D2562" s="14">
        <f>IF(A2562&gt;LastWeek-364,1,0)</f>
        <v/>
      </c>
      <c r="E2562" s="14">
        <f>C2562^2*D2562</f>
        <v/>
      </c>
    </row>
    <row r="2563">
      <c r="A2563" s="26" t="n">
        <v>45747</v>
      </c>
      <c r="B2563" s="14" t="inlineStr">
        <is>
          <t>NB-0025</t>
        </is>
      </c>
      <c r="C2563" s="14" t="n">
        <v>68</v>
      </c>
      <c r="D2563" s="14">
        <f>IF(A2563&gt;LastWeek-364,1,0)</f>
        <v/>
      </c>
      <c r="E2563" s="14">
        <f>C2563^2*D2563</f>
        <v/>
      </c>
    </row>
    <row r="2564">
      <c r="A2564" s="26" t="n">
        <v>45754</v>
      </c>
      <c r="B2564" s="14" t="inlineStr">
        <is>
          <t>NB-0025</t>
        </is>
      </c>
      <c r="C2564" s="14" t="n">
        <v>77</v>
      </c>
      <c r="D2564" s="14">
        <f>IF(A2564&gt;LastWeek-364,1,0)</f>
        <v/>
      </c>
      <c r="E2564" s="14">
        <f>C2564^2*D2564</f>
        <v/>
      </c>
    </row>
    <row r="2565">
      <c r="A2565" s="26" t="n">
        <v>45761</v>
      </c>
      <c r="B2565" s="14" t="inlineStr">
        <is>
          <t>NB-0025</t>
        </is>
      </c>
      <c r="C2565" s="14" t="n">
        <v>74</v>
      </c>
      <c r="D2565" s="14">
        <f>IF(A2565&gt;LastWeek-364,1,0)</f>
        <v/>
      </c>
      <c r="E2565" s="14">
        <f>C2565^2*D2565</f>
        <v/>
      </c>
    </row>
    <row r="2566">
      <c r="A2566" s="26" t="n">
        <v>45768</v>
      </c>
      <c r="B2566" s="14" t="inlineStr">
        <is>
          <t>NB-0025</t>
        </is>
      </c>
      <c r="C2566" s="14" t="n">
        <v>52</v>
      </c>
      <c r="D2566" s="14">
        <f>IF(A2566&gt;LastWeek-364,1,0)</f>
        <v/>
      </c>
      <c r="E2566" s="14">
        <f>C2566^2*D2566</f>
        <v/>
      </c>
    </row>
    <row r="2567">
      <c r="A2567" s="26" t="n">
        <v>45775</v>
      </c>
      <c r="B2567" s="14" t="inlineStr">
        <is>
          <t>NB-0025</t>
        </is>
      </c>
      <c r="C2567" s="14" t="n">
        <v>70</v>
      </c>
      <c r="D2567" s="14">
        <f>IF(A2567&gt;LastWeek-364,1,0)</f>
        <v/>
      </c>
      <c r="E2567" s="14">
        <f>C2567^2*D2567</f>
        <v/>
      </c>
    </row>
    <row r="2568">
      <c r="A2568" s="26" t="n">
        <v>45782</v>
      </c>
      <c r="B2568" s="14" t="inlineStr">
        <is>
          <t>NB-0025</t>
        </is>
      </c>
      <c r="C2568" s="14" t="n">
        <v>51</v>
      </c>
      <c r="D2568" s="14">
        <f>IF(A2568&gt;LastWeek-364,1,0)</f>
        <v/>
      </c>
      <c r="E2568" s="14">
        <f>C2568^2*D2568</f>
        <v/>
      </c>
    </row>
    <row r="2569">
      <c r="A2569" s="26" t="n">
        <v>45789</v>
      </c>
      <c r="B2569" s="14" t="inlineStr">
        <is>
          <t>NB-0025</t>
        </is>
      </c>
      <c r="C2569" s="14" t="n">
        <v>57</v>
      </c>
      <c r="D2569" s="14">
        <f>IF(A2569&gt;LastWeek-364,1,0)</f>
        <v/>
      </c>
      <c r="E2569" s="14">
        <f>C2569^2*D2569</f>
        <v/>
      </c>
    </row>
    <row r="2570">
      <c r="A2570" s="26" t="n">
        <v>45796</v>
      </c>
      <c r="B2570" s="14" t="inlineStr">
        <is>
          <t>NB-0025</t>
        </is>
      </c>
      <c r="C2570" s="14" t="n">
        <v>55</v>
      </c>
      <c r="D2570" s="14">
        <f>IF(A2570&gt;LastWeek-364,1,0)</f>
        <v/>
      </c>
      <c r="E2570" s="14">
        <f>C2570^2*D2570</f>
        <v/>
      </c>
    </row>
    <row r="2571">
      <c r="A2571" s="26" t="n">
        <v>45803</v>
      </c>
      <c r="B2571" s="14" t="inlineStr">
        <is>
          <t>NB-0025</t>
        </is>
      </c>
      <c r="C2571" s="14" t="n">
        <v>44</v>
      </c>
      <c r="D2571" s="14">
        <f>IF(A2571&gt;LastWeek-364,1,0)</f>
        <v/>
      </c>
      <c r="E2571" s="14">
        <f>C2571^2*D2571</f>
        <v/>
      </c>
    </row>
    <row r="2572">
      <c r="A2572" s="26" t="n">
        <v>45810</v>
      </c>
      <c r="B2572" s="14" t="inlineStr">
        <is>
          <t>NB-0025</t>
        </is>
      </c>
      <c r="C2572" s="14" t="n">
        <v>49</v>
      </c>
      <c r="D2572" s="14">
        <f>IF(A2572&gt;LastWeek-364,1,0)</f>
        <v/>
      </c>
      <c r="E2572" s="14">
        <f>C2572^2*D2572</f>
        <v/>
      </c>
    </row>
    <row r="2573">
      <c r="A2573" s="26" t="n">
        <v>45817</v>
      </c>
      <c r="B2573" s="14" t="inlineStr">
        <is>
          <t>NB-0025</t>
        </is>
      </c>
      <c r="C2573" s="14" t="n">
        <v>45</v>
      </c>
      <c r="D2573" s="14">
        <f>IF(A2573&gt;LastWeek-364,1,0)</f>
        <v/>
      </c>
      <c r="E2573" s="14">
        <f>C2573^2*D2573</f>
        <v/>
      </c>
    </row>
    <row r="2574">
      <c r="A2574" s="26" t="n">
        <v>45824</v>
      </c>
      <c r="B2574" s="14" t="inlineStr">
        <is>
          <t>NB-0025</t>
        </is>
      </c>
      <c r="C2574" s="14" t="n">
        <v>46</v>
      </c>
      <c r="D2574" s="14">
        <f>IF(A2574&gt;LastWeek-364,1,0)</f>
        <v/>
      </c>
      <c r="E2574" s="14">
        <f>C2574^2*D2574</f>
        <v/>
      </c>
    </row>
    <row r="2575">
      <c r="A2575" s="26" t="n">
        <v>45831</v>
      </c>
      <c r="B2575" s="14" t="inlineStr">
        <is>
          <t>NB-0025</t>
        </is>
      </c>
      <c r="C2575" s="14" t="n">
        <v>44</v>
      </c>
      <c r="D2575" s="14">
        <f>IF(A2575&gt;LastWeek-364,1,0)</f>
        <v/>
      </c>
      <c r="E2575" s="14">
        <f>C2575^2*D2575</f>
        <v/>
      </c>
    </row>
    <row r="2576">
      <c r="A2576" s="26" t="n">
        <v>45838</v>
      </c>
      <c r="B2576" s="14" t="inlineStr">
        <is>
          <t>NB-0025</t>
        </is>
      </c>
      <c r="C2576" s="14" t="n">
        <v>47</v>
      </c>
      <c r="D2576" s="14">
        <f>IF(A2576&gt;LastWeek-364,1,0)</f>
        <v/>
      </c>
      <c r="E2576" s="14">
        <f>C2576^2*D2576</f>
        <v/>
      </c>
    </row>
    <row r="2577">
      <c r="A2577" s="26" t="n">
        <v>45845</v>
      </c>
      <c r="B2577" s="14" t="inlineStr">
        <is>
          <t>NB-0025</t>
        </is>
      </c>
      <c r="C2577" s="14" t="n">
        <v>43</v>
      </c>
      <c r="D2577" s="14">
        <f>IF(A2577&gt;LastWeek-364,1,0)</f>
        <v/>
      </c>
      <c r="E2577" s="14">
        <f>C2577^2*D2577</f>
        <v/>
      </c>
    </row>
    <row r="2578">
      <c r="A2578" s="26" t="n">
        <v>45852</v>
      </c>
      <c r="B2578" s="14" t="inlineStr">
        <is>
          <t>NB-0025</t>
        </is>
      </c>
      <c r="C2578" s="14" t="n">
        <v>42</v>
      </c>
      <c r="D2578" s="14">
        <f>IF(A2578&gt;LastWeek-364,1,0)</f>
        <v/>
      </c>
      <c r="E2578" s="14">
        <f>C2578^2*D2578</f>
        <v/>
      </c>
    </row>
    <row r="2579">
      <c r="A2579" s="26" t="n">
        <v>45859</v>
      </c>
      <c r="B2579" s="14" t="inlineStr">
        <is>
          <t>NB-0025</t>
        </is>
      </c>
      <c r="C2579" s="14" t="n">
        <v>47</v>
      </c>
      <c r="D2579" s="14">
        <f>IF(A2579&gt;LastWeek-364,1,0)</f>
        <v/>
      </c>
      <c r="E2579" s="14">
        <f>C2579^2*D2579</f>
        <v/>
      </c>
    </row>
    <row r="2580">
      <c r="A2580" s="26" t="n">
        <v>45866</v>
      </c>
      <c r="B2580" s="14" t="inlineStr">
        <is>
          <t>NB-0025</t>
        </is>
      </c>
      <c r="C2580" s="14" t="n">
        <v>46</v>
      </c>
      <c r="D2580" s="14">
        <f>IF(A2580&gt;LastWeek-364,1,0)</f>
        <v/>
      </c>
      <c r="E2580" s="14">
        <f>C2580^2*D2580</f>
        <v/>
      </c>
    </row>
    <row r="2581">
      <c r="A2581" s="26" t="n">
        <v>45873</v>
      </c>
      <c r="B2581" s="14" t="inlineStr">
        <is>
          <t>NB-0025</t>
        </is>
      </c>
      <c r="C2581" s="14" t="n">
        <v>48</v>
      </c>
      <c r="D2581" s="14">
        <f>IF(A2581&gt;LastWeek-364,1,0)</f>
        <v/>
      </c>
      <c r="E2581" s="14">
        <f>C2581^2*D2581</f>
        <v/>
      </c>
    </row>
    <row r="2582">
      <c r="A2582" s="26" t="n">
        <v>45880</v>
      </c>
      <c r="B2582" s="14" t="inlineStr">
        <is>
          <t>NB-0025</t>
        </is>
      </c>
      <c r="C2582" s="14" t="n">
        <v>44</v>
      </c>
      <c r="D2582" s="14">
        <f>IF(A2582&gt;LastWeek-364,1,0)</f>
        <v/>
      </c>
      <c r="E2582" s="14">
        <f>C2582^2*D2582</f>
        <v/>
      </c>
    </row>
    <row r="2583">
      <c r="A2583" s="26" t="n">
        <v>45887</v>
      </c>
      <c r="B2583" s="14" t="inlineStr">
        <is>
          <t>NB-0025</t>
        </is>
      </c>
      <c r="C2583" s="14" t="n">
        <v>44</v>
      </c>
      <c r="D2583" s="14">
        <f>IF(A2583&gt;LastWeek-364,1,0)</f>
        <v/>
      </c>
      <c r="E2583" s="14">
        <f>C2583^2*D2583</f>
        <v/>
      </c>
    </row>
    <row r="2584">
      <c r="A2584" s="26" t="n">
        <v>45894</v>
      </c>
      <c r="B2584" s="14" t="inlineStr">
        <is>
          <t>NB-0025</t>
        </is>
      </c>
      <c r="C2584" s="14" t="n">
        <v>48</v>
      </c>
      <c r="D2584" s="14">
        <f>IF(A2584&gt;LastWeek-364,1,0)</f>
        <v/>
      </c>
      <c r="E2584" s="14">
        <f>C2584^2*D2584</f>
        <v/>
      </c>
    </row>
    <row r="2585">
      <c r="A2585" s="26" t="n">
        <v>45901</v>
      </c>
      <c r="B2585" s="14" t="inlineStr">
        <is>
          <t>NB-0025</t>
        </is>
      </c>
      <c r="C2585" s="14" t="n">
        <v>49</v>
      </c>
      <c r="D2585" s="14">
        <f>IF(A2585&gt;LastWeek-364,1,0)</f>
        <v/>
      </c>
      <c r="E2585" s="14">
        <f>C2585^2*D2585</f>
        <v/>
      </c>
    </row>
    <row r="2586">
      <c r="A2586" s="26" t="n">
        <v>45908</v>
      </c>
      <c r="B2586" s="14" t="inlineStr">
        <is>
          <t>NB-0025</t>
        </is>
      </c>
      <c r="C2586" s="14" t="n">
        <v>58</v>
      </c>
      <c r="D2586" s="14">
        <f>IF(A2586&gt;LastWeek-364,1,0)</f>
        <v/>
      </c>
      <c r="E2586" s="14">
        <f>C2586^2*D2586</f>
        <v/>
      </c>
    </row>
    <row r="2587">
      <c r="A2587" s="26" t="n">
        <v>45915</v>
      </c>
      <c r="B2587" s="14" t="inlineStr">
        <is>
          <t>NB-0025</t>
        </is>
      </c>
      <c r="C2587" s="14" t="n">
        <v>62</v>
      </c>
      <c r="D2587" s="14">
        <f>IF(A2587&gt;LastWeek-364,1,0)</f>
        <v/>
      </c>
      <c r="E2587" s="14">
        <f>C2587^2*D2587</f>
        <v/>
      </c>
    </row>
    <row r="2588">
      <c r="A2588" s="26" t="n">
        <v>45922</v>
      </c>
      <c r="B2588" s="14" t="inlineStr">
        <is>
          <t>NB-0025</t>
        </is>
      </c>
      <c r="C2588" s="14" t="n">
        <v>59</v>
      </c>
      <c r="D2588" s="14">
        <f>IF(A2588&gt;LastWeek-364,1,0)</f>
        <v/>
      </c>
      <c r="E2588" s="14">
        <f>C2588^2*D2588</f>
        <v/>
      </c>
    </row>
    <row r="2589">
      <c r="A2589" s="26" t="n">
        <v>45929</v>
      </c>
      <c r="B2589" s="14" t="inlineStr">
        <is>
          <t>NB-0025</t>
        </is>
      </c>
      <c r="C2589" s="14" t="n">
        <v>70</v>
      </c>
      <c r="D2589" s="14">
        <f>IF(A2589&gt;LastWeek-364,1,0)</f>
        <v/>
      </c>
      <c r="E2589" s="14">
        <f>C2589^2*D2589</f>
        <v/>
      </c>
    </row>
    <row r="2590">
      <c r="A2590" s="26" t="n">
        <v>45936</v>
      </c>
      <c r="B2590" s="14" t="inlineStr">
        <is>
          <t>NB-0025</t>
        </is>
      </c>
      <c r="C2590" s="14" t="n">
        <v>73</v>
      </c>
      <c r="D2590" s="14">
        <f>IF(A2590&gt;LastWeek-364,1,0)</f>
        <v/>
      </c>
      <c r="E2590" s="14">
        <f>C2590^2*D2590</f>
        <v/>
      </c>
    </row>
    <row r="2591">
      <c r="A2591" s="26" t="n">
        <v>45943</v>
      </c>
      <c r="B2591" s="14" t="inlineStr">
        <is>
          <t>NB-0025</t>
        </is>
      </c>
      <c r="C2591" s="14" t="n">
        <v>69</v>
      </c>
      <c r="D2591" s="14">
        <f>IF(A2591&gt;LastWeek-364,1,0)</f>
        <v/>
      </c>
      <c r="E2591" s="14">
        <f>C2591^2*D2591</f>
        <v/>
      </c>
    </row>
    <row r="2592">
      <c r="A2592" s="26" t="n">
        <v>45950</v>
      </c>
      <c r="B2592" s="14" t="inlineStr">
        <is>
          <t>NB-0025</t>
        </is>
      </c>
      <c r="C2592" s="14" t="n">
        <v>65</v>
      </c>
      <c r="D2592" s="14">
        <f>IF(A2592&gt;LastWeek-364,1,0)</f>
        <v/>
      </c>
      <c r="E2592" s="14">
        <f>C2592^2*D2592</f>
        <v/>
      </c>
    </row>
    <row r="2593">
      <c r="A2593" s="26" t="n">
        <v>45957</v>
      </c>
      <c r="B2593" s="14" t="inlineStr">
        <is>
          <t>NB-0025</t>
        </is>
      </c>
      <c r="C2593" s="14" t="n">
        <v>83</v>
      </c>
      <c r="D2593" s="14">
        <f>IF(A2593&gt;LastWeek-364,1,0)</f>
        <v/>
      </c>
      <c r="E2593" s="14">
        <f>C2593^2*D2593</f>
        <v/>
      </c>
    </row>
    <row r="2594">
      <c r="A2594" s="26" t="n">
        <v>45964</v>
      </c>
      <c r="B2594" s="14" t="inlineStr">
        <is>
          <t>NB-0025</t>
        </is>
      </c>
      <c r="C2594" s="14" t="n">
        <v>75</v>
      </c>
      <c r="D2594" s="14">
        <f>IF(A2594&gt;LastWeek-364,1,0)</f>
        <v/>
      </c>
      <c r="E2594" s="14">
        <f>C2594^2*D2594</f>
        <v/>
      </c>
    </row>
    <row r="2595">
      <c r="A2595" s="26" t="n">
        <v>45971</v>
      </c>
      <c r="B2595" s="14" t="inlineStr">
        <is>
          <t>NB-0025</t>
        </is>
      </c>
      <c r="C2595" s="14" t="n">
        <v>79</v>
      </c>
      <c r="D2595" s="14">
        <f>IF(A2595&gt;LastWeek-364,1,0)</f>
        <v/>
      </c>
      <c r="E2595" s="14">
        <f>C2595^2*D2595</f>
        <v/>
      </c>
    </row>
    <row r="2596">
      <c r="A2596" s="26" t="n">
        <v>45978</v>
      </c>
      <c r="B2596" s="14" t="inlineStr">
        <is>
          <t>NB-0025</t>
        </is>
      </c>
      <c r="C2596" s="14" t="n">
        <v>78</v>
      </c>
      <c r="D2596" s="14">
        <f>IF(A2596&gt;LastWeek-364,1,0)</f>
        <v/>
      </c>
      <c r="E2596" s="14">
        <f>C2596^2*D2596</f>
        <v/>
      </c>
    </row>
    <row r="2597">
      <c r="A2597" s="26" t="n">
        <v>45985</v>
      </c>
      <c r="B2597" s="14" t="inlineStr">
        <is>
          <t>NB-0025</t>
        </is>
      </c>
      <c r="C2597" s="14" t="n">
        <v>76</v>
      </c>
      <c r="D2597" s="14">
        <f>IF(A2597&gt;LastWeek-364,1,0)</f>
        <v/>
      </c>
      <c r="E2597" s="14">
        <f>C2597^2*D2597</f>
        <v/>
      </c>
    </row>
    <row r="2598">
      <c r="A2598" s="26" t="n">
        <v>45992</v>
      </c>
      <c r="B2598" s="14" t="inlineStr">
        <is>
          <t>NB-0025</t>
        </is>
      </c>
      <c r="C2598" s="14" t="n">
        <v>73</v>
      </c>
      <c r="D2598" s="14">
        <f>IF(A2598&gt;LastWeek-364,1,0)</f>
        <v/>
      </c>
      <c r="E2598" s="14">
        <f>C2598^2*D2598</f>
        <v/>
      </c>
    </row>
    <row r="2599">
      <c r="A2599" s="26" t="n">
        <v>45999</v>
      </c>
      <c r="B2599" s="14" t="inlineStr">
        <is>
          <t>NB-0025</t>
        </is>
      </c>
      <c r="C2599" s="14" t="n">
        <v>90</v>
      </c>
      <c r="D2599" s="14">
        <f>IF(A2599&gt;LastWeek-364,1,0)</f>
        <v/>
      </c>
      <c r="E2599" s="14">
        <f>C2599^2*D2599</f>
        <v/>
      </c>
    </row>
    <row r="2600">
      <c r="A2600" s="26" t="n">
        <v>46006</v>
      </c>
      <c r="B2600" s="14" t="inlineStr">
        <is>
          <t>NB-0025</t>
        </is>
      </c>
      <c r="C2600" s="14" t="n">
        <v>80</v>
      </c>
      <c r="D2600" s="14">
        <f>IF(A2600&gt;LastWeek-364,1,0)</f>
        <v/>
      </c>
      <c r="E2600" s="14">
        <f>C2600^2*D2600</f>
        <v/>
      </c>
    </row>
    <row r="2601">
      <c r="A2601" s="26" t="n">
        <v>46013</v>
      </c>
      <c r="B2601" s="14" t="inlineStr">
        <is>
          <t>NB-0025</t>
        </is>
      </c>
      <c r="C2601" s="14" t="n">
        <v>110</v>
      </c>
      <c r="D2601" s="14">
        <f>IF(A2601&gt;LastWeek-364,1,0)</f>
        <v/>
      </c>
      <c r="E2601" s="14">
        <f>C2601^2*D2601</f>
        <v/>
      </c>
    </row>
    <row r="2602">
      <c r="A2602" s="26" t="n">
        <v>45292</v>
      </c>
      <c r="B2602" s="14" t="inlineStr">
        <is>
          <t>NB-0026</t>
        </is>
      </c>
      <c r="C2602" s="14" t="n">
        <v>81</v>
      </c>
      <c r="D2602" s="14">
        <f>IF(A2602&gt;LastWeek-364,1,0)</f>
        <v/>
      </c>
      <c r="E2602" s="14">
        <f>C2602^2*D2602</f>
        <v/>
      </c>
    </row>
    <row r="2603">
      <c r="A2603" s="26" t="n">
        <v>45299</v>
      </c>
      <c r="B2603" s="14" t="inlineStr">
        <is>
          <t>NB-0026</t>
        </is>
      </c>
      <c r="C2603" s="14" t="n">
        <v>76</v>
      </c>
      <c r="D2603" s="14">
        <f>IF(A2603&gt;LastWeek-364,1,0)</f>
        <v/>
      </c>
      <c r="E2603" s="14">
        <f>C2603^2*D2603</f>
        <v/>
      </c>
    </row>
    <row r="2604">
      <c r="A2604" s="26" t="n">
        <v>45306</v>
      </c>
      <c r="B2604" s="14" t="inlineStr">
        <is>
          <t>NB-0026</t>
        </is>
      </c>
      <c r="C2604" s="14" t="n">
        <v>128</v>
      </c>
      <c r="D2604" s="14">
        <f>IF(A2604&gt;LastWeek-364,1,0)</f>
        <v/>
      </c>
      <c r="E2604" s="14">
        <f>C2604^2*D2604</f>
        <v/>
      </c>
    </row>
    <row r="2605">
      <c r="A2605" s="26" t="n">
        <v>45313</v>
      </c>
      <c r="B2605" s="14" t="inlineStr">
        <is>
          <t>NB-0026</t>
        </is>
      </c>
      <c r="C2605" s="14" t="n">
        <v>158</v>
      </c>
      <c r="D2605" s="14">
        <f>IF(A2605&gt;LastWeek-364,1,0)</f>
        <v/>
      </c>
      <c r="E2605" s="14">
        <f>C2605^2*D2605</f>
        <v/>
      </c>
    </row>
    <row r="2606">
      <c r="A2606" s="26" t="n">
        <v>45320</v>
      </c>
      <c r="B2606" s="14" t="inlineStr">
        <is>
          <t>NB-0026</t>
        </is>
      </c>
      <c r="C2606" s="14" t="n">
        <v>114</v>
      </c>
      <c r="D2606" s="14">
        <f>IF(A2606&gt;LastWeek-364,1,0)</f>
        <v/>
      </c>
      <c r="E2606" s="14">
        <f>C2606^2*D2606</f>
        <v/>
      </c>
    </row>
    <row r="2607">
      <c r="A2607" s="26" t="n">
        <v>45327</v>
      </c>
      <c r="B2607" s="14" t="inlineStr">
        <is>
          <t>NB-0026</t>
        </is>
      </c>
      <c r="C2607" s="14" t="n">
        <v>128</v>
      </c>
      <c r="D2607" s="14">
        <f>IF(A2607&gt;LastWeek-364,1,0)</f>
        <v/>
      </c>
      <c r="E2607" s="14">
        <f>C2607^2*D2607</f>
        <v/>
      </c>
    </row>
    <row r="2608">
      <c r="A2608" s="26" t="n">
        <v>45334</v>
      </c>
      <c r="B2608" s="14" t="inlineStr">
        <is>
          <t>NB-0026</t>
        </is>
      </c>
      <c r="C2608" s="14" t="n">
        <v>57</v>
      </c>
      <c r="D2608" s="14">
        <f>IF(A2608&gt;LastWeek-364,1,0)</f>
        <v/>
      </c>
      <c r="E2608" s="14">
        <f>C2608^2*D2608</f>
        <v/>
      </c>
    </row>
    <row r="2609">
      <c r="A2609" s="26" t="n">
        <v>45341</v>
      </c>
      <c r="B2609" s="14" t="inlineStr">
        <is>
          <t>NB-0026</t>
        </is>
      </c>
      <c r="C2609" s="14" t="n">
        <v>90</v>
      </c>
      <c r="D2609" s="14">
        <f>IF(A2609&gt;LastWeek-364,1,0)</f>
        <v/>
      </c>
      <c r="E2609" s="14">
        <f>C2609^2*D2609</f>
        <v/>
      </c>
    </row>
    <row r="2610">
      <c r="A2610" s="26" t="n">
        <v>45348</v>
      </c>
      <c r="B2610" s="14" t="inlineStr">
        <is>
          <t>NB-0026</t>
        </is>
      </c>
      <c r="C2610" s="14" t="n">
        <v>77</v>
      </c>
      <c r="D2610" s="14">
        <f>IF(A2610&gt;LastWeek-364,1,0)</f>
        <v/>
      </c>
      <c r="E2610" s="14">
        <f>C2610^2*D2610</f>
        <v/>
      </c>
    </row>
    <row r="2611">
      <c r="A2611" s="26" t="n">
        <v>45355</v>
      </c>
      <c r="B2611" s="14" t="inlineStr">
        <is>
          <t>NB-0026</t>
        </is>
      </c>
      <c r="C2611" s="14" t="n">
        <v>53</v>
      </c>
      <c r="D2611" s="14">
        <f>IF(A2611&gt;LastWeek-364,1,0)</f>
        <v/>
      </c>
      <c r="E2611" s="14">
        <f>C2611^2*D2611</f>
        <v/>
      </c>
    </row>
    <row r="2612">
      <c r="A2612" s="26" t="n">
        <v>45362</v>
      </c>
      <c r="B2612" s="14" t="inlineStr">
        <is>
          <t>NB-0026</t>
        </is>
      </c>
      <c r="C2612" s="14" t="n">
        <v>106</v>
      </c>
      <c r="D2612" s="14">
        <f>IF(A2612&gt;LastWeek-364,1,0)</f>
        <v/>
      </c>
      <c r="E2612" s="14">
        <f>C2612^2*D2612</f>
        <v/>
      </c>
    </row>
    <row r="2613">
      <c r="A2613" s="26" t="n">
        <v>45369</v>
      </c>
      <c r="B2613" s="14" t="inlineStr">
        <is>
          <t>NB-0026</t>
        </is>
      </c>
      <c r="C2613" s="14" t="n">
        <v>42</v>
      </c>
      <c r="D2613" s="14">
        <f>IF(A2613&gt;LastWeek-364,1,0)</f>
        <v/>
      </c>
      <c r="E2613" s="14">
        <f>C2613^2*D2613</f>
        <v/>
      </c>
    </row>
    <row r="2614">
      <c r="A2614" s="26" t="n">
        <v>45376</v>
      </c>
      <c r="B2614" s="14" t="inlineStr">
        <is>
          <t>NB-0026</t>
        </is>
      </c>
      <c r="C2614" s="14" t="n">
        <v>64</v>
      </c>
      <c r="D2614" s="14">
        <f>IF(A2614&gt;LastWeek-364,1,0)</f>
        <v/>
      </c>
      <c r="E2614" s="14">
        <f>C2614^2*D2614</f>
        <v/>
      </c>
    </row>
    <row r="2615">
      <c r="A2615" s="26" t="n">
        <v>45383</v>
      </c>
      <c r="B2615" s="14" t="inlineStr">
        <is>
          <t>NB-0026</t>
        </is>
      </c>
      <c r="C2615" s="14" t="n">
        <v>82</v>
      </c>
      <c r="D2615" s="14">
        <f>IF(A2615&gt;LastWeek-364,1,0)</f>
        <v/>
      </c>
      <c r="E2615" s="14">
        <f>C2615^2*D2615</f>
        <v/>
      </c>
    </row>
    <row r="2616">
      <c r="A2616" s="26" t="n">
        <v>45390</v>
      </c>
      <c r="B2616" s="14" t="inlineStr">
        <is>
          <t>NB-0026</t>
        </is>
      </c>
      <c r="C2616" s="14" t="n">
        <v>72</v>
      </c>
      <c r="D2616" s="14">
        <f>IF(A2616&gt;LastWeek-364,1,0)</f>
        <v/>
      </c>
      <c r="E2616" s="14">
        <f>C2616^2*D2616</f>
        <v/>
      </c>
    </row>
    <row r="2617">
      <c r="A2617" s="26" t="n">
        <v>45397</v>
      </c>
      <c r="B2617" s="14" t="inlineStr">
        <is>
          <t>NB-0026</t>
        </is>
      </c>
      <c r="C2617" s="14" t="n">
        <v>98</v>
      </c>
      <c r="D2617" s="14">
        <f>IF(A2617&gt;LastWeek-364,1,0)</f>
        <v/>
      </c>
      <c r="E2617" s="14">
        <f>C2617^2*D2617</f>
        <v/>
      </c>
    </row>
    <row r="2618">
      <c r="A2618" s="26" t="n">
        <v>45404</v>
      </c>
      <c r="B2618" s="14" t="inlineStr">
        <is>
          <t>NB-0026</t>
        </is>
      </c>
      <c r="C2618" s="14" t="n">
        <v>93</v>
      </c>
      <c r="D2618" s="14">
        <f>IF(A2618&gt;LastWeek-364,1,0)</f>
        <v/>
      </c>
      <c r="E2618" s="14">
        <f>C2618^2*D2618</f>
        <v/>
      </c>
    </row>
    <row r="2619">
      <c r="A2619" s="26" t="n">
        <v>45411</v>
      </c>
      <c r="B2619" s="14" t="inlineStr">
        <is>
          <t>NB-0026</t>
        </is>
      </c>
      <c r="C2619" s="14" t="n">
        <v>103</v>
      </c>
      <c r="D2619" s="14">
        <f>IF(A2619&gt;LastWeek-364,1,0)</f>
        <v/>
      </c>
      <c r="E2619" s="14">
        <f>C2619^2*D2619</f>
        <v/>
      </c>
    </row>
    <row r="2620">
      <c r="A2620" s="26" t="n">
        <v>45418</v>
      </c>
      <c r="B2620" s="14" t="inlineStr">
        <is>
          <t>NB-0026</t>
        </is>
      </c>
      <c r="C2620" s="14" t="n">
        <v>97</v>
      </c>
      <c r="D2620" s="14">
        <f>IF(A2620&gt;LastWeek-364,1,0)</f>
        <v/>
      </c>
      <c r="E2620" s="14">
        <f>C2620^2*D2620</f>
        <v/>
      </c>
    </row>
    <row r="2621">
      <c r="A2621" s="26" t="n">
        <v>45425</v>
      </c>
      <c r="B2621" s="14" t="inlineStr">
        <is>
          <t>NB-0026</t>
        </is>
      </c>
      <c r="C2621" s="14" t="n">
        <v>102</v>
      </c>
      <c r="D2621" s="14">
        <f>IF(A2621&gt;LastWeek-364,1,0)</f>
        <v/>
      </c>
      <c r="E2621" s="14">
        <f>C2621^2*D2621</f>
        <v/>
      </c>
    </row>
    <row r="2622">
      <c r="A2622" s="26" t="n">
        <v>45432</v>
      </c>
      <c r="B2622" s="14" t="inlineStr">
        <is>
          <t>NB-0026</t>
        </is>
      </c>
      <c r="C2622" s="14" t="n">
        <v>77</v>
      </c>
      <c r="D2622" s="14">
        <f>IF(A2622&gt;LastWeek-364,1,0)</f>
        <v/>
      </c>
      <c r="E2622" s="14">
        <f>C2622^2*D2622</f>
        <v/>
      </c>
    </row>
    <row r="2623">
      <c r="A2623" s="26" t="n">
        <v>45439</v>
      </c>
      <c r="B2623" s="14" t="inlineStr">
        <is>
          <t>NB-0026</t>
        </is>
      </c>
      <c r="C2623" s="14" t="n">
        <v>81</v>
      </c>
      <c r="D2623" s="14">
        <f>IF(A2623&gt;LastWeek-364,1,0)</f>
        <v/>
      </c>
      <c r="E2623" s="14">
        <f>C2623^2*D2623</f>
        <v/>
      </c>
    </row>
    <row r="2624">
      <c r="A2624" s="26" t="n">
        <v>45446</v>
      </c>
      <c r="B2624" s="14" t="inlineStr">
        <is>
          <t>NB-0026</t>
        </is>
      </c>
      <c r="C2624" s="14" t="n">
        <v>83</v>
      </c>
      <c r="D2624" s="14">
        <f>IF(A2624&gt;LastWeek-364,1,0)</f>
        <v/>
      </c>
      <c r="E2624" s="14">
        <f>C2624^2*D2624</f>
        <v/>
      </c>
    </row>
    <row r="2625">
      <c r="A2625" s="26" t="n">
        <v>45453</v>
      </c>
      <c r="B2625" s="14" t="inlineStr">
        <is>
          <t>NB-0026</t>
        </is>
      </c>
      <c r="C2625" s="14" t="n">
        <v>74</v>
      </c>
      <c r="D2625" s="14">
        <f>IF(A2625&gt;LastWeek-364,1,0)</f>
        <v/>
      </c>
      <c r="E2625" s="14">
        <f>C2625^2*D2625</f>
        <v/>
      </c>
    </row>
    <row r="2626">
      <c r="A2626" s="26" t="n">
        <v>45460</v>
      </c>
      <c r="B2626" s="14" t="inlineStr">
        <is>
          <t>NB-0026</t>
        </is>
      </c>
      <c r="C2626" s="14" t="n">
        <v>63</v>
      </c>
      <c r="D2626" s="14">
        <f>IF(A2626&gt;LastWeek-364,1,0)</f>
        <v/>
      </c>
      <c r="E2626" s="14">
        <f>C2626^2*D2626</f>
        <v/>
      </c>
    </row>
    <row r="2627">
      <c r="A2627" s="26" t="n">
        <v>45467</v>
      </c>
      <c r="B2627" s="14" t="inlineStr">
        <is>
          <t>NB-0026</t>
        </is>
      </c>
      <c r="C2627" s="14" t="n">
        <v>64</v>
      </c>
      <c r="D2627" s="14">
        <f>IF(A2627&gt;LastWeek-364,1,0)</f>
        <v/>
      </c>
      <c r="E2627" s="14">
        <f>C2627^2*D2627</f>
        <v/>
      </c>
    </row>
    <row r="2628">
      <c r="A2628" s="26" t="n">
        <v>45474</v>
      </c>
      <c r="B2628" s="14" t="inlineStr">
        <is>
          <t>NB-0026</t>
        </is>
      </c>
      <c r="C2628" s="14" t="n">
        <v>55</v>
      </c>
      <c r="D2628" s="14">
        <f>IF(A2628&gt;LastWeek-364,1,0)</f>
        <v/>
      </c>
      <c r="E2628" s="14">
        <f>C2628^2*D2628</f>
        <v/>
      </c>
    </row>
    <row r="2629">
      <c r="A2629" s="26" t="n">
        <v>45481</v>
      </c>
      <c r="B2629" s="14" t="inlineStr">
        <is>
          <t>NB-0026</t>
        </is>
      </c>
      <c r="C2629" s="14" t="n">
        <v>77</v>
      </c>
      <c r="D2629" s="14">
        <f>IF(A2629&gt;LastWeek-364,1,0)</f>
        <v/>
      </c>
      <c r="E2629" s="14">
        <f>C2629^2*D2629</f>
        <v/>
      </c>
    </row>
    <row r="2630">
      <c r="A2630" s="26" t="n">
        <v>45488</v>
      </c>
      <c r="B2630" s="14" t="inlineStr">
        <is>
          <t>NB-0026</t>
        </is>
      </c>
      <c r="C2630" s="14" t="n">
        <v>68</v>
      </c>
      <c r="D2630" s="14">
        <f>IF(A2630&gt;LastWeek-364,1,0)</f>
        <v/>
      </c>
      <c r="E2630" s="14">
        <f>C2630^2*D2630</f>
        <v/>
      </c>
    </row>
    <row r="2631">
      <c r="A2631" s="26" t="n">
        <v>45495</v>
      </c>
      <c r="B2631" s="14" t="inlineStr">
        <is>
          <t>NB-0026</t>
        </is>
      </c>
      <c r="C2631" s="14" t="n">
        <v>58</v>
      </c>
      <c r="D2631" s="14">
        <f>IF(A2631&gt;LastWeek-364,1,0)</f>
        <v/>
      </c>
      <c r="E2631" s="14">
        <f>C2631^2*D2631</f>
        <v/>
      </c>
    </row>
    <row r="2632">
      <c r="A2632" s="26" t="n">
        <v>45502</v>
      </c>
      <c r="B2632" s="14" t="inlineStr">
        <is>
          <t>NB-0026</t>
        </is>
      </c>
      <c r="C2632" s="14" t="n">
        <v>59</v>
      </c>
      <c r="D2632" s="14">
        <f>IF(A2632&gt;LastWeek-364,1,0)</f>
        <v/>
      </c>
      <c r="E2632" s="14">
        <f>C2632^2*D2632</f>
        <v/>
      </c>
    </row>
    <row r="2633">
      <c r="A2633" s="26" t="n">
        <v>45509</v>
      </c>
      <c r="B2633" s="14" t="inlineStr">
        <is>
          <t>NB-0026</t>
        </is>
      </c>
      <c r="C2633" s="14" t="n">
        <v>50</v>
      </c>
      <c r="D2633" s="14">
        <f>IF(A2633&gt;LastWeek-364,1,0)</f>
        <v/>
      </c>
      <c r="E2633" s="14">
        <f>C2633^2*D2633</f>
        <v/>
      </c>
    </row>
    <row r="2634">
      <c r="A2634" s="26" t="n">
        <v>45516</v>
      </c>
      <c r="B2634" s="14" t="inlineStr">
        <is>
          <t>NB-0026</t>
        </is>
      </c>
      <c r="C2634" s="14" t="n">
        <v>94</v>
      </c>
      <c r="D2634" s="14">
        <f>IF(A2634&gt;LastWeek-364,1,0)</f>
        <v/>
      </c>
      <c r="E2634" s="14">
        <f>C2634^2*D2634</f>
        <v/>
      </c>
    </row>
    <row r="2635">
      <c r="A2635" s="26" t="n">
        <v>45523</v>
      </c>
      <c r="B2635" s="14" t="inlineStr">
        <is>
          <t>NB-0026</t>
        </is>
      </c>
      <c r="C2635" s="14" t="n">
        <v>78</v>
      </c>
      <c r="D2635" s="14">
        <f>IF(A2635&gt;LastWeek-364,1,0)</f>
        <v/>
      </c>
      <c r="E2635" s="14">
        <f>C2635^2*D2635</f>
        <v/>
      </c>
    </row>
    <row r="2636">
      <c r="A2636" s="26" t="n">
        <v>45530</v>
      </c>
      <c r="B2636" s="14" t="inlineStr">
        <is>
          <t>NB-0026</t>
        </is>
      </c>
      <c r="C2636" s="14" t="n">
        <v>61</v>
      </c>
      <c r="D2636" s="14">
        <f>IF(A2636&gt;LastWeek-364,1,0)</f>
        <v/>
      </c>
      <c r="E2636" s="14">
        <f>C2636^2*D2636</f>
        <v/>
      </c>
    </row>
    <row r="2637">
      <c r="A2637" s="26" t="n">
        <v>45537</v>
      </c>
      <c r="B2637" s="14" t="inlineStr">
        <is>
          <t>NB-0026</t>
        </is>
      </c>
      <c r="C2637" s="14" t="n">
        <v>99</v>
      </c>
      <c r="D2637" s="14">
        <f>IF(A2637&gt;LastWeek-364,1,0)</f>
        <v/>
      </c>
      <c r="E2637" s="14">
        <f>C2637^2*D2637</f>
        <v/>
      </c>
    </row>
    <row r="2638">
      <c r="A2638" s="26" t="n">
        <v>45544</v>
      </c>
      <c r="B2638" s="14" t="inlineStr">
        <is>
          <t>NB-0026</t>
        </is>
      </c>
      <c r="C2638" s="14" t="n">
        <v>72</v>
      </c>
      <c r="D2638" s="14">
        <f>IF(A2638&gt;LastWeek-364,1,0)</f>
        <v/>
      </c>
      <c r="E2638" s="14">
        <f>C2638^2*D2638</f>
        <v/>
      </c>
    </row>
    <row r="2639">
      <c r="A2639" s="26" t="n">
        <v>45551</v>
      </c>
      <c r="B2639" s="14" t="inlineStr">
        <is>
          <t>NB-0026</t>
        </is>
      </c>
      <c r="C2639" s="14" t="n">
        <v>56</v>
      </c>
      <c r="D2639" s="14">
        <f>IF(A2639&gt;LastWeek-364,1,0)</f>
        <v/>
      </c>
      <c r="E2639" s="14">
        <f>C2639^2*D2639</f>
        <v/>
      </c>
    </row>
    <row r="2640">
      <c r="A2640" s="26" t="n">
        <v>45558</v>
      </c>
      <c r="B2640" s="14" t="inlineStr">
        <is>
          <t>NB-0026</t>
        </is>
      </c>
      <c r="C2640" s="14" t="n">
        <v>115</v>
      </c>
      <c r="D2640" s="14">
        <f>IF(A2640&gt;LastWeek-364,1,0)</f>
        <v/>
      </c>
      <c r="E2640" s="14">
        <f>C2640^2*D2640</f>
        <v/>
      </c>
    </row>
    <row r="2641">
      <c r="A2641" s="26" t="n">
        <v>45565</v>
      </c>
      <c r="B2641" s="14" t="inlineStr">
        <is>
          <t>NB-0026</t>
        </is>
      </c>
      <c r="C2641" s="14" t="n">
        <v>81</v>
      </c>
      <c r="D2641" s="14">
        <f>IF(A2641&gt;LastWeek-364,1,0)</f>
        <v/>
      </c>
      <c r="E2641" s="14">
        <f>C2641^2*D2641</f>
        <v/>
      </c>
    </row>
    <row r="2642">
      <c r="A2642" s="26" t="n">
        <v>45572</v>
      </c>
      <c r="B2642" s="14" t="inlineStr">
        <is>
          <t>NB-0026</t>
        </is>
      </c>
      <c r="C2642" s="14" t="n">
        <v>87</v>
      </c>
      <c r="D2642" s="14">
        <f>IF(A2642&gt;LastWeek-364,1,0)</f>
        <v/>
      </c>
      <c r="E2642" s="14">
        <f>C2642^2*D2642</f>
        <v/>
      </c>
    </row>
    <row r="2643">
      <c r="A2643" s="26" t="n">
        <v>45579</v>
      </c>
      <c r="B2643" s="14" t="inlineStr">
        <is>
          <t>NB-0026</t>
        </is>
      </c>
      <c r="C2643" s="14" t="n">
        <v>102</v>
      </c>
      <c r="D2643" s="14">
        <f>IF(A2643&gt;LastWeek-364,1,0)</f>
        <v/>
      </c>
      <c r="E2643" s="14">
        <f>C2643^2*D2643</f>
        <v/>
      </c>
    </row>
    <row r="2644">
      <c r="A2644" s="26" t="n">
        <v>45586</v>
      </c>
      <c r="B2644" s="14" t="inlineStr">
        <is>
          <t>NB-0026</t>
        </is>
      </c>
      <c r="C2644" s="14" t="n">
        <v>136</v>
      </c>
      <c r="D2644" s="14">
        <f>IF(A2644&gt;LastWeek-364,1,0)</f>
        <v/>
      </c>
      <c r="E2644" s="14">
        <f>C2644^2*D2644</f>
        <v/>
      </c>
    </row>
    <row r="2645">
      <c r="A2645" s="26" t="n">
        <v>45593</v>
      </c>
      <c r="B2645" s="14" t="inlineStr">
        <is>
          <t>NB-0026</t>
        </is>
      </c>
      <c r="C2645" s="14" t="n">
        <v>108</v>
      </c>
      <c r="D2645" s="14">
        <f>IF(A2645&gt;LastWeek-364,1,0)</f>
        <v/>
      </c>
      <c r="E2645" s="14">
        <f>C2645^2*D2645</f>
        <v/>
      </c>
    </row>
    <row r="2646">
      <c r="A2646" s="26" t="n">
        <v>45600</v>
      </c>
      <c r="B2646" s="14" t="inlineStr">
        <is>
          <t>NB-0026</t>
        </is>
      </c>
      <c r="C2646" s="14" t="n">
        <v>76</v>
      </c>
      <c r="D2646" s="14">
        <f>IF(A2646&gt;LastWeek-364,1,0)</f>
        <v/>
      </c>
      <c r="E2646" s="14">
        <f>C2646^2*D2646</f>
        <v/>
      </c>
    </row>
    <row r="2647">
      <c r="A2647" s="26" t="n">
        <v>45607</v>
      </c>
      <c r="B2647" s="14" t="inlineStr">
        <is>
          <t>NB-0026</t>
        </is>
      </c>
      <c r="C2647" s="14" t="n">
        <v>130</v>
      </c>
      <c r="D2647" s="14">
        <f>IF(A2647&gt;LastWeek-364,1,0)</f>
        <v/>
      </c>
      <c r="E2647" s="14">
        <f>C2647^2*D2647</f>
        <v/>
      </c>
    </row>
    <row r="2648">
      <c r="A2648" s="26" t="n">
        <v>45614</v>
      </c>
      <c r="B2648" s="14" t="inlineStr">
        <is>
          <t>NB-0026</t>
        </is>
      </c>
      <c r="C2648" s="14" t="n">
        <v>102</v>
      </c>
      <c r="D2648" s="14">
        <f>IF(A2648&gt;LastWeek-364,1,0)</f>
        <v/>
      </c>
      <c r="E2648" s="14">
        <f>C2648^2*D2648</f>
        <v/>
      </c>
    </row>
    <row r="2649">
      <c r="A2649" s="26" t="n">
        <v>45621</v>
      </c>
      <c r="B2649" s="14" t="inlineStr">
        <is>
          <t>NB-0026</t>
        </is>
      </c>
      <c r="C2649" s="14" t="n">
        <v>178</v>
      </c>
      <c r="D2649" s="14">
        <f>IF(A2649&gt;LastWeek-364,1,0)</f>
        <v/>
      </c>
      <c r="E2649" s="14">
        <f>C2649^2*D2649</f>
        <v/>
      </c>
    </row>
    <row r="2650">
      <c r="A2650" s="26" t="n">
        <v>45628</v>
      </c>
      <c r="B2650" s="14" t="inlineStr">
        <is>
          <t>NB-0026</t>
        </is>
      </c>
      <c r="C2650" s="14" t="n">
        <v>122</v>
      </c>
      <c r="D2650" s="14">
        <f>IF(A2650&gt;LastWeek-364,1,0)</f>
        <v/>
      </c>
      <c r="E2650" s="14">
        <f>C2650^2*D2650</f>
        <v/>
      </c>
    </row>
    <row r="2651">
      <c r="A2651" s="26" t="n">
        <v>45635</v>
      </c>
      <c r="B2651" s="14" t="inlineStr">
        <is>
          <t>NB-0026</t>
        </is>
      </c>
      <c r="C2651" s="14" t="n">
        <v>52</v>
      </c>
      <c r="D2651" s="14">
        <f>IF(A2651&gt;LastWeek-364,1,0)</f>
        <v/>
      </c>
      <c r="E2651" s="14">
        <f>C2651^2*D2651</f>
        <v/>
      </c>
    </row>
    <row r="2652">
      <c r="A2652" s="26" t="n">
        <v>45642</v>
      </c>
      <c r="B2652" s="14" t="inlineStr">
        <is>
          <t>NB-0026</t>
        </is>
      </c>
      <c r="C2652" s="14" t="n">
        <v>137</v>
      </c>
      <c r="D2652" s="14">
        <f>IF(A2652&gt;LastWeek-364,1,0)</f>
        <v/>
      </c>
      <c r="E2652" s="14">
        <f>C2652^2*D2652</f>
        <v/>
      </c>
    </row>
    <row r="2653">
      <c r="A2653" s="26" t="n">
        <v>45649</v>
      </c>
      <c r="B2653" s="14" t="inlineStr">
        <is>
          <t>NB-0026</t>
        </is>
      </c>
      <c r="C2653" s="14" t="n">
        <v>190</v>
      </c>
      <c r="D2653" s="14">
        <f>IF(A2653&gt;LastWeek-364,1,0)</f>
        <v/>
      </c>
      <c r="E2653" s="14">
        <f>C2653^2*D2653</f>
        <v/>
      </c>
    </row>
    <row r="2654">
      <c r="A2654" s="26" t="n">
        <v>45656</v>
      </c>
      <c r="B2654" s="14" t="inlineStr">
        <is>
          <t>NB-0026</t>
        </is>
      </c>
      <c r="C2654" s="14" t="n">
        <v>179</v>
      </c>
      <c r="D2654" s="14">
        <f>IF(A2654&gt;LastWeek-364,1,0)</f>
        <v/>
      </c>
      <c r="E2654" s="14">
        <f>C2654^2*D2654</f>
        <v/>
      </c>
    </row>
    <row r="2655">
      <c r="A2655" s="26" t="n">
        <v>45663</v>
      </c>
      <c r="B2655" s="14" t="inlineStr">
        <is>
          <t>NB-0026</t>
        </is>
      </c>
      <c r="C2655" s="14" t="n">
        <v>189</v>
      </c>
      <c r="D2655" s="14">
        <f>IF(A2655&gt;LastWeek-364,1,0)</f>
        <v/>
      </c>
      <c r="E2655" s="14">
        <f>C2655^2*D2655</f>
        <v/>
      </c>
    </row>
    <row r="2656">
      <c r="A2656" s="26" t="n">
        <v>45670</v>
      </c>
      <c r="B2656" s="14" t="inlineStr">
        <is>
          <t>NB-0026</t>
        </is>
      </c>
      <c r="C2656" s="14" t="n">
        <v>94</v>
      </c>
      <c r="D2656" s="14">
        <f>IF(A2656&gt;LastWeek-364,1,0)</f>
        <v/>
      </c>
      <c r="E2656" s="14">
        <f>C2656^2*D2656</f>
        <v/>
      </c>
    </row>
    <row r="2657">
      <c r="A2657" s="26" t="n">
        <v>45677</v>
      </c>
      <c r="B2657" s="14" t="inlineStr">
        <is>
          <t>NB-0026</t>
        </is>
      </c>
      <c r="C2657" s="14" t="n">
        <v>158</v>
      </c>
      <c r="D2657" s="14">
        <f>IF(A2657&gt;LastWeek-364,1,0)</f>
        <v/>
      </c>
      <c r="E2657" s="14">
        <f>C2657^2*D2657</f>
        <v/>
      </c>
    </row>
    <row r="2658">
      <c r="A2658" s="26" t="n">
        <v>45684</v>
      </c>
      <c r="B2658" s="14" t="inlineStr">
        <is>
          <t>NB-0026</t>
        </is>
      </c>
      <c r="C2658" s="14" t="n">
        <v>103</v>
      </c>
      <c r="D2658" s="14">
        <f>IF(A2658&gt;LastWeek-364,1,0)</f>
        <v/>
      </c>
      <c r="E2658" s="14">
        <f>C2658^2*D2658</f>
        <v/>
      </c>
    </row>
    <row r="2659">
      <c r="A2659" s="26" t="n">
        <v>45691</v>
      </c>
      <c r="B2659" s="14" t="inlineStr">
        <is>
          <t>NB-0026</t>
        </is>
      </c>
      <c r="C2659" s="14" t="n">
        <v>133</v>
      </c>
      <c r="D2659" s="14">
        <f>IF(A2659&gt;LastWeek-364,1,0)</f>
        <v/>
      </c>
      <c r="E2659" s="14">
        <f>C2659^2*D2659</f>
        <v/>
      </c>
    </row>
    <row r="2660">
      <c r="A2660" s="26" t="n">
        <v>45698</v>
      </c>
      <c r="B2660" s="14" t="inlineStr">
        <is>
          <t>NB-0026</t>
        </is>
      </c>
      <c r="C2660" s="14" t="n">
        <v>83</v>
      </c>
      <c r="D2660" s="14">
        <f>IF(A2660&gt;LastWeek-364,1,0)</f>
        <v/>
      </c>
      <c r="E2660" s="14">
        <f>C2660^2*D2660</f>
        <v/>
      </c>
    </row>
    <row r="2661">
      <c r="A2661" s="26" t="n">
        <v>45705</v>
      </c>
      <c r="B2661" s="14" t="inlineStr">
        <is>
          <t>NB-0026</t>
        </is>
      </c>
      <c r="C2661" s="14" t="n">
        <v>102</v>
      </c>
      <c r="D2661" s="14">
        <f>IF(A2661&gt;LastWeek-364,1,0)</f>
        <v/>
      </c>
      <c r="E2661" s="14">
        <f>C2661^2*D2661</f>
        <v/>
      </c>
    </row>
    <row r="2662">
      <c r="A2662" s="26" t="n">
        <v>45712</v>
      </c>
      <c r="B2662" s="14" t="inlineStr">
        <is>
          <t>NB-0026</t>
        </is>
      </c>
      <c r="C2662" s="14" t="n">
        <v>99</v>
      </c>
      <c r="D2662" s="14">
        <f>IF(A2662&gt;LastWeek-364,1,0)</f>
        <v/>
      </c>
      <c r="E2662" s="14">
        <f>C2662^2*D2662</f>
        <v/>
      </c>
    </row>
    <row r="2663">
      <c r="A2663" s="26" t="n">
        <v>45719</v>
      </c>
      <c r="B2663" s="14" t="inlineStr">
        <is>
          <t>NB-0026</t>
        </is>
      </c>
      <c r="C2663" s="14" t="n">
        <v>146</v>
      </c>
      <c r="D2663" s="14">
        <f>IF(A2663&gt;LastWeek-364,1,0)</f>
        <v/>
      </c>
      <c r="E2663" s="14">
        <f>C2663^2*D2663</f>
        <v/>
      </c>
    </row>
    <row r="2664">
      <c r="A2664" s="26" t="n">
        <v>45726</v>
      </c>
      <c r="B2664" s="14" t="inlineStr">
        <is>
          <t>NB-0026</t>
        </is>
      </c>
      <c r="C2664" s="14" t="n">
        <v>140</v>
      </c>
      <c r="D2664" s="14">
        <f>IF(A2664&gt;LastWeek-364,1,0)</f>
        <v/>
      </c>
      <c r="E2664" s="14">
        <f>C2664^2*D2664</f>
        <v/>
      </c>
    </row>
    <row r="2665">
      <c r="A2665" s="26" t="n">
        <v>45733</v>
      </c>
      <c r="B2665" s="14" t="inlineStr">
        <is>
          <t>NB-0026</t>
        </is>
      </c>
      <c r="C2665" s="14" t="n">
        <v>121</v>
      </c>
      <c r="D2665" s="14">
        <f>IF(A2665&gt;LastWeek-364,1,0)</f>
        <v/>
      </c>
      <c r="E2665" s="14">
        <f>C2665^2*D2665</f>
        <v/>
      </c>
    </row>
    <row r="2666">
      <c r="A2666" s="26" t="n">
        <v>45740</v>
      </c>
      <c r="B2666" s="14" t="inlineStr">
        <is>
          <t>NB-0026</t>
        </is>
      </c>
      <c r="C2666" s="14" t="n">
        <v>71</v>
      </c>
      <c r="D2666" s="14">
        <f>IF(A2666&gt;LastWeek-364,1,0)</f>
        <v/>
      </c>
      <c r="E2666" s="14">
        <f>C2666^2*D2666</f>
        <v/>
      </c>
    </row>
    <row r="2667">
      <c r="A2667" s="26" t="n">
        <v>45747</v>
      </c>
      <c r="B2667" s="14" t="inlineStr">
        <is>
          <t>NB-0026</t>
        </is>
      </c>
      <c r="C2667" s="14" t="n">
        <v>98</v>
      </c>
      <c r="D2667" s="14">
        <f>IF(A2667&gt;LastWeek-364,1,0)</f>
        <v/>
      </c>
      <c r="E2667" s="14">
        <f>C2667^2*D2667</f>
        <v/>
      </c>
    </row>
    <row r="2668">
      <c r="A2668" s="26" t="n">
        <v>45754</v>
      </c>
      <c r="B2668" s="14" t="inlineStr">
        <is>
          <t>NB-0026</t>
        </is>
      </c>
      <c r="C2668" s="14" t="n">
        <v>84</v>
      </c>
      <c r="D2668" s="14">
        <f>IF(A2668&gt;LastWeek-364,1,0)</f>
        <v/>
      </c>
      <c r="E2668" s="14">
        <f>C2668^2*D2668</f>
        <v/>
      </c>
    </row>
    <row r="2669">
      <c r="A2669" s="26" t="n">
        <v>45761</v>
      </c>
      <c r="B2669" s="14" t="inlineStr">
        <is>
          <t>NB-0026</t>
        </is>
      </c>
      <c r="C2669" s="14" t="n">
        <v>124</v>
      </c>
      <c r="D2669" s="14">
        <f>IF(A2669&gt;LastWeek-364,1,0)</f>
        <v/>
      </c>
      <c r="E2669" s="14">
        <f>C2669^2*D2669</f>
        <v/>
      </c>
    </row>
    <row r="2670">
      <c r="A2670" s="26" t="n">
        <v>45768</v>
      </c>
      <c r="B2670" s="14" t="inlineStr">
        <is>
          <t>NB-0026</t>
        </is>
      </c>
      <c r="C2670" s="14" t="n">
        <v>128</v>
      </c>
      <c r="D2670" s="14">
        <f>IF(A2670&gt;LastWeek-364,1,0)</f>
        <v/>
      </c>
      <c r="E2670" s="14">
        <f>C2670^2*D2670</f>
        <v/>
      </c>
    </row>
    <row r="2671">
      <c r="A2671" s="26" t="n">
        <v>45775</v>
      </c>
      <c r="B2671" s="14" t="inlineStr">
        <is>
          <t>NB-0026</t>
        </is>
      </c>
      <c r="C2671" s="14" t="n">
        <v>121</v>
      </c>
      <c r="D2671" s="14">
        <f>IF(A2671&gt;LastWeek-364,1,0)</f>
        <v/>
      </c>
      <c r="E2671" s="14">
        <f>C2671^2*D2671</f>
        <v/>
      </c>
    </row>
    <row r="2672">
      <c r="A2672" s="26" t="n">
        <v>45782</v>
      </c>
      <c r="B2672" s="14" t="inlineStr">
        <is>
          <t>NB-0026</t>
        </is>
      </c>
      <c r="C2672" s="14" t="n">
        <v>74</v>
      </c>
      <c r="D2672" s="14">
        <f>IF(A2672&gt;LastWeek-364,1,0)</f>
        <v/>
      </c>
      <c r="E2672" s="14">
        <f>C2672^2*D2672</f>
        <v/>
      </c>
    </row>
    <row r="2673">
      <c r="A2673" s="26" t="n">
        <v>45789</v>
      </c>
      <c r="B2673" s="14" t="inlineStr">
        <is>
          <t>NB-0026</t>
        </is>
      </c>
      <c r="C2673" s="14" t="n">
        <v>26</v>
      </c>
      <c r="D2673" s="14">
        <f>IF(A2673&gt;LastWeek-364,1,0)</f>
        <v/>
      </c>
      <c r="E2673" s="14">
        <f>C2673^2*D2673</f>
        <v/>
      </c>
    </row>
    <row r="2674">
      <c r="A2674" s="26" t="n">
        <v>45796</v>
      </c>
      <c r="B2674" s="14" t="inlineStr">
        <is>
          <t>NB-0026</t>
        </is>
      </c>
      <c r="C2674" s="14" t="n">
        <v>47</v>
      </c>
      <c r="D2674" s="14">
        <f>IF(A2674&gt;LastWeek-364,1,0)</f>
        <v/>
      </c>
      <c r="E2674" s="14">
        <f>C2674^2*D2674</f>
        <v/>
      </c>
    </row>
    <row r="2675">
      <c r="A2675" s="26" t="n">
        <v>45803</v>
      </c>
      <c r="B2675" s="14" t="inlineStr">
        <is>
          <t>NB-0026</t>
        </is>
      </c>
      <c r="C2675" s="14" t="n">
        <v>116</v>
      </c>
      <c r="D2675" s="14">
        <f>IF(A2675&gt;LastWeek-364,1,0)</f>
        <v/>
      </c>
      <c r="E2675" s="14">
        <f>C2675^2*D2675</f>
        <v/>
      </c>
    </row>
    <row r="2676">
      <c r="A2676" s="26" t="n">
        <v>45810</v>
      </c>
      <c r="B2676" s="14" t="inlineStr">
        <is>
          <t>NB-0026</t>
        </is>
      </c>
      <c r="C2676" s="14" t="n">
        <v>74</v>
      </c>
      <c r="D2676" s="14">
        <f>IF(A2676&gt;LastWeek-364,1,0)</f>
        <v/>
      </c>
      <c r="E2676" s="14">
        <f>C2676^2*D2676</f>
        <v/>
      </c>
    </row>
    <row r="2677">
      <c r="A2677" s="26" t="n">
        <v>45817</v>
      </c>
      <c r="B2677" s="14" t="inlineStr">
        <is>
          <t>NB-0026</t>
        </is>
      </c>
      <c r="C2677" s="14" t="n">
        <v>65</v>
      </c>
      <c r="D2677" s="14">
        <f>IF(A2677&gt;LastWeek-364,1,0)</f>
        <v/>
      </c>
      <c r="E2677" s="14">
        <f>C2677^2*D2677</f>
        <v/>
      </c>
    </row>
    <row r="2678">
      <c r="A2678" s="26" t="n">
        <v>45824</v>
      </c>
      <c r="B2678" s="14" t="inlineStr">
        <is>
          <t>NB-0026</t>
        </is>
      </c>
      <c r="C2678" s="14" t="n">
        <v>114</v>
      </c>
      <c r="D2678" s="14">
        <f>IF(A2678&gt;LastWeek-364,1,0)</f>
        <v/>
      </c>
      <c r="E2678" s="14">
        <f>C2678^2*D2678</f>
        <v/>
      </c>
    </row>
    <row r="2679">
      <c r="A2679" s="26" t="n">
        <v>45831</v>
      </c>
      <c r="B2679" s="14" t="inlineStr">
        <is>
          <t>NB-0026</t>
        </is>
      </c>
      <c r="C2679" s="14" t="n">
        <v>105</v>
      </c>
      <c r="D2679" s="14">
        <f>IF(A2679&gt;LastWeek-364,1,0)</f>
        <v/>
      </c>
      <c r="E2679" s="14">
        <f>C2679^2*D2679</f>
        <v/>
      </c>
    </row>
    <row r="2680">
      <c r="A2680" s="26" t="n">
        <v>45838</v>
      </c>
      <c r="B2680" s="14" t="inlineStr">
        <is>
          <t>NB-0026</t>
        </is>
      </c>
      <c r="C2680" s="14" t="n">
        <v>79</v>
      </c>
      <c r="D2680" s="14">
        <f>IF(A2680&gt;LastWeek-364,1,0)</f>
        <v/>
      </c>
      <c r="E2680" s="14">
        <f>C2680^2*D2680</f>
        <v/>
      </c>
    </row>
    <row r="2681">
      <c r="A2681" s="26" t="n">
        <v>45845</v>
      </c>
      <c r="B2681" s="14" t="inlineStr">
        <is>
          <t>NB-0026</t>
        </is>
      </c>
      <c r="C2681" s="14" t="n">
        <v>72</v>
      </c>
      <c r="D2681" s="14">
        <f>IF(A2681&gt;LastWeek-364,1,0)</f>
        <v/>
      </c>
      <c r="E2681" s="14">
        <f>C2681^2*D2681</f>
        <v/>
      </c>
    </row>
    <row r="2682">
      <c r="A2682" s="26" t="n">
        <v>45852</v>
      </c>
      <c r="B2682" s="14" t="inlineStr">
        <is>
          <t>NB-0026</t>
        </is>
      </c>
      <c r="C2682" s="14" t="n">
        <v>76</v>
      </c>
      <c r="D2682" s="14">
        <f>IF(A2682&gt;LastWeek-364,1,0)</f>
        <v/>
      </c>
      <c r="E2682" s="14">
        <f>C2682^2*D2682</f>
        <v/>
      </c>
    </row>
    <row r="2683">
      <c r="A2683" s="26" t="n">
        <v>45859</v>
      </c>
      <c r="B2683" s="14" t="inlineStr">
        <is>
          <t>NB-0026</t>
        </is>
      </c>
      <c r="C2683" s="14" t="n">
        <v>84</v>
      </c>
      <c r="D2683" s="14">
        <f>IF(A2683&gt;LastWeek-364,1,0)</f>
        <v/>
      </c>
      <c r="E2683" s="14">
        <f>C2683^2*D2683</f>
        <v/>
      </c>
    </row>
    <row r="2684">
      <c r="A2684" s="26" t="n">
        <v>45866</v>
      </c>
      <c r="B2684" s="14" t="inlineStr">
        <is>
          <t>NB-0026</t>
        </is>
      </c>
      <c r="C2684" s="14" t="n">
        <v>114</v>
      </c>
      <c r="D2684" s="14">
        <f>IF(A2684&gt;LastWeek-364,1,0)</f>
        <v/>
      </c>
      <c r="E2684" s="14">
        <f>C2684^2*D2684</f>
        <v/>
      </c>
    </row>
    <row r="2685">
      <c r="A2685" s="26" t="n">
        <v>45873</v>
      </c>
      <c r="B2685" s="14" t="inlineStr">
        <is>
          <t>NB-0026</t>
        </is>
      </c>
      <c r="C2685" s="14" t="n">
        <v>91</v>
      </c>
      <c r="D2685" s="14">
        <f>IF(A2685&gt;LastWeek-364,1,0)</f>
        <v/>
      </c>
      <c r="E2685" s="14">
        <f>C2685^2*D2685</f>
        <v/>
      </c>
    </row>
    <row r="2686">
      <c r="A2686" s="26" t="n">
        <v>45880</v>
      </c>
      <c r="B2686" s="14" t="inlineStr">
        <is>
          <t>NB-0026</t>
        </is>
      </c>
      <c r="C2686" s="14" t="n">
        <v>100</v>
      </c>
      <c r="D2686" s="14">
        <f>IF(A2686&gt;LastWeek-364,1,0)</f>
        <v/>
      </c>
      <c r="E2686" s="14">
        <f>C2686^2*D2686</f>
        <v/>
      </c>
    </row>
    <row r="2687">
      <c r="A2687" s="26" t="n">
        <v>45887</v>
      </c>
      <c r="B2687" s="14" t="inlineStr">
        <is>
          <t>NB-0026</t>
        </is>
      </c>
      <c r="C2687" s="14" t="n">
        <v>113</v>
      </c>
      <c r="D2687" s="14">
        <f>IF(A2687&gt;LastWeek-364,1,0)</f>
        <v/>
      </c>
      <c r="E2687" s="14">
        <f>C2687^2*D2687</f>
        <v/>
      </c>
    </row>
    <row r="2688">
      <c r="A2688" s="26" t="n">
        <v>45894</v>
      </c>
      <c r="B2688" s="14" t="inlineStr">
        <is>
          <t>NB-0026</t>
        </is>
      </c>
      <c r="C2688" s="14" t="n">
        <v>62</v>
      </c>
      <c r="D2688" s="14">
        <f>IF(A2688&gt;LastWeek-364,1,0)</f>
        <v/>
      </c>
      <c r="E2688" s="14">
        <f>C2688^2*D2688</f>
        <v/>
      </c>
    </row>
    <row r="2689">
      <c r="A2689" s="26" t="n">
        <v>45901</v>
      </c>
      <c r="B2689" s="14" t="inlineStr">
        <is>
          <t>NB-0026</t>
        </is>
      </c>
      <c r="C2689" s="14" t="n">
        <v>111</v>
      </c>
      <c r="D2689" s="14">
        <f>IF(A2689&gt;LastWeek-364,1,0)</f>
        <v/>
      </c>
      <c r="E2689" s="14">
        <f>C2689^2*D2689</f>
        <v/>
      </c>
    </row>
    <row r="2690">
      <c r="A2690" s="26" t="n">
        <v>45908</v>
      </c>
      <c r="B2690" s="14" t="inlineStr">
        <is>
          <t>NB-0026</t>
        </is>
      </c>
      <c r="C2690" s="14" t="n">
        <v>88</v>
      </c>
      <c r="D2690" s="14">
        <f>IF(A2690&gt;LastWeek-364,1,0)</f>
        <v/>
      </c>
      <c r="E2690" s="14">
        <f>C2690^2*D2690</f>
        <v/>
      </c>
    </row>
    <row r="2691">
      <c r="A2691" s="26" t="n">
        <v>45915</v>
      </c>
      <c r="B2691" s="14" t="inlineStr">
        <is>
          <t>NB-0026</t>
        </is>
      </c>
      <c r="C2691" s="14" t="n">
        <v>34</v>
      </c>
      <c r="D2691" s="14">
        <f>IF(A2691&gt;LastWeek-364,1,0)</f>
        <v/>
      </c>
      <c r="E2691" s="14">
        <f>C2691^2*D2691</f>
        <v/>
      </c>
    </row>
    <row r="2692">
      <c r="A2692" s="26" t="n">
        <v>45922</v>
      </c>
      <c r="B2692" s="14" t="inlineStr">
        <is>
          <t>NB-0026</t>
        </is>
      </c>
      <c r="C2692" s="14" t="n">
        <v>46</v>
      </c>
      <c r="D2692" s="14">
        <f>IF(A2692&gt;LastWeek-364,1,0)</f>
        <v/>
      </c>
      <c r="E2692" s="14">
        <f>C2692^2*D2692</f>
        <v/>
      </c>
    </row>
    <row r="2693">
      <c r="A2693" s="26" t="n">
        <v>45929</v>
      </c>
      <c r="B2693" s="14" t="inlineStr">
        <is>
          <t>NB-0026</t>
        </is>
      </c>
      <c r="C2693" s="14" t="n">
        <v>78</v>
      </c>
      <c r="D2693" s="14">
        <f>IF(A2693&gt;LastWeek-364,1,0)</f>
        <v/>
      </c>
      <c r="E2693" s="14">
        <f>C2693^2*D2693</f>
        <v/>
      </c>
    </row>
    <row r="2694">
      <c r="A2694" s="26" t="n">
        <v>45936</v>
      </c>
      <c r="B2694" s="14" t="inlineStr">
        <is>
          <t>NB-0026</t>
        </is>
      </c>
      <c r="C2694" s="14" t="n">
        <v>126</v>
      </c>
      <c r="D2694" s="14">
        <f>IF(A2694&gt;LastWeek-364,1,0)</f>
        <v/>
      </c>
      <c r="E2694" s="14">
        <f>C2694^2*D2694</f>
        <v/>
      </c>
    </row>
    <row r="2695">
      <c r="A2695" s="26" t="n">
        <v>45943</v>
      </c>
      <c r="B2695" s="14" t="inlineStr">
        <is>
          <t>NB-0026</t>
        </is>
      </c>
      <c r="C2695" s="14" t="n">
        <v>118</v>
      </c>
      <c r="D2695" s="14">
        <f>IF(A2695&gt;LastWeek-364,1,0)</f>
        <v/>
      </c>
      <c r="E2695" s="14">
        <f>C2695^2*D2695</f>
        <v/>
      </c>
    </row>
    <row r="2696">
      <c r="A2696" s="26" t="n">
        <v>45950</v>
      </c>
      <c r="B2696" s="14" t="inlineStr">
        <is>
          <t>NB-0026</t>
        </is>
      </c>
      <c r="C2696" s="14" t="n">
        <v>124</v>
      </c>
      <c r="D2696" s="14">
        <f>IF(A2696&gt;LastWeek-364,1,0)</f>
        <v/>
      </c>
      <c r="E2696" s="14">
        <f>C2696^2*D2696</f>
        <v/>
      </c>
    </row>
    <row r="2697">
      <c r="A2697" s="26" t="n">
        <v>45957</v>
      </c>
      <c r="B2697" s="14" t="inlineStr">
        <is>
          <t>NB-0026</t>
        </is>
      </c>
      <c r="C2697" s="14" t="n">
        <v>183</v>
      </c>
      <c r="D2697" s="14">
        <f>IF(A2697&gt;LastWeek-364,1,0)</f>
        <v/>
      </c>
      <c r="E2697" s="14">
        <f>C2697^2*D2697</f>
        <v/>
      </c>
    </row>
    <row r="2698">
      <c r="A2698" s="26" t="n">
        <v>45964</v>
      </c>
      <c r="B2698" s="14" t="inlineStr">
        <is>
          <t>NB-0026</t>
        </is>
      </c>
      <c r="C2698" s="14" t="n">
        <v>84</v>
      </c>
      <c r="D2698" s="14">
        <f>IF(A2698&gt;LastWeek-364,1,0)</f>
        <v/>
      </c>
      <c r="E2698" s="14">
        <f>C2698^2*D2698</f>
        <v/>
      </c>
    </row>
    <row r="2699">
      <c r="A2699" s="26" t="n">
        <v>45971</v>
      </c>
      <c r="B2699" s="14" t="inlineStr">
        <is>
          <t>NB-0026</t>
        </is>
      </c>
      <c r="C2699" s="14" t="n">
        <v>128</v>
      </c>
      <c r="D2699" s="14">
        <f>IF(A2699&gt;LastWeek-364,1,0)</f>
        <v/>
      </c>
      <c r="E2699" s="14">
        <f>C2699^2*D2699</f>
        <v/>
      </c>
    </row>
    <row r="2700">
      <c r="A2700" s="26" t="n">
        <v>45978</v>
      </c>
      <c r="B2700" s="14" t="inlineStr">
        <is>
          <t>NB-0026</t>
        </is>
      </c>
      <c r="C2700" s="14" t="n">
        <v>142</v>
      </c>
      <c r="D2700" s="14">
        <f>IF(A2700&gt;LastWeek-364,1,0)</f>
        <v/>
      </c>
      <c r="E2700" s="14">
        <f>C2700^2*D2700</f>
        <v/>
      </c>
    </row>
    <row r="2701">
      <c r="A2701" s="26" t="n">
        <v>45985</v>
      </c>
      <c r="B2701" s="14" t="inlineStr">
        <is>
          <t>NB-0026</t>
        </is>
      </c>
      <c r="C2701" s="14" t="n">
        <v>109</v>
      </c>
      <c r="D2701" s="14">
        <f>IF(A2701&gt;LastWeek-364,1,0)</f>
        <v/>
      </c>
      <c r="E2701" s="14">
        <f>C2701^2*D2701</f>
        <v/>
      </c>
    </row>
    <row r="2702">
      <c r="A2702" s="26" t="n">
        <v>45992</v>
      </c>
      <c r="B2702" s="14" t="inlineStr">
        <is>
          <t>NB-0026</t>
        </is>
      </c>
      <c r="C2702" s="14" t="n">
        <v>138</v>
      </c>
      <c r="D2702" s="14">
        <f>IF(A2702&gt;LastWeek-364,1,0)</f>
        <v/>
      </c>
      <c r="E2702" s="14">
        <f>C2702^2*D2702</f>
        <v/>
      </c>
    </row>
    <row r="2703">
      <c r="A2703" s="26" t="n">
        <v>45999</v>
      </c>
      <c r="B2703" s="14" t="inlineStr">
        <is>
          <t>NB-0026</t>
        </is>
      </c>
      <c r="C2703" s="14" t="n">
        <v>81</v>
      </c>
      <c r="D2703" s="14">
        <f>IF(A2703&gt;LastWeek-364,1,0)</f>
        <v/>
      </c>
      <c r="E2703" s="14">
        <f>C2703^2*D2703</f>
        <v/>
      </c>
    </row>
    <row r="2704">
      <c r="A2704" s="26" t="n">
        <v>46006</v>
      </c>
      <c r="B2704" s="14" t="inlineStr">
        <is>
          <t>NB-0026</t>
        </is>
      </c>
      <c r="C2704" s="14" t="n">
        <v>193</v>
      </c>
      <c r="D2704" s="14">
        <f>IF(A2704&gt;LastWeek-364,1,0)</f>
        <v/>
      </c>
      <c r="E2704" s="14">
        <f>C2704^2*D2704</f>
        <v/>
      </c>
    </row>
    <row r="2705">
      <c r="A2705" s="26" t="n">
        <v>46013</v>
      </c>
      <c r="B2705" s="14" t="inlineStr">
        <is>
          <t>NB-0026</t>
        </is>
      </c>
      <c r="C2705" s="14" t="n">
        <v>117</v>
      </c>
      <c r="D2705" s="14">
        <f>IF(A2705&gt;LastWeek-364,1,0)</f>
        <v/>
      </c>
      <c r="E2705" s="14">
        <f>C2705^2*D2705</f>
        <v/>
      </c>
    </row>
    <row r="2706">
      <c r="A2706" s="26" t="n">
        <v>45292</v>
      </c>
      <c r="B2706" s="14" t="inlineStr">
        <is>
          <t>NB-0027</t>
        </is>
      </c>
      <c r="C2706" s="14" t="n">
        <v>76</v>
      </c>
      <c r="D2706" s="14">
        <f>IF(A2706&gt;LastWeek-364,1,0)</f>
        <v/>
      </c>
      <c r="E2706" s="14">
        <f>C2706^2*D2706</f>
        <v/>
      </c>
    </row>
    <row r="2707">
      <c r="A2707" s="26" t="n">
        <v>45299</v>
      </c>
      <c r="B2707" s="14" t="inlineStr">
        <is>
          <t>NB-0027</t>
        </is>
      </c>
      <c r="C2707" s="14" t="n">
        <v>54</v>
      </c>
      <c r="D2707" s="14">
        <f>IF(A2707&gt;LastWeek-364,1,0)</f>
        <v/>
      </c>
      <c r="E2707" s="14">
        <f>C2707^2*D2707</f>
        <v/>
      </c>
    </row>
    <row r="2708">
      <c r="A2708" s="26" t="n">
        <v>45306</v>
      </c>
      <c r="B2708" s="14" t="inlineStr">
        <is>
          <t>NB-0027</t>
        </is>
      </c>
      <c r="C2708" s="14" t="n">
        <v>65</v>
      </c>
      <c r="D2708" s="14">
        <f>IF(A2708&gt;LastWeek-364,1,0)</f>
        <v/>
      </c>
      <c r="E2708" s="14">
        <f>C2708^2*D2708</f>
        <v/>
      </c>
    </row>
    <row r="2709">
      <c r="A2709" s="26" t="n">
        <v>45313</v>
      </c>
      <c r="B2709" s="14" t="inlineStr">
        <is>
          <t>NB-0027</t>
        </is>
      </c>
      <c r="C2709" s="14" t="n">
        <v>53</v>
      </c>
      <c r="D2709" s="14">
        <f>IF(A2709&gt;LastWeek-364,1,0)</f>
        <v/>
      </c>
      <c r="E2709" s="14">
        <f>C2709^2*D2709</f>
        <v/>
      </c>
    </row>
    <row r="2710">
      <c r="A2710" s="26" t="n">
        <v>45320</v>
      </c>
      <c r="B2710" s="14" t="inlineStr">
        <is>
          <t>NB-0027</t>
        </is>
      </c>
      <c r="C2710" s="14" t="n">
        <v>53</v>
      </c>
      <c r="D2710" s="14">
        <f>IF(A2710&gt;LastWeek-364,1,0)</f>
        <v/>
      </c>
      <c r="E2710" s="14">
        <f>C2710^2*D2710</f>
        <v/>
      </c>
    </row>
    <row r="2711">
      <c r="A2711" s="26" t="n">
        <v>45327</v>
      </c>
      <c r="B2711" s="14" t="inlineStr">
        <is>
          <t>NB-0027</t>
        </is>
      </c>
      <c r="C2711" s="14" t="n">
        <v>47</v>
      </c>
      <c r="D2711" s="14">
        <f>IF(A2711&gt;LastWeek-364,1,0)</f>
        <v/>
      </c>
      <c r="E2711" s="14">
        <f>C2711^2*D2711</f>
        <v/>
      </c>
    </row>
    <row r="2712">
      <c r="A2712" s="26" t="n">
        <v>45334</v>
      </c>
      <c r="B2712" s="14" t="inlineStr">
        <is>
          <t>NB-0027</t>
        </is>
      </c>
      <c r="C2712" s="14" t="n">
        <v>53</v>
      </c>
      <c r="D2712" s="14">
        <f>IF(A2712&gt;LastWeek-364,1,0)</f>
        <v/>
      </c>
      <c r="E2712" s="14">
        <f>C2712^2*D2712</f>
        <v/>
      </c>
    </row>
    <row r="2713">
      <c r="A2713" s="26" t="n">
        <v>45341</v>
      </c>
      <c r="B2713" s="14" t="inlineStr">
        <is>
          <t>NB-0027</t>
        </is>
      </c>
      <c r="C2713" s="14" t="n">
        <v>55</v>
      </c>
      <c r="D2713" s="14">
        <f>IF(A2713&gt;LastWeek-364,1,0)</f>
        <v/>
      </c>
      <c r="E2713" s="14">
        <f>C2713^2*D2713</f>
        <v/>
      </c>
    </row>
    <row r="2714">
      <c r="A2714" s="26" t="n">
        <v>45348</v>
      </c>
      <c r="B2714" s="14" t="inlineStr">
        <is>
          <t>NB-0027</t>
        </is>
      </c>
      <c r="C2714" s="14" t="n">
        <v>42</v>
      </c>
      <c r="D2714" s="14">
        <f>IF(A2714&gt;LastWeek-364,1,0)</f>
        <v/>
      </c>
      <c r="E2714" s="14">
        <f>C2714^2*D2714</f>
        <v/>
      </c>
    </row>
    <row r="2715">
      <c r="A2715" s="26" t="n">
        <v>45355</v>
      </c>
      <c r="B2715" s="14" t="inlineStr">
        <is>
          <t>NB-0027</t>
        </is>
      </c>
      <c r="C2715" s="14" t="n">
        <v>48</v>
      </c>
      <c r="D2715" s="14">
        <f>IF(A2715&gt;LastWeek-364,1,0)</f>
        <v/>
      </c>
      <c r="E2715" s="14">
        <f>C2715^2*D2715</f>
        <v/>
      </c>
    </row>
    <row r="2716">
      <c r="A2716" s="26" t="n">
        <v>45362</v>
      </c>
      <c r="B2716" s="14" t="inlineStr">
        <is>
          <t>NB-0027</t>
        </is>
      </c>
      <c r="C2716" s="14" t="n">
        <v>42</v>
      </c>
      <c r="D2716" s="14">
        <f>IF(A2716&gt;LastWeek-364,1,0)</f>
        <v/>
      </c>
      <c r="E2716" s="14">
        <f>C2716^2*D2716</f>
        <v/>
      </c>
    </row>
    <row r="2717">
      <c r="A2717" s="26" t="n">
        <v>45369</v>
      </c>
      <c r="B2717" s="14" t="inlineStr">
        <is>
          <t>NB-0027</t>
        </is>
      </c>
      <c r="C2717" s="14" t="n">
        <v>68</v>
      </c>
      <c r="D2717" s="14">
        <f>IF(A2717&gt;LastWeek-364,1,0)</f>
        <v/>
      </c>
      <c r="E2717" s="14">
        <f>C2717^2*D2717</f>
        <v/>
      </c>
    </row>
    <row r="2718">
      <c r="A2718" s="26" t="n">
        <v>45376</v>
      </c>
      <c r="B2718" s="14" t="inlineStr">
        <is>
          <t>NB-0027</t>
        </is>
      </c>
      <c r="C2718" s="14" t="n">
        <v>45</v>
      </c>
      <c r="D2718" s="14">
        <f>IF(A2718&gt;LastWeek-364,1,0)</f>
        <v/>
      </c>
      <c r="E2718" s="14">
        <f>C2718^2*D2718</f>
        <v/>
      </c>
    </row>
    <row r="2719">
      <c r="A2719" s="26" t="n">
        <v>45383</v>
      </c>
      <c r="B2719" s="14" t="inlineStr">
        <is>
          <t>NB-0027</t>
        </is>
      </c>
      <c r="C2719" s="14" t="n">
        <v>58</v>
      </c>
      <c r="D2719" s="14">
        <f>IF(A2719&gt;LastWeek-364,1,0)</f>
        <v/>
      </c>
      <c r="E2719" s="14">
        <f>C2719^2*D2719</f>
        <v/>
      </c>
    </row>
    <row r="2720">
      <c r="A2720" s="26" t="n">
        <v>45390</v>
      </c>
      <c r="B2720" s="14" t="inlineStr">
        <is>
          <t>NB-0027</t>
        </is>
      </c>
      <c r="C2720" s="14" t="n">
        <v>41</v>
      </c>
      <c r="D2720" s="14">
        <f>IF(A2720&gt;LastWeek-364,1,0)</f>
        <v/>
      </c>
      <c r="E2720" s="14">
        <f>C2720^2*D2720</f>
        <v/>
      </c>
    </row>
    <row r="2721">
      <c r="A2721" s="26" t="n">
        <v>45397</v>
      </c>
      <c r="B2721" s="14" t="inlineStr">
        <is>
          <t>NB-0027</t>
        </is>
      </c>
      <c r="C2721" s="14" t="n">
        <v>43</v>
      </c>
      <c r="D2721" s="14">
        <f>IF(A2721&gt;LastWeek-364,1,0)</f>
        <v/>
      </c>
      <c r="E2721" s="14">
        <f>C2721^2*D2721</f>
        <v/>
      </c>
    </row>
    <row r="2722">
      <c r="A2722" s="26" t="n">
        <v>45404</v>
      </c>
      <c r="B2722" s="14" t="inlineStr">
        <is>
          <t>NB-0027</t>
        </is>
      </c>
      <c r="C2722" s="14" t="n">
        <v>29</v>
      </c>
      <c r="D2722" s="14">
        <f>IF(A2722&gt;LastWeek-364,1,0)</f>
        <v/>
      </c>
      <c r="E2722" s="14">
        <f>C2722^2*D2722</f>
        <v/>
      </c>
    </row>
    <row r="2723">
      <c r="A2723" s="26" t="n">
        <v>45411</v>
      </c>
      <c r="B2723" s="14" t="inlineStr">
        <is>
          <t>NB-0027</t>
        </is>
      </c>
      <c r="C2723" s="14" t="n">
        <v>35</v>
      </c>
      <c r="D2723" s="14">
        <f>IF(A2723&gt;LastWeek-364,1,0)</f>
        <v/>
      </c>
      <c r="E2723" s="14">
        <f>C2723^2*D2723</f>
        <v/>
      </c>
    </row>
    <row r="2724">
      <c r="A2724" s="26" t="n">
        <v>45418</v>
      </c>
      <c r="B2724" s="14" t="inlineStr">
        <is>
          <t>NB-0027</t>
        </is>
      </c>
      <c r="C2724" s="14" t="n">
        <v>39</v>
      </c>
      <c r="D2724" s="14">
        <f>IF(A2724&gt;LastWeek-364,1,0)</f>
        <v/>
      </c>
      <c r="E2724" s="14">
        <f>C2724^2*D2724</f>
        <v/>
      </c>
    </row>
    <row r="2725">
      <c r="A2725" s="26" t="n">
        <v>45425</v>
      </c>
      <c r="B2725" s="14" t="inlineStr">
        <is>
          <t>NB-0027</t>
        </is>
      </c>
      <c r="C2725" s="14" t="n">
        <v>48</v>
      </c>
      <c r="D2725" s="14">
        <f>IF(A2725&gt;LastWeek-364,1,0)</f>
        <v/>
      </c>
      <c r="E2725" s="14">
        <f>C2725^2*D2725</f>
        <v/>
      </c>
    </row>
    <row r="2726">
      <c r="A2726" s="26" t="n">
        <v>45432</v>
      </c>
      <c r="B2726" s="14" t="inlineStr">
        <is>
          <t>NB-0027</t>
        </is>
      </c>
      <c r="C2726" s="14" t="n">
        <v>36</v>
      </c>
      <c r="D2726" s="14">
        <f>IF(A2726&gt;LastWeek-364,1,0)</f>
        <v/>
      </c>
      <c r="E2726" s="14">
        <f>C2726^2*D2726</f>
        <v/>
      </c>
    </row>
    <row r="2727">
      <c r="A2727" s="26" t="n">
        <v>45439</v>
      </c>
      <c r="B2727" s="14" t="inlineStr">
        <is>
          <t>NB-0027</t>
        </is>
      </c>
      <c r="C2727" s="14" t="n">
        <v>43</v>
      </c>
      <c r="D2727" s="14">
        <f>IF(A2727&gt;LastWeek-364,1,0)</f>
        <v/>
      </c>
      <c r="E2727" s="14">
        <f>C2727^2*D2727</f>
        <v/>
      </c>
    </row>
    <row r="2728">
      <c r="A2728" s="26" t="n">
        <v>45446</v>
      </c>
      <c r="B2728" s="14" t="inlineStr">
        <is>
          <t>NB-0027</t>
        </is>
      </c>
      <c r="C2728" s="14" t="n">
        <v>37</v>
      </c>
      <c r="D2728" s="14">
        <f>IF(A2728&gt;LastWeek-364,1,0)</f>
        <v/>
      </c>
      <c r="E2728" s="14">
        <f>C2728^2*D2728</f>
        <v/>
      </c>
    </row>
    <row r="2729">
      <c r="A2729" s="26" t="n">
        <v>45453</v>
      </c>
      <c r="B2729" s="14" t="inlineStr">
        <is>
          <t>NB-0027</t>
        </is>
      </c>
      <c r="C2729" s="14" t="n">
        <v>43</v>
      </c>
      <c r="D2729" s="14">
        <f>IF(A2729&gt;LastWeek-364,1,0)</f>
        <v/>
      </c>
      <c r="E2729" s="14">
        <f>C2729^2*D2729</f>
        <v/>
      </c>
    </row>
    <row r="2730">
      <c r="A2730" s="26" t="n">
        <v>45460</v>
      </c>
      <c r="B2730" s="14" t="inlineStr">
        <is>
          <t>NB-0027</t>
        </is>
      </c>
      <c r="C2730" s="14" t="n">
        <v>31</v>
      </c>
      <c r="D2730" s="14">
        <f>IF(A2730&gt;LastWeek-364,1,0)</f>
        <v/>
      </c>
      <c r="E2730" s="14">
        <f>C2730^2*D2730</f>
        <v/>
      </c>
    </row>
    <row r="2731">
      <c r="A2731" s="26" t="n">
        <v>45467</v>
      </c>
      <c r="B2731" s="14" t="inlineStr">
        <is>
          <t>NB-0027</t>
        </is>
      </c>
      <c r="C2731" s="14" t="n">
        <v>47</v>
      </c>
      <c r="D2731" s="14">
        <f>IF(A2731&gt;LastWeek-364,1,0)</f>
        <v/>
      </c>
      <c r="E2731" s="14">
        <f>C2731^2*D2731</f>
        <v/>
      </c>
    </row>
    <row r="2732">
      <c r="A2732" s="26" t="n">
        <v>45474</v>
      </c>
      <c r="B2732" s="14" t="inlineStr">
        <is>
          <t>NB-0027</t>
        </is>
      </c>
      <c r="C2732" s="14" t="n">
        <v>28</v>
      </c>
      <c r="D2732" s="14">
        <f>IF(A2732&gt;LastWeek-364,1,0)</f>
        <v/>
      </c>
      <c r="E2732" s="14">
        <f>C2732^2*D2732</f>
        <v/>
      </c>
    </row>
    <row r="2733">
      <c r="A2733" s="26" t="n">
        <v>45481</v>
      </c>
      <c r="B2733" s="14" t="inlineStr">
        <is>
          <t>NB-0027</t>
        </is>
      </c>
      <c r="C2733" s="14" t="n">
        <v>26</v>
      </c>
      <c r="D2733" s="14">
        <f>IF(A2733&gt;LastWeek-364,1,0)</f>
        <v/>
      </c>
      <c r="E2733" s="14">
        <f>C2733^2*D2733</f>
        <v/>
      </c>
    </row>
    <row r="2734">
      <c r="A2734" s="26" t="n">
        <v>45488</v>
      </c>
      <c r="B2734" s="14" t="inlineStr">
        <is>
          <t>NB-0027</t>
        </is>
      </c>
      <c r="C2734" s="14" t="n">
        <v>24</v>
      </c>
      <c r="D2734" s="14">
        <f>IF(A2734&gt;LastWeek-364,1,0)</f>
        <v/>
      </c>
      <c r="E2734" s="14">
        <f>C2734^2*D2734</f>
        <v/>
      </c>
    </row>
    <row r="2735">
      <c r="A2735" s="26" t="n">
        <v>45495</v>
      </c>
      <c r="B2735" s="14" t="inlineStr">
        <is>
          <t>NB-0027</t>
        </is>
      </c>
      <c r="C2735" s="14" t="n">
        <v>46</v>
      </c>
      <c r="D2735" s="14">
        <f>IF(A2735&gt;LastWeek-364,1,0)</f>
        <v/>
      </c>
      <c r="E2735" s="14">
        <f>C2735^2*D2735</f>
        <v/>
      </c>
    </row>
    <row r="2736">
      <c r="A2736" s="26" t="n">
        <v>45502</v>
      </c>
      <c r="B2736" s="14" t="inlineStr">
        <is>
          <t>NB-0027</t>
        </is>
      </c>
      <c r="C2736" s="14" t="n">
        <v>37</v>
      </c>
      <c r="D2736" s="14">
        <f>IF(A2736&gt;LastWeek-364,1,0)</f>
        <v/>
      </c>
      <c r="E2736" s="14">
        <f>C2736^2*D2736</f>
        <v/>
      </c>
    </row>
    <row r="2737">
      <c r="A2737" s="26" t="n">
        <v>45509</v>
      </c>
      <c r="B2737" s="14" t="inlineStr">
        <is>
          <t>NB-0027</t>
        </is>
      </c>
      <c r="C2737" s="14" t="n">
        <v>30</v>
      </c>
      <c r="D2737" s="14">
        <f>IF(A2737&gt;LastWeek-364,1,0)</f>
        <v/>
      </c>
      <c r="E2737" s="14">
        <f>C2737^2*D2737</f>
        <v/>
      </c>
    </row>
    <row r="2738">
      <c r="A2738" s="26" t="n">
        <v>45516</v>
      </c>
      <c r="B2738" s="14" t="inlineStr">
        <is>
          <t>NB-0027</t>
        </is>
      </c>
      <c r="C2738" s="14" t="n">
        <v>42</v>
      </c>
      <c r="D2738" s="14">
        <f>IF(A2738&gt;LastWeek-364,1,0)</f>
        <v/>
      </c>
      <c r="E2738" s="14">
        <f>C2738^2*D2738</f>
        <v/>
      </c>
    </row>
    <row r="2739">
      <c r="A2739" s="26" t="n">
        <v>45523</v>
      </c>
      <c r="B2739" s="14" t="inlineStr">
        <is>
          <t>NB-0027</t>
        </is>
      </c>
      <c r="C2739" s="14" t="n">
        <v>39</v>
      </c>
      <c r="D2739" s="14">
        <f>IF(A2739&gt;LastWeek-364,1,0)</f>
        <v/>
      </c>
      <c r="E2739" s="14">
        <f>C2739^2*D2739</f>
        <v/>
      </c>
    </row>
    <row r="2740">
      <c r="A2740" s="26" t="n">
        <v>45530</v>
      </c>
      <c r="B2740" s="14" t="inlineStr">
        <is>
          <t>NB-0027</t>
        </is>
      </c>
      <c r="C2740" s="14" t="n">
        <v>49</v>
      </c>
      <c r="D2740" s="14">
        <f>IF(A2740&gt;LastWeek-364,1,0)</f>
        <v/>
      </c>
      <c r="E2740" s="14">
        <f>C2740^2*D2740</f>
        <v/>
      </c>
    </row>
    <row r="2741">
      <c r="A2741" s="26" t="n">
        <v>45537</v>
      </c>
      <c r="B2741" s="14" t="inlineStr">
        <is>
          <t>NB-0027</t>
        </is>
      </c>
      <c r="C2741" s="14" t="n">
        <v>25</v>
      </c>
      <c r="D2741" s="14">
        <f>IF(A2741&gt;LastWeek-364,1,0)</f>
        <v/>
      </c>
      <c r="E2741" s="14">
        <f>C2741^2*D2741</f>
        <v/>
      </c>
    </row>
    <row r="2742">
      <c r="A2742" s="26" t="n">
        <v>45544</v>
      </c>
      <c r="B2742" s="14" t="inlineStr">
        <is>
          <t>NB-0027</t>
        </is>
      </c>
      <c r="C2742" s="14" t="n">
        <v>35</v>
      </c>
      <c r="D2742" s="14">
        <f>IF(A2742&gt;LastWeek-364,1,0)</f>
        <v/>
      </c>
      <c r="E2742" s="14">
        <f>C2742^2*D2742</f>
        <v/>
      </c>
    </row>
    <row r="2743">
      <c r="A2743" s="26" t="n">
        <v>45551</v>
      </c>
      <c r="B2743" s="14" t="inlineStr">
        <is>
          <t>NB-0027</t>
        </is>
      </c>
      <c r="C2743" s="14" t="n">
        <v>35</v>
      </c>
      <c r="D2743" s="14">
        <f>IF(A2743&gt;LastWeek-364,1,0)</f>
        <v/>
      </c>
      <c r="E2743" s="14">
        <f>C2743^2*D2743</f>
        <v/>
      </c>
    </row>
    <row r="2744">
      <c r="A2744" s="26" t="n">
        <v>45558</v>
      </c>
      <c r="B2744" s="14" t="inlineStr">
        <is>
          <t>NB-0027</t>
        </is>
      </c>
      <c r="C2744" s="14" t="n">
        <v>24</v>
      </c>
      <c r="D2744" s="14">
        <f>IF(A2744&gt;LastWeek-364,1,0)</f>
        <v/>
      </c>
      <c r="E2744" s="14">
        <f>C2744^2*D2744</f>
        <v/>
      </c>
    </row>
    <row r="2745">
      <c r="A2745" s="26" t="n">
        <v>45565</v>
      </c>
      <c r="B2745" s="14" t="inlineStr">
        <is>
          <t>NB-0027</t>
        </is>
      </c>
      <c r="C2745" s="14" t="n">
        <v>50</v>
      </c>
      <c r="D2745" s="14">
        <f>IF(A2745&gt;LastWeek-364,1,0)</f>
        <v/>
      </c>
      <c r="E2745" s="14">
        <f>C2745^2*D2745</f>
        <v/>
      </c>
    </row>
    <row r="2746">
      <c r="A2746" s="26" t="n">
        <v>45572</v>
      </c>
      <c r="B2746" s="14" t="inlineStr">
        <is>
          <t>NB-0027</t>
        </is>
      </c>
      <c r="C2746" s="14" t="n">
        <v>41</v>
      </c>
      <c r="D2746" s="14">
        <f>IF(A2746&gt;LastWeek-364,1,0)</f>
        <v/>
      </c>
      <c r="E2746" s="14">
        <f>C2746^2*D2746</f>
        <v/>
      </c>
    </row>
    <row r="2747">
      <c r="A2747" s="26" t="n">
        <v>45579</v>
      </c>
      <c r="B2747" s="14" t="inlineStr">
        <is>
          <t>NB-0027</t>
        </is>
      </c>
      <c r="C2747" s="14" t="n">
        <v>51</v>
      </c>
      <c r="D2747" s="14">
        <f>IF(A2747&gt;LastWeek-364,1,0)</f>
        <v/>
      </c>
      <c r="E2747" s="14">
        <f>C2747^2*D2747</f>
        <v/>
      </c>
    </row>
    <row r="2748">
      <c r="A2748" s="26" t="n">
        <v>45586</v>
      </c>
      <c r="B2748" s="14" t="inlineStr">
        <is>
          <t>NB-0027</t>
        </is>
      </c>
      <c r="C2748" s="14" t="n">
        <v>68</v>
      </c>
      <c r="D2748" s="14">
        <f>IF(A2748&gt;LastWeek-364,1,0)</f>
        <v/>
      </c>
      <c r="E2748" s="14">
        <f>C2748^2*D2748</f>
        <v/>
      </c>
    </row>
    <row r="2749">
      <c r="A2749" s="26" t="n">
        <v>45593</v>
      </c>
      <c r="B2749" s="14" t="inlineStr">
        <is>
          <t>NB-0027</t>
        </is>
      </c>
      <c r="C2749" s="14" t="n">
        <v>44</v>
      </c>
      <c r="D2749" s="14">
        <f>IF(A2749&gt;LastWeek-364,1,0)</f>
        <v/>
      </c>
      <c r="E2749" s="14">
        <f>C2749^2*D2749</f>
        <v/>
      </c>
    </row>
    <row r="2750">
      <c r="A2750" s="26" t="n">
        <v>45600</v>
      </c>
      <c r="B2750" s="14" t="inlineStr">
        <is>
          <t>NB-0027</t>
        </is>
      </c>
      <c r="C2750" s="14" t="n">
        <v>44</v>
      </c>
      <c r="D2750" s="14">
        <f>IF(A2750&gt;LastWeek-364,1,0)</f>
        <v/>
      </c>
      <c r="E2750" s="14">
        <f>C2750^2*D2750</f>
        <v/>
      </c>
    </row>
    <row r="2751">
      <c r="A2751" s="26" t="n">
        <v>45607</v>
      </c>
      <c r="B2751" s="14" t="inlineStr">
        <is>
          <t>NB-0027</t>
        </is>
      </c>
      <c r="C2751" s="14" t="n">
        <v>51</v>
      </c>
      <c r="D2751" s="14">
        <f>IF(A2751&gt;LastWeek-364,1,0)</f>
        <v/>
      </c>
      <c r="E2751" s="14">
        <f>C2751^2*D2751</f>
        <v/>
      </c>
    </row>
    <row r="2752">
      <c r="A2752" s="26" t="n">
        <v>45614</v>
      </c>
      <c r="B2752" s="14" t="inlineStr">
        <is>
          <t>NB-0027</t>
        </is>
      </c>
      <c r="C2752" s="14" t="n">
        <v>61</v>
      </c>
      <c r="D2752" s="14">
        <f>IF(A2752&gt;LastWeek-364,1,0)</f>
        <v/>
      </c>
      <c r="E2752" s="14">
        <f>C2752^2*D2752</f>
        <v/>
      </c>
    </row>
    <row r="2753">
      <c r="A2753" s="26" t="n">
        <v>45621</v>
      </c>
      <c r="B2753" s="14" t="inlineStr">
        <is>
          <t>NB-0027</t>
        </is>
      </c>
      <c r="C2753" s="14" t="n">
        <v>46</v>
      </c>
      <c r="D2753" s="14">
        <f>IF(A2753&gt;LastWeek-364,1,0)</f>
        <v/>
      </c>
      <c r="E2753" s="14">
        <f>C2753^2*D2753</f>
        <v/>
      </c>
    </row>
    <row r="2754">
      <c r="A2754" s="26" t="n">
        <v>45628</v>
      </c>
      <c r="B2754" s="14" t="inlineStr">
        <is>
          <t>NB-0027</t>
        </is>
      </c>
      <c r="C2754" s="14" t="n">
        <v>46</v>
      </c>
      <c r="D2754" s="14">
        <f>IF(A2754&gt;LastWeek-364,1,0)</f>
        <v/>
      </c>
      <c r="E2754" s="14">
        <f>C2754^2*D2754</f>
        <v/>
      </c>
    </row>
    <row r="2755">
      <c r="A2755" s="26" t="n">
        <v>45635</v>
      </c>
      <c r="B2755" s="14" t="inlineStr">
        <is>
          <t>NB-0027</t>
        </is>
      </c>
      <c r="C2755" s="14" t="n">
        <v>65</v>
      </c>
      <c r="D2755" s="14">
        <f>IF(A2755&gt;LastWeek-364,1,0)</f>
        <v/>
      </c>
      <c r="E2755" s="14">
        <f>C2755^2*D2755</f>
        <v/>
      </c>
    </row>
    <row r="2756">
      <c r="A2756" s="26" t="n">
        <v>45642</v>
      </c>
      <c r="B2756" s="14" t="inlineStr">
        <is>
          <t>NB-0027</t>
        </is>
      </c>
      <c r="C2756" s="14" t="n">
        <v>58</v>
      </c>
      <c r="D2756" s="14">
        <f>IF(A2756&gt;LastWeek-364,1,0)</f>
        <v/>
      </c>
      <c r="E2756" s="14">
        <f>C2756^2*D2756</f>
        <v/>
      </c>
    </row>
    <row r="2757">
      <c r="A2757" s="26" t="n">
        <v>45649</v>
      </c>
      <c r="B2757" s="14" t="inlineStr">
        <is>
          <t>NB-0027</t>
        </is>
      </c>
      <c r="C2757" s="14" t="n">
        <v>32</v>
      </c>
      <c r="D2757" s="14">
        <f>IF(A2757&gt;LastWeek-364,1,0)</f>
        <v/>
      </c>
      <c r="E2757" s="14">
        <f>C2757^2*D2757</f>
        <v/>
      </c>
    </row>
    <row r="2758">
      <c r="A2758" s="26" t="n">
        <v>45656</v>
      </c>
      <c r="B2758" s="14" t="inlineStr">
        <is>
          <t>NB-0027</t>
        </is>
      </c>
      <c r="C2758" s="14" t="n">
        <v>41</v>
      </c>
      <c r="D2758" s="14">
        <f>IF(A2758&gt;LastWeek-364,1,0)</f>
        <v/>
      </c>
      <c r="E2758" s="14">
        <f>C2758^2*D2758</f>
        <v/>
      </c>
    </row>
    <row r="2759">
      <c r="A2759" s="26" t="n">
        <v>45663</v>
      </c>
      <c r="B2759" s="14" t="inlineStr">
        <is>
          <t>NB-0027</t>
        </is>
      </c>
      <c r="C2759" s="14" t="n">
        <v>72</v>
      </c>
      <c r="D2759" s="14">
        <f>IF(A2759&gt;LastWeek-364,1,0)</f>
        <v/>
      </c>
      <c r="E2759" s="14">
        <f>C2759^2*D2759</f>
        <v/>
      </c>
    </row>
    <row r="2760">
      <c r="A2760" s="26" t="n">
        <v>45670</v>
      </c>
      <c r="B2760" s="14" t="inlineStr">
        <is>
          <t>NB-0027</t>
        </is>
      </c>
      <c r="C2760" s="14" t="n">
        <v>59</v>
      </c>
      <c r="D2760" s="14">
        <f>IF(A2760&gt;LastWeek-364,1,0)</f>
        <v/>
      </c>
      <c r="E2760" s="14">
        <f>C2760^2*D2760</f>
        <v/>
      </c>
    </row>
    <row r="2761">
      <c r="A2761" s="26" t="n">
        <v>45677</v>
      </c>
      <c r="B2761" s="14" t="inlineStr">
        <is>
          <t>NB-0027</t>
        </is>
      </c>
      <c r="C2761" s="14" t="n">
        <v>46</v>
      </c>
      <c r="D2761" s="14">
        <f>IF(A2761&gt;LastWeek-364,1,0)</f>
        <v/>
      </c>
      <c r="E2761" s="14">
        <f>C2761^2*D2761</f>
        <v/>
      </c>
    </row>
    <row r="2762">
      <c r="A2762" s="26" t="n">
        <v>45684</v>
      </c>
      <c r="B2762" s="14" t="inlineStr">
        <is>
          <t>NB-0027</t>
        </is>
      </c>
      <c r="C2762" s="14" t="n">
        <v>52</v>
      </c>
      <c r="D2762" s="14">
        <f>IF(A2762&gt;LastWeek-364,1,0)</f>
        <v/>
      </c>
      <c r="E2762" s="14">
        <f>C2762^2*D2762</f>
        <v/>
      </c>
    </row>
    <row r="2763">
      <c r="A2763" s="26" t="n">
        <v>45691</v>
      </c>
      <c r="B2763" s="14" t="inlineStr">
        <is>
          <t>NB-0027</t>
        </is>
      </c>
      <c r="C2763" s="14" t="n">
        <v>54</v>
      </c>
      <c r="D2763" s="14">
        <f>IF(A2763&gt;LastWeek-364,1,0)</f>
        <v/>
      </c>
      <c r="E2763" s="14">
        <f>C2763^2*D2763</f>
        <v/>
      </c>
    </row>
    <row r="2764">
      <c r="A2764" s="26" t="n">
        <v>45698</v>
      </c>
      <c r="B2764" s="14" t="inlineStr">
        <is>
          <t>NB-0027</t>
        </is>
      </c>
      <c r="C2764" s="14" t="n">
        <v>61</v>
      </c>
      <c r="D2764" s="14">
        <f>IF(A2764&gt;LastWeek-364,1,0)</f>
        <v/>
      </c>
      <c r="E2764" s="14">
        <f>C2764^2*D2764</f>
        <v/>
      </c>
    </row>
    <row r="2765">
      <c r="A2765" s="26" t="n">
        <v>45705</v>
      </c>
      <c r="B2765" s="14" t="inlineStr">
        <is>
          <t>NB-0027</t>
        </is>
      </c>
      <c r="C2765" s="14" t="n">
        <v>38</v>
      </c>
      <c r="D2765" s="14">
        <f>IF(A2765&gt;LastWeek-364,1,0)</f>
        <v/>
      </c>
      <c r="E2765" s="14">
        <f>C2765^2*D2765</f>
        <v/>
      </c>
    </row>
    <row r="2766">
      <c r="A2766" s="26" t="n">
        <v>45712</v>
      </c>
      <c r="B2766" s="14" t="inlineStr">
        <is>
          <t>NB-0027</t>
        </is>
      </c>
      <c r="C2766" s="14" t="n">
        <v>42</v>
      </c>
      <c r="D2766" s="14">
        <f>IF(A2766&gt;LastWeek-364,1,0)</f>
        <v/>
      </c>
      <c r="E2766" s="14">
        <f>C2766^2*D2766</f>
        <v/>
      </c>
    </row>
    <row r="2767">
      <c r="A2767" s="26" t="n">
        <v>45719</v>
      </c>
      <c r="B2767" s="14" t="inlineStr">
        <is>
          <t>NB-0027</t>
        </is>
      </c>
      <c r="C2767" s="14" t="n">
        <v>53</v>
      </c>
      <c r="D2767" s="14">
        <f>IF(A2767&gt;LastWeek-364,1,0)</f>
        <v/>
      </c>
      <c r="E2767" s="14">
        <f>C2767^2*D2767</f>
        <v/>
      </c>
    </row>
    <row r="2768">
      <c r="A2768" s="26" t="n">
        <v>45726</v>
      </c>
      <c r="B2768" s="14" t="inlineStr">
        <is>
          <t>NB-0027</t>
        </is>
      </c>
      <c r="C2768" s="14" t="n">
        <v>48</v>
      </c>
      <c r="D2768" s="14">
        <f>IF(A2768&gt;LastWeek-364,1,0)</f>
        <v/>
      </c>
      <c r="E2768" s="14">
        <f>C2768^2*D2768</f>
        <v/>
      </c>
    </row>
    <row r="2769">
      <c r="A2769" s="26" t="n">
        <v>45733</v>
      </c>
      <c r="B2769" s="14" t="inlineStr">
        <is>
          <t>NB-0027</t>
        </is>
      </c>
      <c r="C2769" s="14" t="n">
        <v>53</v>
      </c>
      <c r="D2769" s="14">
        <f>IF(A2769&gt;LastWeek-364,1,0)</f>
        <v/>
      </c>
      <c r="E2769" s="14">
        <f>C2769^2*D2769</f>
        <v/>
      </c>
    </row>
    <row r="2770">
      <c r="A2770" s="26" t="n">
        <v>45740</v>
      </c>
      <c r="B2770" s="14" t="inlineStr">
        <is>
          <t>NB-0027</t>
        </is>
      </c>
      <c r="C2770" s="14" t="n">
        <v>35</v>
      </c>
      <c r="D2770" s="14">
        <f>IF(A2770&gt;LastWeek-364,1,0)</f>
        <v/>
      </c>
      <c r="E2770" s="14">
        <f>C2770^2*D2770</f>
        <v/>
      </c>
    </row>
    <row r="2771">
      <c r="A2771" s="26" t="n">
        <v>45747</v>
      </c>
      <c r="B2771" s="14" t="inlineStr">
        <is>
          <t>NB-0027</t>
        </is>
      </c>
      <c r="C2771" s="14" t="n">
        <v>48</v>
      </c>
      <c r="D2771" s="14">
        <f>IF(A2771&gt;LastWeek-364,1,0)</f>
        <v/>
      </c>
      <c r="E2771" s="14">
        <f>C2771^2*D2771</f>
        <v/>
      </c>
    </row>
    <row r="2772">
      <c r="A2772" s="26" t="n">
        <v>45754</v>
      </c>
      <c r="B2772" s="14" t="inlineStr">
        <is>
          <t>NB-0027</t>
        </is>
      </c>
      <c r="C2772" s="14" t="n">
        <v>53</v>
      </c>
      <c r="D2772" s="14">
        <f>IF(A2772&gt;LastWeek-364,1,0)</f>
        <v/>
      </c>
      <c r="E2772" s="14">
        <f>C2772^2*D2772</f>
        <v/>
      </c>
    </row>
    <row r="2773">
      <c r="A2773" s="26" t="n">
        <v>45761</v>
      </c>
      <c r="B2773" s="14" t="inlineStr">
        <is>
          <t>NB-0027</t>
        </is>
      </c>
      <c r="C2773" s="14" t="n">
        <v>46</v>
      </c>
      <c r="D2773" s="14">
        <f>IF(A2773&gt;LastWeek-364,1,0)</f>
        <v/>
      </c>
      <c r="E2773" s="14">
        <f>C2773^2*D2773</f>
        <v/>
      </c>
    </row>
    <row r="2774">
      <c r="A2774" s="26" t="n">
        <v>45768</v>
      </c>
      <c r="B2774" s="14" t="inlineStr">
        <is>
          <t>NB-0027</t>
        </is>
      </c>
      <c r="C2774" s="14" t="n">
        <v>42</v>
      </c>
      <c r="D2774" s="14">
        <f>IF(A2774&gt;LastWeek-364,1,0)</f>
        <v/>
      </c>
      <c r="E2774" s="14">
        <f>C2774^2*D2774</f>
        <v/>
      </c>
    </row>
    <row r="2775">
      <c r="A2775" s="26" t="n">
        <v>45775</v>
      </c>
      <c r="B2775" s="14" t="inlineStr">
        <is>
          <t>NB-0027</t>
        </is>
      </c>
      <c r="C2775" s="14" t="n">
        <v>38</v>
      </c>
      <c r="D2775" s="14">
        <f>IF(A2775&gt;LastWeek-364,1,0)</f>
        <v/>
      </c>
      <c r="E2775" s="14">
        <f>C2775^2*D2775</f>
        <v/>
      </c>
    </row>
    <row r="2776">
      <c r="A2776" s="26" t="n">
        <v>45782</v>
      </c>
      <c r="B2776" s="14" t="inlineStr">
        <is>
          <t>NB-0027</t>
        </is>
      </c>
      <c r="C2776" s="14" t="n">
        <v>31</v>
      </c>
      <c r="D2776" s="14">
        <f>IF(A2776&gt;LastWeek-364,1,0)</f>
        <v/>
      </c>
      <c r="E2776" s="14">
        <f>C2776^2*D2776</f>
        <v/>
      </c>
    </row>
    <row r="2777">
      <c r="A2777" s="26" t="n">
        <v>45789</v>
      </c>
      <c r="B2777" s="14" t="inlineStr">
        <is>
          <t>NB-0027</t>
        </is>
      </c>
      <c r="C2777" s="14" t="n">
        <v>36</v>
      </c>
      <c r="D2777" s="14">
        <f>IF(A2777&gt;LastWeek-364,1,0)</f>
        <v/>
      </c>
      <c r="E2777" s="14">
        <f>C2777^2*D2777</f>
        <v/>
      </c>
    </row>
    <row r="2778">
      <c r="A2778" s="26" t="n">
        <v>45796</v>
      </c>
      <c r="B2778" s="14" t="inlineStr">
        <is>
          <t>NB-0027</t>
        </is>
      </c>
      <c r="C2778" s="14" t="n">
        <v>44</v>
      </c>
      <c r="D2778" s="14">
        <f>IF(A2778&gt;LastWeek-364,1,0)</f>
        <v/>
      </c>
      <c r="E2778" s="14">
        <f>C2778^2*D2778</f>
        <v/>
      </c>
    </row>
    <row r="2779">
      <c r="A2779" s="26" t="n">
        <v>45803</v>
      </c>
      <c r="B2779" s="14" t="inlineStr">
        <is>
          <t>NB-0027</t>
        </is>
      </c>
      <c r="C2779" s="14" t="n">
        <v>34</v>
      </c>
      <c r="D2779" s="14">
        <f>IF(A2779&gt;LastWeek-364,1,0)</f>
        <v/>
      </c>
      <c r="E2779" s="14">
        <f>C2779^2*D2779</f>
        <v/>
      </c>
    </row>
    <row r="2780">
      <c r="A2780" s="26" t="n">
        <v>45810</v>
      </c>
      <c r="B2780" s="14" t="inlineStr">
        <is>
          <t>NB-0027</t>
        </is>
      </c>
      <c r="C2780" s="14" t="n">
        <v>28</v>
      </c>
      <c r="D2780" s="14">
        <f>IF(A2780&gt;LastWeek-364,1,0)</f>
        <v/>
      </c>
      <c r="E2780" s="14">
        <f>C2780^2*D2780</f>
        <v/>
      </c>
    </row>
    <row r="2781">
      <c r="A2781" s="26" t="n">
        <v>45817</v>
      </c>
      <c r="B2781" s="14" t="inlineStr">
        <is>
          <t>NB-0027</t>
        </is>
      </c>
      <c r="C2781" s="14" t="n">
        <v>30</v>
      </c>
      <c r="D2781" s="14">
        <f>IF(A2781&gt;LastWeek-364,1,0)</f>
        <v/>
      </c>
      <c r="E2781" s="14">
        <f>C2781^2*D2781</f>
        <v/>
      </c>
    </row>
    <row r="2782">
      <c r="A2782" s="26" t="n">
        <v>45824</v>
      </c>
      <c r="B2782" s="14" t="inlineStr">
        <is>
          <t>NB-0027</t>
        </is>
      </c>
      <c r="C2782" s="14" t="n">
        <v>34</v>
      </c>
      <c r="D2782" s="14">
        <f>IF(A2782&gt;LastWeek-364,1,0)</f>
        <v/>
      </c>
      <c r="E2782" s="14">
        <f>C2782^2*D2782</f>
        <v/>
      </c>
    </row>
    <row r="2783">
      <c r="A2783" s="26" t="n">
        <v>45831</v>
      </c>
      <c r="B2783" s="14" t="inlineStr">
        <is>
          <t>NB-0027</t>
        </is>
      </c>
      <c r="C2783" s="14" t="n">
        <v>29</v>
      </c>
      <c r="D2783" s="14">
        <f>IF(A2783&gt;LastWeek-364,1,0)</f>
        <v/>
      </c>
      <c r="E2783" s="14">
        <f>C2783^2*D2783</f>
        <v/>
      </c>
    </row>
    <row r="2784">
      <c r="A2784" s="26" t="n">
        <v>45838</v>
      </c>
      <c r="B2784" s="14" t="inlineStr">
        <is>
          <t>NB-0027</t>
        </is>
      </c>
      <c r="C2784" s="14" t="n">
        <v>35</v>
      </c>
      <c r="D2784" s="14">
        <f>IF(A2784&gt;LastWeek-364,1,0)</f>
        <v/>
      </c>
      <c r="E2784" s="14">
        <f>C2784^2*D2784</f>
        <v/>
      </c>
    </row>
    <row r="2785">
      <c r="A2785" s="26" t="n">
        <v>45845</v>
      </c>
      <c r="B2785" s="14" t="inlineStr">
        <is>
          <t>NB-0027</t>
        </is>
      </c>
      <c r="C2785" s="14" t="n">
        <v>35</v>
      </c>
      <c r="D2785" s="14">
        <f>IF(A2785&gt;LastWeek-364,1,0)</f>
        <v/>
      </c>
      <c r="E2785" s="14">
        <f>C2785^2*D2785</f>
        <v/>
      </c>
    </row>
    <row r="2786">
      <c r="A2786" s="26" t="n">
        <v>45852</v>
      </c>
      <c r="B2786" s="14" t="inlineStr">
        <is>
          <t>NB-0027</t>
        </is>
      </c>
      <c r="C2786" s="14" t="n">
        <v>37</v>
      </c>
      <c r="D2786" s="14">
        <f>IF(A2786&gt;LastWeek-364,1,0)</f>
        <v/>
      </c>
      <c r="E2786" s="14">
        <f>C2786^2*D2786</f>
        <v/>
      </c>
    </row>
    <row r="2787">
      <c r="A2787" s="26" t="n">
        <v>45859</v>
      </c>
      <c r="B2787" s="14" t="inlineStr">
        <is>
          <t>NB-0027</t>
        </is>
      </c>
      <c r="C2787" s="14" t="n">
        <v>41</v>
      </c>
      <c r="D2787" s="14">
        <f>IF(A2787&gt;LastWeek-364,1,0)</f>
        <v/>
      </c>
      <c r="E2787" s="14">
        <f>C2787^2*D2787</f>
        <v/>
      </c>
    </row>
    <row r="2788">
      <c r="A2788" s="26" t="n">
        <v>45866</v>
      </c>
      <c r="B2788" s="14" t="inlineStr">
        <is>
          <t>NB-0027</t>
        </is>
      </c>
      <c r="C2788" s="14" t="n">
        <v>39</v>
      </c>
      <c r="D2788" s="14">
        <f>IF(A2788&gt;LastWeek-364,1,0)</f>
        <v/>
      </c>
      <c r="E2788" s="14">
        <f>C2788^2*D2788</f>
        <v/>
      </c>
    </row>
    <row r="2789">
      <c r="A2789" s="26" t="n">
        <v>45873</v>
      </c>
      <c r="B2789" s="14" t="inlineStr">
        <is>
          <t>NB-0027</t>
        </is>
      </c>
      <c r="C2789" s="14" t="n">
        <v>27</v>
      </c>
      <c r="D2789" s="14">
        <f>IF(A2789&gt;LastWeek-364,1,0)</f>
        <v/>
      </c>
      <c r="E2789" s="14">
        <f>C2789^2*D2789</f>
        <v/>
      </c>
    </row>
    <row r="2790">
      <c r="A2790" s="26" t="n">
        <v>45880</v>
      </c>
      <c r="B2790" s="14" t="inlineStr">
        <is>
          <t>NB-0027</t>
        </is>
      </c>
      <c r="C2790" s="14" t="n">
        <v>27</v>
      </c>
      <c r="D2790" s="14">
        <f>IF(A2790&gt;LastWeek-364,1,0)</f>
        <v/>
      </c>
      <c r="E2790" s="14">
        <f>C2790^2*D2790</f>
        <v/>
      </c>
    </row>
    <row r="2791">
      <c r="A2791" s="26" t="n">
        <v>45887</v>
      </c>
      <c r="B2791" s="14" t="inlineStr">
        <is>
          <t>NB-0027</t>
        </is>
      </c>
      <c r="C2791" s="14" t="n">
        <v>34</v>
      </c>
      <c r="D2791" s="14">
        <f>IF(A2791&gt;LastWeek-364,1,0)</f>
        <v/>
      </c>
      <c r="E2791" s="14">
        <f>C2791^2*D2791</f>
        <v/>
      </c>
    </row>
    <row r="2792">
      <c r="A2792" s="26" t="n">
        <v>45894</v>
      </c>
      <c r="B2792" s="14" t="inlineStr">
        <is>
          <t>NB-0027</t>
        </is>
      </c>
      <c r="C2792" s="14" t="n">
        <v>32</v>
      </c>
      <c r="D2792" s="14">
        <f>IF(A2792&gt;LastWeek-364,1,0)</f>
        <v/>
      </c>
      <c r="E2792" s="14">
        <f>C2792^2*D2792</f>
        <v/>
      </c>
    </row>
    <row r="2793">
      <c r="A2793" s="26" t="n">
        <v>45901</v>
      </c>
      <c r="B2793" s="14" t="inlineStr">
        <is>
          <t>NB-0027</t>
        </is>
      </c>
      <c r="C2793" s="14" t="n">
        <v>28</v>
      </c>
      <c r="D2793" s="14">
        <f>IF(A2793&gt;LastWeek-364,1,0)</f>
        <v/>
      </c>
      <c r="E2793" s="14">
        <f>C2793^2*D2793</f>
        <v/>
      </c>
    </row>
    <row r="2794">
      <c r="A2794" s="26" t="n">
        <v>45908</v>
      </c>
      <c r="B2794" s="14" t="inlineStr">
        <is>
          <t>NB-0027</t>
        </is>
      </c>
      <c r="C2794" s="14" t="n">
        <v>35</v>
      </c>
      <c r="D2794" s="14">
        <f>IF(A2794&gt;LastWeek-364,1,0)</f>
        <v/>
      </c>
      <c r="E2794" s="14">
        <f>C2794^2*D2794</f>
        <v/>
      </c>
    </row>
    <row r="2795">
      <c r="A2795" s="26" t="n">
        <v>45915</v>
      </c>
      <c r="B2795" s="14" t="inlineStr">
        <is>
          <t>NB-0027</t>
        </is>
      </c>
      <c r="C2795" s="14" t="n">
        <v>35</v>
      </c>
      <c r="D2795" s="14">
        <f>IF(A2795&gt;LastWeek-364,1,0)</f>
        <v/>
      </c>
      <c r="E2795" s="14">
        <f>C2795^2*D2795</f>
        <v/>
      </c>
    </row>
    <row r="2796">
      <c r="A2796" s="26" t="n">
        <v>45922</v>
      </c>
      <c r="B2796" s="14" t="inlineStr">
        <is>
          <t>NB-0027</t>
        </is>
      </c>
      <c r="C2796" s="14" t="n">
        <v>35</v>
      </c>
      <c r="D2796" s="14">
        <f>IF(A2796&gt;LastWeek-364,1,0)</f>
        <v/>
      </c>
      <c r="E2796" s="14">
        <f>C2796^2*D2796</f>
        <v/>
      </c>
    </row>
    <row r="2797">
      <c r="A2797" s="26" t="n">
        <v>45929</v>
      </c>
      <c r="B2797" s="14" t="inlineStr">
        <is>
          <t>NB-0027</t>
        </is>
      </c>
      <c r="C2797" s="14" t="n">
        <v>39</v>
      </c>
      <c r="D2797" s="14">
        <f>IF(A2797&gt;LastWeek-364,1,0)</f>
        <v/>
      </c>
      <c r="E2797" s="14">
        <f>C2797^2*D2797</f>
        <v/>
      </c>
    </row>
    <row r="2798">
      <c r="A2798" s="26" t="n">
        <v>45936</v>
      </c>
      <c r="B2798" s="14" t="inlineStr">
        <is>
          <t>NB-0027</t>
        </is>
      </c>
      <c r="C2798" s="14" t="n">
        <v>54</v>
      </c>
      <c r="D2798" s="14">
        <f>IF(A2798&gt;LastWeek-364,1,0)</f>
        <v/>
      </c>
      <c r="E2798" s="14">
        <f>C2798^2*D2798</f>
        <v/>
      </c>
    </row>
    <row r="2799">
      <c r="A2799" s="26" t="n">
        <v>45943</v>
      </c>
      <c r="B2799" s="14" t="inlineStr">
        <is>
          <t>NB-0027</t>
        </is>
      </c>
      <c r="C2799" s="14" t="n">
        <v>47</v>
      </c>
      <c r="D2799" s="14">
        <f>IF(A2799&gt;LastWeek-364,1,0)</f>
        <v/>
      </c>
      <c r="E2799" s="14">
        <f>C2799^2*D2799</f>
        <v/>
      </c>
    </row>
    <row r="2800">
      <c r="A2800" s="26" t="n">
        <v>45950</v>
      </c>
      <c r="B2800" s="14" t="inlineStr">
        <is>
          <t>NB-0027</t>
        </is>
      </c>
      <c r="C2800" s="14" t="n">
        <v>70</v>
      </c>
      <c r="D2800" s="14">
        <f>IF(A2800&gt;LastWeek-364,1,0)</f>
        <v/>
      </c>
      <c r="E2800" s="14">
        <f>C2800^2*D2800</f>
        <v/>
      </c>
    </row>
    <row r="2801">
      <c r="A2801" s="26" t="n">
        <v>45957</v>
      </c>
      <c r="B2801" s="14" t="inlineStr">
        <is>
          <t>NB-0027</t>
        </is>
      </c>
      <c r="C2801" s="14" t="n">
        <v>49</v>
      </c>
      <c r="D2801" s="14">
        <f>IF(A2801&gt;LastWeek-364,1,0)</f>
        <v/>
      </c>
      <c r="E2801" s="14">
        <f>C2801^2*D2801</f>
        <v/>
      </c>
    </row>
    <row r="2802">
      <c r="A2802" s="26" t="n">
        <v>45964</v>
      </c>
      <c r="B2802" s="14" t="inlineStr">
        <is>
          <t>NB-0027</t>
        </is>
      </c>
      <c r="C2802" s="14" t="n">
        <v>46</v>
      </c>
      <c r="D2802" s="14">
        <f>IF(A2802&gt;LastWeek-364,1,0)</f>
        <v/>
      </c>
      <c r="E2802" s="14">
        <f>C2802^2*D2802</f>
        <v/>
      </c>
    </row>
    <row r="2803">
      <c r="A2803" s="26" t="n">
        <v>45971</v>
      </c>
      <c r="B2803" s="14" t="inlineStr">
        <is>
          <t>NB-0027</t>
        </is>
      </c>
      <c r="C2803" s="14" t="n">
        <v>50</v>
      </c>
      <c r="D2803" s="14">
        <f>IF(A2803&gt;LastWeek-364,1,0)</f>
        <v/>
      </c>
      <c r="E2803" s="14">
        <f>C2803^2*D2803</f>
        <v/>
      </c>
    </row>
    <row r="2804">
      <c r="A2804" s="26" t="n">
        <v>45978</v>
      </c>
      <c r="B2804" s="14" t="inlineStr">
        <is>
          <t>NB-0027</t>
        </is>
      </c>
      <c r="C2804" s="14" t="n">
        <v>54</v>
      </c>
      <c r="D2804" s="14">
        <f>IF(A2804&gt;LastWeek-364,1,0)</f>
        <v/>
      </c>
      <c r="E2804" s="14">
        <f>C2804^2*D2804</f>
        <v/>
      </c>
    </row>
    <row r="2805">
      <c r="A2805" s="26" t="n">
        <v>45985</v>
      </c>
      <c r="B2805" s="14" t="inlineStr">
        <is>
          <t>NB-0027</t>
        </is>
      </c>
      <c r="C2805" s="14" t="n">
        <v>57</v>
      </c>
      <c r="D2805" s="14">
        <f>IF(A2805&gt;LastWeek-364,1,0)</f>
        <v/>
      </c>
      <c r="E2805" s="14">
        <f>C2805^2*D2805</f>
        <v/>
      </c>
    </row>
    <row r="2806">
      <c r="A2806" s="26" t="n">
        <v>45992</v>
      </c>
      <c r="B2806" s="14" t="inlineStr">
        <is>
          <t>NB-0027</t>
        </is>
      </c>
      <c r="C2806" s="14" t="n">
        <v>76</v>
      </c>
      <c r="D2806" s="14">
        <f>IF(A2806&gt;LastWeek-364,1,0)</f>
        <v/>
      </c>
      <c r="E2806" s="14">
        <f>C2806^2*D2806</f>
        <v/>
      </c>
    </row>
    <row r="2807">
      <c r="A2807" s="26" t="n">
        <v>45999</v>
      </c>
      <c r="B2807" s="14" t="inlineStr">
        <is>
          <t>NB-0027</t>
        </is>
      </c>
      <c r="C2807" s="14" t="n">
        <v>45</v>
      </c>
      <c r="D2807" s="14">
        <f>IF(A2807&gt;LastWeek-364,1,0)</f>
        <v/>
      </c>
      <c r="E2807" s="14">
        <f>C2807^2*D2807</f>
        <v/>
      </c>
    </row>
    <row r="2808">
      <c r="A2808" s="26" t="n">
        <v>46006</v>
      </c>
      <c r="B2808" s="14" t="inlineStr">
        <is>
          <t>NB-0027</t>
        </is>
      </c>
      <c r="C2808" s="14" t="n">
        <v>64</v>
      </c>
      <c r="D2808" s="14">
        <f>IF(A2808&gt;LastWeek-364,1,0)</f>
        <v/>
      </c>
      <c r="E2808" s="14">
        <f>C2808^2*D2808</f>
        <v/>
      </c>
    </row>
    <row r="2809">
      <c r="A2809" s="26" t="n">
        <v>46013</v>
      </c>
      <c r="B2809" s="14" t="inlineStr">
        <is>
          <t>NB-0027</t>
        </is>
      </c>
      <c r="C2809" s="14" t="n">
        <v>58</v>
      </c>
      <c r="D2809" s="14">
        <f>IF(A2809&gt;LastWeek-364,1,0)</f>
        <v/>
      </c>
      <c r="E2809" s="14">
        <f>C2809^2*D2809</f>
        <v/>
      </c>
    </row>
    <row r="2810">
      <c r="A2810" s="26" t="n">
        <v>45292</v>
      </c>
      <c r="B2810" s="14" t="inlineStr">
        <is>
          <t>NB-0028</t>
        </is>
      </c>
      <c r="C2810" s="14" t="n">
        <v>44</v>
      </c>
      <c r="D2810" s="14">
        <f>IF(A2810&gt;LastWeek-364,1,0)</f>
        <v/>
      </c>
      <c r="E2810" s="14">
        <f>C2810^2*D2810</f>
        <v/>
      </c>
    </row>
    <row r="2811">
      <c r="A2811" s="26" t="n">
        <v>45299</v>
      </c>
      <c r="B2811" s="14" t="inlineStr">
        <is>
          <t>NB-0028</t>
        </is>
      </c>
      <c r="C2811" s="14" t="n">
        <v>163</v>
      </c>
      <c r="D2811" s="14">
        <f>IF(A2811&gt;LastWeek-364,1,0)</f>
        <v/>
      </c>
      <c r="E2811" s="14">
        <f>C2811^2*D2811</f>
        <v/>
      </c>
    </row>
    <row r="2812">
      <c r="A2812" s="26" t="n">
        <v>45306</v>
      </c>
      <c r="B2812" s="14" t="inlineStr">
        <is>
          <t>NB-0028</t>
        </is>
      </c>
      <c r="C2812" s="14" t="n">
        <v>188</v>
      </c>
      <c r="D2812" s="14">
        <f>IF(A2812&gt;LastWeek-364,1,0)</f>
        <v/>
      </c>
      <c r="E2812" s="14">
        <f>C2812^2*D2812</f>
        <v/>
      </c>
    </row>
    <row r="2813">
      <c r="A2813" s="26" t="n">
        <v>45313</v>
      </c>
      <c r="B2813" s="14" t="inlineStr">
        <is>
          <t>NB-0028</t>
        </is>
      </c>
      <c r="C2813" s="14" t="n">
        <v>80</v>
      </c>
      <c r="D2813" s="14">
        <f>IF(A2813&gt;LastWeek-364,1,0)</f>
        <v/>
      </c>
      <c r="E2813" s="14">
        <f>C2813^2*D2813</f>
        <v/>
      </c>
    </row>
    <row r="2814">
      <c r="A2814" s="26" t="n">
        <v>45320</v>
      </c>
      <c r="B2814" s="14" t="inlineStr">
        <is>
          <t>NB-0028</t>
        </is>
      </c>
      <c r="C2814" s="14" t="n">
        <v>123</v>
      </c>
      <c r="D2814" s="14">
        <f>IF(A2814&gt;LastWeek-364,1,0)</f>
        <v/>
      </c>
      <c r="E2814" s="14">
        <f>C2814^2*D2814</f>
        <v/>
      </c>
    </row>
    <row r="2815">
      <c r="A2815" s="26" t="n">
        <v>45327</v>
      </c>
      <c r="B2815" s="14" t="inlineStr">
        <is>
          <t>NB-0028</t>
        </is>
      </c>
      <c r="C2815" s="14" t="n">
        <v>36</v>
      </c>
      <c r="D2815" s="14">
        <f>IF(A2815&gt;LastWeek-364,1,0)</f>
        <v/>
      </c>
      <c r="E2815" s="14">
        <f>C2815^2*D2815</f>
        <v/>
      </c>
    </row>
    <row r="2816">
      <c r="A2816" s="26" t="n">
        <v>45334</v>
      </c>
      <c r="B2816" s="14" t="inlineStr">
        <is>
          <t>NB-0028</t>
        </is>
      </c>
      <c r="C2816" s="14" t="n">
        <v>59</v>
      </c>
      <c r="D2816" s="14">
        <f>IF(A2816&gt;LastWeek-364,1,0)</f>
        <v/>
      </c>
      <c r="E2816" s="14">
        <f>C2816^2*D2816</f>
        <v/>
      </c>
    </row>
    <row r="2817">
      <c r="A2817" s="26" t="n">
        <v>45341</v>
      </c>
      <c r="B2817" s="14" t="inlineStr">
        <is>
          <t>NB-0028</t>
        </is>
      </c>
      <c r="C2817" s="14" t="n">
        <v>175</v>
      </c>
      <c r="D2817" s="14">
        <f>IF(A2817&gt;LastWeek-364,1,0)</f>
        <v/>
      </c>
      <c r="E2817" s="14">
        <f>C2817^2*D2817</f>
        <v/>
      </c>
    </row>
    <row r="2818">
      <c r="A2818" s="26" t="n">
        <v>45348</v>
      </c>
      <c r="B2818" s="14" t="inlineStr">
        <is>
          <t>NB-0028</t>
        </is>
      </c>
      <c r="C2818" s="14" t="n">
        <v>99</v>
      </c>
      <c r="D2818" s="14">
        <f>IF(A2818&gt;LastWeek-364,1,0)</f>
        <v/>
      </c>
      <c r="E2818" s="14">
        <f>C2818^2*D2818</f>
        <v/>
      </c>
    </row>
    <row r="2819">
      <c r="A2819" s="26" t="n">
        <v>45355</v>
      </c>
      <c r="B2819" s="14" t="inlineStr">
        <is>
          <t>NB-0028</t>
        </is>
      </c>
      <c r="C2819" s="14" t="n">
        <v>66</v>
      </c>
      <c r="D2819" s="14">
        <f>IF(A2819&gt;LastWeek-364,1,0)</f>
        <v/>
      </c>
      <c r="E2819" s="14">
        <f>C2819^2*D2819</f>
        <v/>
      </c>
    </row>
    <row r="2820">
      <c r="A2820" s="26" t="n">
        <v>45362</v>
      </c>
      <c r="B2820" s="14" t="inlineStr">
        <is>
          <t>NB-0028</t>
        </is>
      </c>
      <c r="C2820" s="14" t="n">
        <v>132</v>
      </c>
      <c r="D2820" s="14">
        <f>IF(A2820&gt;LastWeek-364,1,0)</f>
        <v/>
      </c>
      <c r="E2820" s="14">
        <f>C2820^2*D2820</f>
        <v/>
      </c>
    </row>
    <row r="2821">
      <c r="A2821" s="26" t="n">
        <v>45369</v>
      </c>
      <c r="B2821" s="14" t="inlineStr">
        <is>
          <t>NB-0028</t>
        </is>
      </c>
      <c r="C2821" s="14" t="n">
        <v>95</v>
      </c>
      <c r="D2821" s="14">
        <f>IF(A2821&gt;LastWeek-364,1,0)</f>
        <v/>
      </c>
      <c r="E2821" s="14">
        <f>C2821^2*D2821</f>
        <v/>
      </c>
    </row>
    <row r="2822">
      <c r="A2822" s="26" t="n">
        <v>45376</v>
      </c>
      <c r="B2822" s="14" t="inlineStr">
        <is>
          <t>NB-0028</t>
        </is>
      </c>
      <c r="C2822" s="14" t="n">
        <v>97</v>
      </c>
      <c r="D2822" s="14">
        <f>IF(A2822&gt;LastWeek-364,1,0)</f>
        <v/>
      </c>
      <c r="E2822" s="14">
        <f>C2822^2*D2822</f>
        <v/>
      </c>
    </row>
    <row r="2823">
      <c r="A2823" s="26" t="n">
        <v>45383</v>
      </c>
      <c r="B2823" s="14" t="inlineStr">
        <is>
          <t>NB-0028</t>
        </is>
      </c>
      <c r="C2823" s="14" t="n">
        <v>156</v>
      </c>
      <c r="D2823" s="14">
        <f>IF(A2823&gt;LastWeek-364,1,0)</f>
        <v/>
      </c>
      <c r="E2823" s="14">
        <f>C2823^2*D2823</f>
        <v/>
      </c>
    </row>
    <row r="2824">
      <c r="A2824" s="26" t="n">
        <v>45390</v>
      </c>
      <c r="B2824" s="14" t="inlineStr">
        <is>
          <t>NB-0028</t>
        </is>
      </c>
      <c r="C2824" s="14" t="n">
        <v>62</v>
      </c>
      <c r="D2824" s="14">
        <f>IF(A2824&gt;LastWeek-364,1,0)</f>
        <v/>
      </c>
      <c r="E2824" s="14">
        <f>C2824^2*D2824</f>
        <v/>
      </c>
    </row>
    <row r="2825">
      <c r="A2825" s="26" t="n">
        <v>45397</v>
      </c>
      <c r="B2825" s="14" t="inlineStr">
        <is>
          <t>NB-0028</t>
        </is>
      </c>
      <c r="C2825" s="14" t="n">
        <v>74</v>
      </c>
      <c r="D2825" s="14">
        <f>IF(A2825&gt;LastWeek-364,1,0)</f>
        <v/>
      </c>
      <c r="E2825" s="14">
        <f>C2825^2*D2825</f>
        <v/>
      </c>
    </row>
    <row r="2826">
      <c r="A2826" s="26" t="n">
        <v>45404</v>
      </c>
      <c r="B2826" s="14" t="inlineStr">
        <is>
          <t>NB-0028</t>
        </is>
      </c>
      <c r="C2826" s="14" t="n">
        <v>125</v>
      </c>
      <c r="D2826" s="14">
        <f>IF(A2826&gt;LastWeek-364,1,0)</f>
        <v/>
      </c>
      <c r="E2826" s="14">
        <f>C2826^2*D2826</f>
        <v/>
      </c>
    </row>
    <row r="2827">
      <c r="A2827" s="26" t="n">
        <v>45411</v>
      </c>
      <c r="B2827" s="14" t="inlineStr">
        <is>
          <t>NB-0028</t>
        </is>
      </c>
      <c r="C2827" s="14" t="n">
        <v>164</v>
      </c>
      <c r="D2827" s="14">
        <f>IF(A2827&gt;LastWeek-364,1,0)</f>
        <v/>
      </c>
      <c r="E2827" s="14">
        <f>C2827^2*D2827</f>
        <v/>
      </c>
    </row>
    <row r="2828">
      <c r="A2828" s="26" t="n">
        <v>45418</v>
      </c>
      <c r="B2828" s="14" t="inlineStr">
        <is>
          <t>NB-0028</t>
        </is>
      </c>
      <c r="C2828" s="14" t="n">
        <v>176</v>
      </c>
      <c r="D2828" s="14">
        <f>IF(A2828&gt;LastWeek-364,1,0)</f>
        <v/>
      </c>
      <c r="E2828" s="14">
        <f>C2828^2*D2828</f>
        <v/>
      </c>
    </row>
    <row r="2829">
      <c r="A2829" s="26" t="n">
        <v>45425</v>
      </c>
      <c r="B2829" s="14" t="inlineStr">
        <is>
          <t>NB-0028</t>
        </is>
      </c>
      <c r="C2829" s="14" t="n">
        <v>84</v>
      </c>
      <c r="D2829" s="14">
        <f>IF(A2829&gt;LastWeek-364,1,0)</f>
        <v/>
      </c>
      <c r="E2829" s="14">
        <f>C2829^2*D2829</f>
        <v/>
      </c>
    </row>
    <row r="2830">
      <c r="A2830" s="26" t="n">
        <v>45432</v>
      </c>
      <c r="B2830" s="14" t="inlineStr">
        <is>
          <t>NB-0028</t>
        </is>
      </c>
      <c r="C2830" s="14" t="n">
        <v>160</v>
      </c>
      <c r="D2830" s="14">
        <f>IF(A2830&gt;LastWeek-364,1,0)</f>
        <v/>
      </c>
      <c r="E2830" s="14">
        <f>C2830^2*D2830</f>
        <v/>
      </c>
    </row>
    <row r="2831">
      <c r="A2831" s="26" t="n">
        <v>45439</v>
      </c>
      <c r="B2831" s="14" t="inlineStr">
        <is>
          <t>NB-0028</t>
        </is>
      </c>
      <c r="C2831" s="14" t="n">
        <v>78</v>
      </c>
      <c r="D2831" s="14">
        <f>IF(A2831&gt;LastWeek-364,1,0)</f>
        <v/>
      </c>
      <c r="E2831" s="14">
        <f>C2831^2*D2831</f>
        <v/>
      </c>
    </row>
    <row r="2832">
      <c r="A2832" s="26" t="n">
        <v>45446</v>
      </c>
      <c r="B2832" s="14" t="inlineStr">
        <is>
          <t>NB-0028</t>
        </is>
      </c>
      <c r="C2832" s="14" t="n">
        <v>201</v>
      </c>
      <c r="D2832" s="14">
        <f>IF(A2832&gt;LastWeek-364,1,0)</f>
        <v/>
      </c>
      <c r="E2832" s="14">
        <f>C2832^2*D2832</f>
        <v/>
      </c>
    </row>
    <row r="2833">
      <c r="A2833" s="26" t="n">
        <v>45453</v>
      </c>
      <c r="B2833" s="14" t="inlineStr">
        <is>
          <t>NB-0028</t>
        </is>
      </c>
      <c r="C2833" s="14" t="n">
        <v>61</v>
      </c>
      <c r="D2833" s="14">
        <f>IF(A2833&gt;LastWeek-364,1,0)</f>
        <v/>
      </c>
      <c r="E2833" s="14">
        <f>C2833^2*D2833</f>
        <v/>
      </c>
    </row>
    <row r="2834">
      <c r="A2834" s="26" t="n">
        <v>45460</v>
      </c>
      <c r="B2834" s="14" t="inlineStr">
        <is>
          <t>NB-0028</t>
        </is>
      </c>
      <c r="C2834" s="14" t="n">
        <v>177</v>
      </c>
      <c r="D2834" s="14">
        <f>IF(A2834&gt;LastWeek-364,1,0)</f>
        <v/>
      </c>
      <c r="E2834" s="14">
        <f>C2834^2*D2834</f>
        <v/>
      </c>
    </row>
    <row r="2835">
      <c r="A2835" s="26" t="n">
        <v>45467</v>
      </c>
      <c r="B2835" s="14" t="inlineStr">
        <is>
          <t>NB-0028</t>
        </is>
      </c>
      <c r="C2835" s="14" t="n">
        <v>83</v>
      </c>
      <c r="D2835" s="14">
        <f>IF(A2835&gt;LastWeek-364,1,0)</f>
        <v/>
      </c>
      <c r="E2835" s="14">
        <f>C2835^2*D2835</f>
        <v/>
      </c>
    </row>
    <row r="2836">
      <c r="A2836" s="26" t="n">
        <v>45474</v>
      </c>
      <c r="B2836" s="14" t="inlineStr">
        <is>
          <t>NB-0028</t>
        </is>
      </c>
      <c r="C2836" s="14" t="n">
        <v>208</v>
      </c>
      <c r="D2836" s="14">
        <f>IF(A2836&gt;LastWeek-364,1,0)</f>
        <v/>
      </c>
      <c r="E2836" s="14">
        <f>C2836^2*D2836</f>
        <v/>
      </c>
    </row>
    <row r="2837">
      <c r="A2837" s="26" t="n">
        <v>45481</v>
      </c>
      <c r="B2837" s="14" t="inlineStr">
        <is>
          <t>NB-0028</t>
        </is>
      </c>
      <c r="C2837" s="14" t="n">
        <v>142</v>
      </c>
      <c r="D2837" s="14">
        <f>IF(A2837&gt;LastWeek-364,1,0)</f>
        <v/>
      </c>
      <c r="E2837" s="14">
        <f>C2837^2*D2837</f>
        <v/>
      </c>
    </row>
    <row r="2838">
      <c r="A2838" s="26" t="n">
        <v>45488</v>
      </c>
      <c r="B2838" s="14" t="inlineStr">
        <is>
          <t>NB-0028</t>
        </is>
      </c>
      <c r="C2838" s="14" t="n">
        <v>66</v>
      </c>
      <c r="D2838" s="14">
        <f>IF(A2838&gt;LastWeek-364,1,0)</f>
        <v/>
      </c>
      <c r="E2838" s="14">
        <f>C2838^2*D2838</f>
        <v/>
      </c>
    </row>
    <row r="2839">
      <c r="A2839" s="26" t="n">
        <v>45495</v>
      </c>
      <c r="B2839" s="14" t="inlineStr">
        <is>
          <t>NB-0028</t>
        </is>
      </c>
      <c r="C2839" s="14" t="n">
        <v>89</v>
      </c>
      <c r="D2839" s="14">
        <f>IF(A2839&gt;LastWeek-364,1,0)</f>
        <v/>
      </c>
      <c r="E2839" s="14">
        <f>C2839^2*D2839</f>
        <v/>
      </c>
    </row>
    <row r="2840">
      <c r="A2840" s="26" t="n">
        <v>45502</v>
      </c>
      <c r="B2840" s="14" t="inlineStr">
        <is>
          <t>NB-0028</t>
        </is>
      </c>
      <c r="C2840" s="14" t="n">
        <v>151</v>
      </c>
      <c r="D2840" s="14">
        <f>IF(A2840&gt;LastWeek-364,1,0)</f>
        <v/>
      </c>
      <c r="E2840" s="14">
        <f>C2840^2*D2840</f>
        <v/>
      </c>
    </row>
    <row r="2841">
      <c r="A2841" s="26" t="n">
        <v>45509</v>
      </c>
      <c r="B2841" s="14" t="inlineStr">
        <is>
          <t>NB-0028</t>
        </is>
      </c>
      <c r="C2841" s="14" t="n">
        <v>164</v>
      </c>
      <c r="D2841" s="14">
        <f>IF(A2841&gt;LastWeek-364,1,0)</f>
        <v/>
      </c>
      <c r="E2841" s="14">
        <f>C2841^2*D2841</f>
        <v/>
      </c>
    </row>
    <row r="2842">
      <c r="A2842" s="26" t="n">
        <v>45516</v>
      </c>
      <c r="B2842" s="14" t="inlineStr">
        <is>
          <t>NB-0028</t>
        </is>
      </c>
      <c r="C2842" s="14" t="n">
        <v>111</v>
      </c>
      <c r="D2842" s="14">
        <f>IF(A2842&gt;LastWeek-364,1,0)</f>
        <v/>
      </c>
      <c r="E2842" s="14">
        <f>C2842^2*D2842</f>
        <v/>
      </c>
    </row>
    <row r="2843">
      <c r="A2843" s="26" t="n">
        <v>45523</v>
      </c>
      <c r="B2843" s="14" t="inlineStr">
        <is>
          <t>NB-0028</t>
        </is>
      </c>
      <c r="C2843" s="14" t="n">
        <v>117</v>
      </c>
      <c r="D2843" s="14">
        <f>IF(A2843&gt;LastWeek-364,1,0)</f>
        <v/>
      </c>
      <c r="E2843" s="14">
        <f>C2843^2*D2843</f>
        <v/>
      </c>
    </row>
    <row r="2844">
      <c r="A2844" s="26" t="n">
        <v>45530</v>
      </c>
      <c r="B2844" s="14" t="inlineStr">
        <is>
          <t>NB-0028</t>
        </is>
      </c>
      <c r="C2844" s="14" t="n">
        <v>151</v>
      </c>
      <c r="D2844" s="14">
        <f>IF(A2844&gt;LastWeek-364,1,0)</f>
        <v/>
      </c>
      <c r="E2844" s="14">
        <f>C2844^2*D2844</f>
        <v/>
      </c>
    </row>
    <row r="2845">
      <c r="A2845" s="26" t="n">
        <v>45537</v>
      </c>
      <c r="B2845" s="14" t="inlineStr">
        <is>
          <t>NB-0028</t>
        </is>
      </c>
      <c r="C2845" s="14" t="n">
        <v>121</v>
      </c>
      <c r="D2845" s="14">
        <f>IF(A2845&gt;LastWeek-364,1,0)</f>
        <v/>
      </c>
      <c r="E2845" s="14">
        <f>C2845^2*D2845</f>
        <v/>
      </c>
    </row>
    <row r="2846">
      <c r="A2846" s="26" t="n">
        <v>45544</v>
      </c>
      <c r="B2846" s="14" t="inlineStr">
        <is>
          <t>NB-0028</t>
        </is>
      </c>
      <c r="C2846" s="14" t="n">
        <v>54</v>
      </c>
      <c r="D2846" s="14">
        <f>IF(A2846&gt;LastWeek-364,1,0)</f>
        <v/>
      </c>
      <c r="E2846" s="14">
        <f>C2846^2*D2846</f>
        <v/>
      </c>
    </row>
    <row r="2847">
      <c r="A2847" s="26" t="n">
        <v>45551</v>
      </c>
      <c r="B2847" s="14" t="inlineStr">
        <is>
          <t>NB-0028</t>
        </is>
      </c>
      <c r="C2847" s="14" t="n">
        <v>77</v>
      </c>
      <c r="D2847" s="14">
        <f>IF(A2847&gt;LastWeek-364,1,0)</f>
        <v/>
      </c>
      <c r="E2847" s="14">
        <f>C2847^2*D2847</f>
        <v/>
      </c>
    </row>
    <row r="2848">
      <c r="A2848" s="26" t="n">
        <v>45558</v>
      </c>
      <c r="B2848" s="14" t="inlineStr">
        <is>
          <t>NB-0028</t>
        </is>
      </c>
      <c r="C2848" s="14" t="n">
        <v>128</v>
      </c>
      <c r="D2848" s="14">
        <f>IF(A2848&gt;LastWeek-364,1,0)</f>
        <v/>
      </c>
      <c r="E2848" s="14">
        <f>C2848^2*D2848</f>
        <v/>
      </c>
    </row>
    <row r="2849">
      <c r="A2849" s="26" t="n">
        <v>45565</v>
      </c>
      <c r="B2849" s="14" t="inlineStr">
        <is>
          <t>NB-0028</t>
        </is>
      </c>
      <c r="C2849" s="14" t="n">
        <v>175</v>
      </c>
      <c r="D2849" s="14">
        <f>IF(A2849&gt;LastWeek-364,1,0)</f>
        <v/>
      </c>
      <c r="E2849" s="14">
        <f>C2849^2*D2849</f>
        <v/>
      </c>
    </row>
    <row r="2850">
      <c r="A2850" s="26" t="n">
        <v>45572</v>
      </c>
      <c r="B2850" s="14" t="inlineStr">
        <is>
          <t>NB-0028</t>
        </is>
      </c>
      <c r="C2850" s="14" t="n">
        <v>195</v>
      </c>
      <c r="D2850" s="14">
        <f>IF(A2850&gt;LastWeek-364,1,0)</f>
        <v/>
      </c>
      <c r="E2850" s="14">
        <f>C2850^2*D2850</f>
        <v/>
      </c>
    </row>
    <row r="2851">
      <c r="A2851" s="26" t="n">
        <v>45579</v>
      </c>
      <c r="B2851" s="14" t="inlineStr">
        <is>
          <t>NB-0028</t>
        </is>
      </c>
      <c r="C2851" s="14" t="n">
        <v>155</v>
      </c>
      <c r="D2851" s="14">
        <f>IF(A2851&gt;LastWeek-364,1,0)</f>
        <v/>
      </c>
      <c r="E2851" s="14">
        <f>C2851^2*D2851</f>
        <v/>
      </c>
    </row>
    <row r="2852">
      <c r="A2852" s="26" t="n">
        <v>45586</v>
      </c>
      <c r="B2852" s="14" t="inlineStr">
        <is>
          <t>NB-0028</t>
        </is>
      </c>
      <c r="C2852" s="14" t="n">
        <v>132</v>
      </c>
      <c r="D2852" s="14">
        <f>IF(A2852&gt;LastWeek-364,1,0)</f>
        <v/>
      </c>
      <c r="E2852" s="14">
        <f>C2852^2*D2852</f>
        <v/>
      </c>
    </row>
    <row r="2853">
      <c r="A2853" s="26" t="n">
        <v>45593</v>
      </c>
      <c r="B2853" s="14" t="inlineStr">
        <is>
          <t>NB-0028</t>
        </is>
      </c>
      <c r="C2853" s="14" t="n">
        <v>155</v>
      </c>
      <c r="D2853" s="14">
        <f>IF(A2853&gt;LastWeek-364,1,0)</f>
        <v/>
      </c>
      <c r="E2853" s="14">
        <f>C2853^2*D2853</f>
        <v/>
      </c>
    </row>
    <row r="2854">
      <c r="A2854" s="26" t="n">
        <v>45600</v>
      </c>
      <c r="B2854" s="14" t="inlineStr">
        <is>
          <t>NB-0028</t>
        </is>
      </c>
      <c r="C2854" s="14" t="n">
        <v>86</v>
      </c>
      <c r="D2854" s="14">
        <f>IF(A2854&gt;LastWeek-364,1,0)</f>
        <v/>
      </c>
      <c r="E2854" s="14">
        <f>C2854^2*D2854</f>
        <v/>
      </c>
    </row>
    <row r="2855">
      <c r="A2855" s="26" t="n">
        <v>45607</v>
      </c>
      <c r="B2855" s="14" t="inlineStr">
        <is>
          <t>NB-0028</t>
        </is>
      </c>
      <c r="C2855" s="14" t="n">
        <v>112</v>
      </c>
      <c r="D2855" s="14">
        <f>IF(A2855&gt;LastWeek-364,1,0)</f>
        <v/>
      </c>
      <c r="E2855" s="14">
        <f>C2855^2*D2855</f>
        <v/>
      </c>
    </row>
    <row r="2856">
      <c r="A2856" s="26" t="n">
        <v>45614</v>
      </c>
      <c r="B2856" s="14" t="inlineStr">
        <is>
          <t>NB-0028</t>
        </is>
      </c>
      <c r="C2856" s="14" t="n">
        <v>79</v>
      </c>
      <c r="D2856" s="14">
        <f>IF(A2856&gt;LastWeek-364,1,0)</f>
        <v/>
      </c>
      <c r="E2856" s="14">
        <f>C2856^2*D2856</f>
        <v/>
      </c>
    </row>
    <row r="2857">
      <c r="A2857" s="26" t="n">
        <v>45621</v>
      </c>
      <c r="B2857" s="14" t="inlineStr">
        <is>
          <t>NB-0028</t>
        </is>
      </c>
      <c r="C2857" s="14" t="n">
        <v>58</v>
      </c>
      <c r="D2857" s="14">
        <f>IF(A2857&gt;LastWeek-364,1,0)</f>
        <v/>
      </c>
      <c r="E2857" s="14">
        <f>C2857^2*D2857</f>
        <v/>
      </c>
    </row>
    <row r="2858">
      <c r="A2858" s="26" t="n">
        <v>45628</v>
      </c>
      <c r="B2858" s="14" t="inlineStr">
        <is>
          <t>NB-0028</t>
        </is>
      </c>
      <c r="C2858" s="14" t="n">
        <v>136</v>
      </c>
      <c r="D2858" s="14">
        <f>IF(A2858&gt;LastWeek-364,1,0)</f>
        <v/>
      </c>
      <c r="E2858" s="14">
        <f>C2858^2*D2858</f>
        <v/>
      </c>
    </row>
    <row r="2859">
      <c r="A2859" s="26" t="n">
        <v>45635</v>
      </c>
      <c r="B2859" s="14" t="inlineStr">
        <is>
          <t>NB-0028</t>
        </is>
      </c>
      <c r="C2859" s="14" t="n">
        <v>129</v>
      </c>
      <c r="D2859" s="14">
        <f>IF(A2859&gt;LastWeek-364,1,0)</f>
        <v/>
      </c>
      <c r="E2859" s="14">
        <f>C2859^2*D2859</f>
        <v/>
      </c>
    </row>
    <row r="2860">
      <c r="A2860" s="26" t="n">
        <v>45642</v>
      </c>
      <c r="B2860" s="14" t="inlineStr">
        <is>
          <t>NB-0028</t>
        </is>
      </c>
      <c r="C2860" s="14" t="n">
        <v>154</v>
      </c>
      <c r="D2860" s="14">
        <f>IF(A2860&gt;LastWeek-364,1,0)</f>
        <v/>
      </c>
      <c r="E2860" s="14">
        <f>C2860^2*D2860</f>
        <v/>
      </c>
    </row>
    <row r="2861">
      <c r="A2861" s="26" t="n">
        <v>45649</v>
      </c>
      <c r="B2861" s="14" t="inlineStr">
        <is>
          <t>NB-0028</t>
        </is>
      </c>
      <c r="C2861" s="14" t="n">
        <v>147</v>
      </c>
      <c r="D2861" s="14">
        <f>IF(A2861&gt;LastWeek-364,1,0)</f>
        <v/>
      </c>
      <c r="E2861" s="14">
        <f>C2861^2*D2861</f>
        <v/>
      </c>
    </row>
    <row r="2862">
      <c r="A2862" s="26" t="n">
        <v>45656</v>
      </c>
      <c r="B2862" s="14" t="inlineStr">
        <is>
          <t>NB-0028</t>
        </is>
      </c>
      <c r="C2862" s="14" t="n">
        <v>132</v>
      </c>
      <c r="D2862" s="14">
        <f>IF(A2862&gt;LastWeek-364,1,0)</f>
        <v/>
      </c>
      <c r="E2862" s="14">
        <f>C2862^2*D2862</f>
        <v/>
      </c>
    </row>
    <row r="2863">
      <c r="A2863" s="26" t="n">
        <v>45663</v>
      </c>
      <c r="B2863" s="14" t="inlineStr">
        <is>
          <t>NB-0028</t>
        </is>
      </c>
      <c r="C2863" s="14" t="n">
        <v>148</v>
      </c>
      <c r="D2863" s="14">
        <f>IF(A2863&gt;LastWeek-364,1,0)</f>
        <v/>
      </c>
      <c r="E2863" s="14">
        <f>C2863^2*D2863</f>
        <v/>
      </c>
    </row>
    <row r="2864">
      <c r="A2864" s="26" t="n">
        <v>45670</v>
      </c>
      <c r="B2864" s="14" t="inlineStr">
        <is>
          <t>NB-0028</t>
        </is>
      </c>
      <c r="C2864" s="14" t="n">
        <v>118</v>
      </c>
      <c r="D2864" s="14">
        <f>IF(A2864&gt;LastWeek-364,1,0)</f>
        <v/>
      </c>
      <c r="E2864" s="14">
        <f>C2864^2*D2864</f>
        <v/>
      </c>
    </row>
    <row r="2865">
      <c r="A2865" s="26" t="n">
        <v>45677</v>
      </c>
      <c r="B2865" s="14" t="inlineStr">
        <is>
          <t>NB-0028</t>
        </is>
      </c>
      <c r="C2865" s="14" t="n">
        <v>140</v>
      </c>
      <c r="D2865" s="14">
        <f>IF(A2865&gt;LastWeek-364,1,0)</f>
        <v/>
      </c>
      <c r="E2865" s="14">
        <f>C2865^2*D2865</f>
        <v/>
      </c>
    </row>
    <row r="2866">
      <c r="A2866" s="26" t="n">
        <v>45684</v>
      </c>
      <c r="B2866" s="14" t="inlineStr">
        <is>
          <t>NB-0028</t>
        </is>
      </c>
      <c r="C2866" s="14" t="n">
        <v>84</v>
      </c>
      <c r="D2866" s="14">
        <f>IF(A2866&gt;LastWeek-364,1,0)</f>
        <v/>
      </c>
      <c r="E2866" s="14">
        <f>C2866^2*D2866</f>
        <v/>
      </c>
    </row>
    <row r="2867">
      <c r="A2867" s="26" t="n">
        <v>45691</v>
      </c>
      <c r="B2867" s="14" t="inlineStr">
        <is>
          <t>NB-0028</t>
        </is>
      </c>
      <c r="C2867" s="14" t="n">
        <v>138</v>
      </c>
      <c r="D2867" s="14">
        <f>IF(A2867&gt;LastWeek-364,1,0)</f>
        <v/>
      </c>
      <c r="E2867" s="14">
        <f>C2867^2*D2867</f>
        <v/>
      </c>
    </row>
    <row r="2868">
      <c r="A2868" s="26" t="n">
        <v>45698</v>
      </c>
      <c r="B2868" s="14" t="inlineStr">
        <is>
          <t>NB-0028</t>
        </is>
      </c>
      <c r="C2868" s="14" t="n">
        <v>152</v>
      </c>
      <c r="D2868" s="14">
        <f>IF(A2868&gt;LastWeek-364,1,0)</f>
        <v/>
      </c>
      <c r="E2868" s="14">
        <f>C2868^2*D2868</f>
        <v/>
      </c>
    </row>
    <row r="2869">
      <c r="A2869" s="26" t="n">
        <v>45705</v>
      </c>
      <c r="B2869" s="14" t="inlineStr">
        <is>
          <t>NB-0028</t>
        </is>
      </c>
      <c r="C2869" s="14" t="n">
        <v>86</v>
      </c>
      <c r="D2869" s="14">
        <f>IF(A2869&gt;LastWeek-364,1,0)</f>
        <v/>
      </c>
      <c r="E2869" s="14">
        <f>C2869^2*D2869</f>
        <v/>
      </c>
    </row>
    <row r="2870">
      <c r="A2870" s="26" t="n">
        <v>45712</v>
      </c>
      <c r="B2870" s="14" t="inlineStr">
        <is>
          <t>NB-0028</t>
        </is>
      </c>
      <c r="C2870" s="14" t="n">
        <v>121</v>
      </c>
      <c r="D2870" s="14">
        <f>IF(A2870&gt;LastWeek-364,1,0)</f>
        <v/>
      </c>
      <c r="E2870" s="14">
        <f>C2870^2*D2870</f>
        <v/>
      </c>
    </row>
    <row r="2871">
      <c r="A2871" s="26" t="n">
        <v>45719</v>
      </c>
      <c r="B2871" s="14" t="inlineStr">
        <is>
          <t>NB-0028</t>
        </is>
      </c>
      <c r="C2871" s="14" t="n">
        <v>88</v>
      </c>
      <c r="D2871" s="14">
        <f>IF(A2871&gt;LastWeek-364,1,0)</f>
        <v/>
      </c>
      <c r="E2871" s="14">
        <f>C2871^2*D2871</f>
        <v/>
      </c>
    </row>
    <row r="2872">
      <c r="A2872" s="26" t="n">
        <v>45726</v>
      </c>
      <c r="B2872" s="14" t="inlineStr">
        <is>
          <t>NB-0028</t>
        </is>
      </c>
      <c r="C2872" s="14" t="n">
        <v>92</v>
      </c>
      <c r="D2872" s="14">
        <f>IF(A2872&gt;LastWeek-364,1,0)</f>
        <v/>
      </c>
      <c r="E2872" s="14">
        <f>C2872^2*D2872</f>
        <v/>
      </c>
    </row>
    <row r="2873">
      <c r="A2873" s="26" t="n">
        <v>45733</v>
      </c>
      <c r="B2873" s="14" t="inlineStr">
        <is>
          <t>NB-0028</t>
        </is>
      </c>
      <c r="C2873" s="14" t="n">
        <v>63</v>
      </c>
      <c r="D2873" s="14">
        <f>IF(A2873&gt;LastWeek-364,1,0)</f>
        <v/>
      </c>
      <c r="E2873" s="14">
        <f>C2873^2*D2873</f>
        <v/>
      </c>
    </row>
    <row r="2874">
      <c r="A2874" s="26" t="n">
        <v>45740</v>
      </c>
      <c r="B2874" s="14" t="inlineStr">
        <is>
          <t>NB-0028</t>
        </is>
      </c>
      <c r="C2874" s="14" t="n">
        <v>177</v>
      </c>
      <c r="D2874" s="14">
        <f>IF(A2874&gt;LastWeek-364,1,0)</f>
        <v/>
      </c>
      <c r="E2874" s="14">
        <f>C2874^2*D2874</f>
        <v/>
      </c>
    </row>
    <row r="2875">
      <c r="A2875" s="26" t="n">
        <v>45747</v>
      </c>
      <c r="B2875" s="14" t="inlineStr">
        <is>
          <t>NB-0028</t>
        </is>
      </c>
      <c r="C2875" s="14" t="n">
        <v>167</v>
      </c>
      <c r="D2875" s="14">
        <f>IF(A2875&gt;LastWeek-364,1,0)</f>
        <v/>
      </c>
      <c r="E2875" s="14">
        <f>C2875^2*D2875</f>
        <v/>
      </c>
    </row>
    <row r="2876">
      <c r="A2876" s="26" t="n">
        <v>45754</v>
      </c>
      <c r="B2876" s="14" t="inlineStr">
        <is>
          <t>NB-0028</t>
        </is>
      </c>
      <c r="C2876" s="14" t="n">
        <v>141</v>
      </c>
      <c r="D2876" s="14">
        <f>IF(A2876&gt;LastWeek-364,1,0)</f>
        <v/>
      </c>
      <c r="E2876" s="14">
        <f>C2876^2*D2876</f>
        <v/>
      </c>
    </row>
    <row r="2877">
      <c r="A2877" s="26" t="n">
        <v>45761</v>
      </c>
      <c r="B2877" s="14" t="inlineStr">
        <is>
          <t>NB-0028</t>
        </is>
      </c>
      <c r="C2877" s="14" t="n">
        <v>208</v>
      </c>
      <c r="D2877" s="14">
        <f>IF(A2877&gt;LastWeek-364,1,0)</f>
        <v/>
      </c>
      <c r="E2877" s="14">
        <f>C2877^2*D2877</f>
        <v/>
      </c>
    </row>
    <row r="2878">
      <c r="A2878" s="26" t="n">
        <v>45768</v>
      </c>
      <c r="B2878" s="14" t="inlineStr">
        <is>
          <t>NB-0028</t>
        </is>
      </c>
      <c r="C2878" s="14" t="n">
        <v>105</v>
      </c>
      <c r="D2878" s="14">
        <f>IF(A2878&gt;LastWeek-364,1,0)</f>
        <v/>
      </c>
      <c r="E2878" s="14">
        <f>C2878^2*D2878</f>
        <v/>
      </c>
    </row>
    <row r="2879">
      <c r="A2879" s="26" t="n">
        <v>45775</v>
      </c>
      <c r="B2879" s="14" t="inlineStr">
        <is>
          <t>NB-0028</t>
        </is>
      </c>
      <c r="C2879" s="14" t="n">
        <v>256</v>
      </c>
      <c r="D2879" s="14">
        <f>IF(A2879&gt;LastWeek-364,1,0)</f>
        <v/>
      </c>
      <c r="E2879" s="14">
        <f>C2879^2*D2879</f>
        <v/>
      </c>
    </row>
    <row r="2880">
      <c r="A2880" s="26" t="n">
        <v>45782</v>
      </c>
      <c r="B2880" s="14" t="inlineStr">
        <is>
          <t>NB-0028</t>
        </is>
      </c>
      <c r="C2880" s="14" t="n">
        <v>103</v>
      </c>
      <c r="D2880" s="14">
        <f>IF(A2880&gt;LastWeek-364,1,0)</f>
        <v/>
      </c>
      <c r="E2880" s="14">
        <f>C2880^2*D2880</f>
        <v/>
      </c>
    </row>
    <row r="2881">
      <c r="A2881" s="26" t="n">
        <v>45789</v>
      </c>
      <c r="B2881" s="14" t="inlineStr">
        <is>
          <t>NB-0028</t>
        </is>
      </c>
      <c r="C2881" s="14" t="n">
        <v>125</v>
      </c>
      <c r="D2881" s="14">
        <f>IF(A2881&gt;LastWeek-364,1,0)</f>
        <v/>
      </c>
      <c r="E2881" s="14">
        <f>C2881^2*D2881</f>
        <v/>
      </c>
    </row>
    <row r="2882">
      <c r="A2882" s="26" t="n">
        <v>45796</v>
      </c>
      <c r="B2882" s="14" t="inlineStr">
        <is>
          <t>NB-0028</t>
        </is>
      </c>
      <c r="C2882" s="14" t="n">
        <v>94</v>
      </c>
      <c r="D2882" s="14">
        <f>IF(A2882&gt;LastWeek-364,1,0)</f>
        <v/>
      </c>
      <c r="E2882" s="14">
        <f>C2882^2*D2882</f>
        <v/>
      </c>
    </row>
    <row r="2883">
      <c r="A2883" s="26" t="n">
        <v>45803</v>
      </c>
      <c r="B2883" s="14" t="inlineStr">
        <is>
          <t>NB-0028</t>
        </is>
      </c>
      <c r="C2883" s="14" t="n">
        <v>129</v>
      </c>
      <c r="D2883" s="14">
        <f>IF(A2883&gt;LastWeek-364,1,0)</f>
        <v/>
      </c>
      <c r="E2883" s="14">
        <f>C2883^2*D2883</f>
        <v/>
      </c>
    </row>
    <row r="2884">
      <c r="A2884" s="26" t="n">
        <v>45810</v>
      </c>
      <c r="B2884" s="14" t="inlineStr">
        <is>
          <t>NB-0028</t>
        </is>
      </c>
      <c r="C2884" s="14" t="n">
        <v>150</v>
      </c>
      <c r="D2884" s="14">
        <f>IF(A2884&gt;LastWeek-364,1,0)</f>
        <v/>
      </c>
      <c r="E2884" s="14">
        <f>C2884^2*D2884</f>
        <v/>
      </c>
    </row>
    <row r="2885">
      <c r="A2885" s="26" t="n">
        <v>45817</v>
      </c>
      <c r="B2885" s="14" t="inlineStr">
        <is>
          <t>NB-0028</t>
        </is>
      </c>
      <c r="C2885" s="14" t="n">
        <v>106</v>
      </c>
      <c r="D2885" s="14">
        <f>IF(A2885&gt;LastWeek-364,1,0)</f>
        <v/>
      </c>
      <c r="E2885" s="14">
        <f>C2885^2*D2885</f>
        <v/>
      </c>
    </row>
    <row r="2886">
      <c r="A2886" s="26" t="n">
        <v>45824</v>
      </c>
      <c r="B2886" s="14" t="inlineStr">
        <is>
          <t>NB-0028</t>
        </is>
      </c>
      <c r="C2886" s="14" t="n">
        <v>192</v>
      </c>
      <c r="D2886" s="14">
        <f>IF(A2886&gt;LastWeek-364,1,0)</f>
        <v/>
      </c>
      <c r="E2886" s="14">
        <f>C2886^2*D2886</f>
        <v/>
      </c>
    </row>
    <row r="2887">
      <c r="A2887" s="26" t="n">
        <v>45831</v>
      </c>
      <c r="B2887" s="14" t="inlineStr">
        <is>
          <t>NB-0028</t>
        </is>
      </c>
      <c r="C2887" s="14" t="n">
        <v>122</v>
      </c>
      <c r="D2887" s="14">
        <f>IF(A2887&gt;LastWeek-364,1,0)</f>
        <v/>
      </c>
      <c r="E2887" s="14">
        <f>C2887^2*D2887</f>
        <v/>
      </c>
    </row>
    <row r="2888">
      <c r="A2888" s="26" t="n">
        <v>45838</v>
      </c>
      <c r="B2888" s="14" t="inlineStr">
        <is>
          <t>NB-0028</t>
        </is>
      </c>
      <c r="C2888" s="14" t="n">
        <v>123</v>
      </c>
      <c r="D2888" s="14">
        <f>IF(A2888&gt;LastWeek-364,1,0)</f>
        <v/>
      </c>
      <c r="E2888" s="14">
        <f>C2888^2*D2888</f>
        <v/>
      </c>
    </row>
    <row r="2889">
      <c r="A2889" s="26" t="n">
        <v>45845</v>
      </c>
      <c r="B2889" s="14" t="inlineStr">
        <is>
          <t>NB-0028</t>
        </is>
      </c>
      <c r="C2889" s="14" t="n">
        <v>69</v>
      </c>
      <c r="D2889" s="14">
        <f>IF(A2889&gt;LastWeek-364,1,0)</f>
        <v/>
      </c>
      <c r="E2889" s="14">
        <f>C2889^2*D2889</f>
        <v/>
      </c>
    </row>
    <row r="2890">
      <c r="A2890" s="26" t="n">
        <v>45852</v>
      </c>
      <c r="B2890" s="14" t="inlineStr">
        <is>
          <t>NB-0028</t>
        </is>
      </c>
      <c r="C2890" s="14" t="n">
        <v>130</v>
      </c>
      <c r="D2890" s="14">
        <f>IF(A2890&gt;LastWeek-364,1,0)</f>
        <v/>
      </c>
      <c r="E2890" s="14">
        <f>C2890^2*D2890</f>
        <v/>
      </c>
    </row>
    <row r="2891">
      <c r="A2891" s="26" t="n">
        <v>45859</v>
      </c>
      <c r="B2891" s="14" t="inlineStr">
        <is>
          <t>NB-0028</t>
        </is>
      </c>
      <c r="C2891" s="14" t="n">
        <v>104</v>
      </c>
      <c r="D2891" s="14">
        <f>IF(A2891&gt;LastWeek-364,1,0)</f>
        <v/>
      </c>
      <c r="E2891" s="14">
        <f>C2891^2*D2891</f>
        <v/>
      </c>
    </row>
    <row r="2892">
      <c r="A2892" s="26" t="n">
        <v>45866</v>
      </c>
      <c r="B2892" s="14" t="inlineStr">
        <is>
          <t>NB-0028</t>
        </is>
      </c>
      <c r="C2892" s="14" t="n">
        <v>83</v>
      </c>
      <c r="D2892" s="14">
        <f>IF(A2892&gt;LastWeek-364,1,0)</f>
        <v/>
      </c>
      <c r="E2892" s="14">
        <f>C2892^2*D2892</f>
        <v/>
      </c>
    </row>
    <row r="2893">
      <c r="A2893" s="26" t="n">
        <v>45873</v>
      </c>
      <c r="B2893" s="14" t="inlineStr">
        <is>
          <t>NB-0028</t>
        </is>
      </c>
      <c r="C2893" s="14" t="n">
        <v>75</v>
      </c>
      <c r="D2893" s="14">
        <f>IF(A2893&gt;LastWeek-364,1,0)</f>
        <v/>
      </c>
      <c r="E2893" s="14">
        <f>C2893^2*D2893</f>
        <v/>
      </c>
    </row>
    <row r="2894">
      <c r="A2894" s="26" t="n">
        <v>45880</v>
      </c>
      <c r="B2894" s="14" t="inlineStr">
        <is>
          <t>NB-0028</t>
        </is>
      </c>
      <c r="C2894" s="14" t="n">
        <v>233</v>
      </c>
      <c r="D2894" s="14">
        <f>IF(A2894&gt;LastWeek-364,1,0)</f>
        <v/>
      </c>
      <c r="E2894" s="14">
        <f>C2894^2*D2894</f>
        <v/>
      </c>
    </row>
    <row r="2895">
      <c r="A2895" s="26" t="n">
        <v>45887</v>
      </c>
      <c r="B2895" s="14" t="inlineStr">
        <is>
          <t>NB-0028</t>
        </is>
      </c>
      <c r="C2895" s="14" t="n">
        <v>99</v>
      </c>
      <c r="D2895" s="14">
        <f>IF(A2895&gt;LastWeek-364,1,0)</f>
        <v/>
      </c>
      <c r="E2895" s="14">
        <f>C2895^2*D2895</f>
        <v/>
      </c>
    </row>
    <row r="2896">
      <c r="A2896" s="26" t="n">
        <v>45894</v>
      </c>
      <c r="B2896" s="14" t="inlineStr">
        <is>
          <t>NB-0028</t>
        </is>
      </c>
      <c r="C2896" s="14" t="n">
        <v>45</v>
      </c>
      <c r="D2896" s="14">
        <f>IF(A2896&gt;LastWeek-364,1,0)</f>
        <v/>
      </c>
      <c r="E2896" s="14">
        <f>C2896^2*D2896</f>
        <v/>
      </c>
    </row>
    <row r="2897">
      <c r="A2897" s="26" t="n">
        <v>45901</v>
      </c>
      <c r="B2897" s="14" t="inlineStr">
        <is>
          <t>NB-0028</t>
        </is>
      </c>
      <c r="C2897" s="14" t="n">
        <v>80</v>
      </c>
      <c r="D2897" s="14">
        <f>IF(A2897&gt;LastWeek-364,1,0)</f>
        <v/>
      </c>
      <c r="E2897" s="14">
        <f>C2897^2*D2897</f>
        <v/>
      </c>
    </row>
    <row r="2898">
      <c r="A2898" s="26" t="n">
        <v>45908</v>
      </c>
      <c r="B2898" s="14" t="inlineStr">
        <is>
          <t>NB-0028</t>
        </is>
      </c>
      <c r="C2898" s="14" t="n">
        <v>110</v>
      </c>
      <c r="D2898" s="14">
        <f>IF(A2898&gt;LastWeek-364,1,0)</f>
        <v/>
      </c>
      <c r="E2898" s="14">
        <f>C2898^2*D2898</f>
        <v/>
      </c>
    </row>
    <row r="2899">
      <c r="A2899" s="26" t="n">
        <v>45915</v>
      </c>
      <c r="B2899" s="14" t="inlineStr">
        <is>
          <t>NB-0028</t>
        </is>
      </c>
      <c r="C2899" s="14" t="n">
        <v>138</v>
      </c>
      <c r="D2899" s="14">
        <f>IF(A2899&gt;LastWeek-364,1,0)</f>
        <v/>
      </c>
      <c r="E2899" s="14">
        <f>C2899^2*D2899</f>
        <v/>
      </c>
    </row>
    <row r="2900">
      <c r="A2900" s="26" t="n">
        <v>45922</v>
      </c>
      <c r="B2900" s="14" t="inlineStr">
        <is>
          <t>NB-0028</t>
        </is>
      </c>
      <c r="C2900" s="14" t="n">
        <v>139</v>
      </c>
      <c r="D2900" s="14">
        <f>IF(A2900&gt;LastWeek-364,1,0)</f>
        <v/>
      </c>
      <c r="E2900" s="14">
        <f>C2900^2*D2900</f>
        <v/>
      </c>
    </row>
    <row r="2901">
      <c r="A2901" s="26" t="n">
        <v>45929</v>
      </c>
      <c r="B2901" s="14" t="inlineStr">
        <is>
          <t>NB-0028</t>
        </is>
      </c>
      <c r="C2901" s="14" t="n">
        <v>145</v>
      </c>
      <c r="D2901" s="14">
        <f>IF(A2901&gt;LastWeek-364,1,0)</f>
        <v/>
      </c>
      <c r="E2901" s="14">
        <f>C2901^2*D2901</f>
        <v/>
      </c>
    </row>
    <row r="2902">
      <c r="A2902" s="26" t="n">
        <v>45936</v>
      </c>
      <c r="B2902" s="14" t="inlineStr">
        <is>
          <t>NB-0028</t>
        </is>
      </c>
      <c r="C2902" s="14" t="n">
        <v>83</v>
      </c>
      <c r="D2902" s="14">
        <f>IF(A2902&gt;LastWeek-364,1,0)</f>
        <v/>
      </c>
      <c r="E2902" s="14">
        <f>C2902^2*D2902</f>
        <v/>
      </c>
    </row>
    <row r="2903">
      <c r="A2903" s="26" t="n">
        <v>45943</v>
      </c>
      <c r="B2903" s="14" t="inlineStr">
        <is>
          <t>NB-0028</t>
        </is>
      </c>
      <c r="C2903" s="14" t="n">
        <v>130</v>
      </c>
      <c r="D2903" s="14">
        <f>IF(A2903&gt;LastWeek-364,1,0)</f>
        <v/>
      </c>
      <c r="E2903" s="14">
        <f>C2903^2*D2903</f>
        <v/>
      </c>
    </row>
    <row r="2904">
      <c r="A2904" s="26" t="n">
        <v>45950</v>
      </c>
      <c r="B2904" s="14" t="inlineStr">
        <is>
          <t>NB-0028</t>
        </is>
      </c>
      <c r="C2904" s="14" t="n">
        <v>73</v>
      </c>
      <c r="D2904" s="14">
        <f>IF(A2904&gt;LastWeek-364,1,0)</f>
        <v/>
      </c>
      <c r="E2904" s="14">
        <f>C2904^2*D2904</f>
        <v/>
      </c>
    </row>
    <row r="2905">
      <c r="A2905" s="26" t="n">
        <v>45957</v>
      </c>
      <c r="B2905" s="14" t="inlineStr">
        <is>
          <t>NB-0028</t>
        </is>
      </c>
      <c r="C2905" s="14" t="n">
        <v>86</v>
      </c>
      <c r="D2905" s="14">
        <f>IF(A2905&gt;LastWeek-364,1,0)</f>
        <v/>
      </c>
      <c r="E2905" s="14">
        <f>C2905^2*D2905</f>
        <v/>
      </c>
    </row>
    <row r="2906">
      <c r="A2906" s="26" t="n">
        <v>45964</v>
      </c>
      <c r="B2906" s="14" t="inlineStr">
        <is>
          <t>NB-0028</t>
        </is>
      </c>
      <c r="C2906" s="14" t="n">
        <v>72</v>
      </c>
      <c r="D2906" s="14">
        <f>IF(A2906&gt;LastWeek-364,1,0)</f>
        <v/>
      </c>
      <c r="E2906" s="14">
        <f>C2906^2*D2906</f>
        <v/>
      </c>
    </row>
    <row r="2907">
      <c r="A2907" s="26" t="n">
        <v>45971</v>
      </c>
      <c r="B2907" s="14" t="inlineStr">
        <is>
          <t>NB-0028</t>
        </is>
      </c>
      <c r="C2907" s="14" t="n">
        <v>59</v>
      </c>
      <c r="D2907" s="14">
        <f>IF(A2907&gt;LastWeek-364,1,0)</f>
        <v/>
      </c>
      <c r="E2907" s="14">
        <f>C2907^2*D2907</f>
        <v/>
      </c>
    </row>
    <row r="2908">
      <c r="A2908" s="26" t="n">
        <v>45978</v>
      </c>
      <c r="B2908" s="14" t="inlineStr">
        <is>
          <t>NB-0028</t>
        </is>
      </c>
      <c r="C2908" s="14" t="n">
        <v>167</v>
      </c>
      <c r="D2908" s="14">
        <f>IF(A2908&gt;LastWeek-364,1,0)</f>
        <v/>
      </c>
      <c r="E2908" s="14">
        <f>C2908^2*D2908</f>
        <v/>
      </c>
    </row>
    <row r="2909">
      <c r="A2909" s="26" t="n">
        <v>45985</v>
      </c>
      <c r="B2909" s="14" t="inlineStr">
        <is>
          <t>NB-0028</t>
        </is>
      </c>
      <c r="C2909" s="14" t="n">
        <v>149</v>
      </c>
      <c r="D2909" s="14">
        <f>IF(A2909&gt;LastWeek-364,1,0)</f>
        <v/>
      </c>
      <c r="E2909" s="14">
        <f>C2909^2*D2909</f>
        <v/>
      </c>
    </row>
    <row r="2910">
      <c r="A2910" s="26" t="n">
        <v>45992</v>
      </c>
      <c r="B2910" s="14" t="inlineStr">
        <is>
          <t>NB-0028</t>
        </is>
      </c>
      <c r="C2910" s="14" t="n">
        <v>163</v>
      </c>
      <c r="D2910" s="14">
        <f>IF(A2910&gt;LastWeek-364,1,0)</f>
        <v/>
      </c>
      <c r="E2910" s="14">
        <f>C2910^2*D2910</f>
        <v/>
      </c>
    </row>
    <row r="2911">
      <c r="A2911" s="26" t="n">
        <v>45999</v>
      </c>
      <c r="B2911" s="14" t="inlineStr">
        <is>
          <t>NB-0028</t>
        </is>
      </c>
      <c r="C2911" s="14" t="n">
        <v>118</v>
      </c>
      <c r="D2911" s="14">
        <f>IF(A2911&gt;LastWeek-364,1,0)</f>
        <v/>
      </c>
      <c r="E2911" s="14">
        <f>C2911^2*D2911</f>
        <v/>
      </c>
    </row>
    <row r="2912">
      <c r="A2912" s="26" t="n">
        <v>46006</v>
      </c>
      <c r="B2912" s="14" t="inlineStr">
        <is>
          <t>NB-0028</t>
        </is>
      </c>
      <c r="C2912" s="14" t="n">
        <v>154</v>
      </c>
      <c r="D2912" s="14">
        <f>IF(A2912&gt;LastWeek-364,1,0)</f>
        <v/>
      </c>
      <c r="E2912" s="14">
        <f>C2912^2*D2912</f>
        <v/>
      </c>
    </row>
    <row r="2913">
      <c r="A2913" s="26" t="n">
        <v>46013</v>
      </c>
      <c r="B2913" s="14" t="inlineStr">
        <is>
          <t>NB-0028</t>
        </is>
      </c>
      <c r="C2913" s="14" t="n">
        <v>32</v>
      </c>
      <c r="D2913" s="14">
        <f>IF(A2913&gt;LastWeek-364,1,0)</f>
        <v/>
      </c>
      <c r="E2913" s="14">
        <f>C2913^2*D2913</f>
        <v/>
      </c>
    </row>
    <row r="2914">
      <c r="A2914" s="26" t="n">
        <v>45292</v>
      </c>
      <c r="B2914" s="14" t="inlineStr">
        <is>
          <t>NB-0029</t>
        </is>
      </c>
      <c r="C2914" s="14" t="n">
        <v>38</v>
      </c>
      <c r="D2914" s="14">
        <f>IF(A2914&gt;LastWeek-364,1,0)</f>
        <v/>
      </c>
      <c r="E2914" s="14">
        <f>C2914^2*D2914</f>
        <v/>
      </c>
    </row>
    <row r="2915">
      <c r="A2915" s="26" t="n">
        <v>45299</v>
      </c>
      <c r="B2915" s="14" t="inlineStr">
        <is>
          <t>NB-0029</t>
        </is>
      </c>
      <c r="C2915" s="14" t="n">
        <v>31</v>
      </c>
      <c r="D2915" s="14">
        <f>IF(A2915&gt;LastWeek-364,1,0)</f>
        <v/>
      </c>
      <c r="E2915" s="14">
        <f>C2915^2*D2915</f>
        <v/>
      </c>
    </row>
    <row r="2916">
      <c r="A2916" s="26" t="n">
        <v>45306</v>
      </c>
      <c r="B2916" s="14" t="inlineStr">
        <is>
          <t>NB-0029</t>
        </is>
      </c>
      <c r="C2916" s="14" t="n">
        <v>36</v>
      </c>
      <c r="D2916" s="14">
        <f>IF(A2916&gt;LastWeek-364,1,0)</f>
        <v/>
      </c>
      <c r="E2916" s="14">
        <f>C2916^2*D2916</f>
        <v/>
      </c>
    </row>
    <row r="2917">
      <c r="A2917" s="26" t="n">
        <v>45313</v>
      </c>
      <c r="B2917" s="14" t="inlineStr">
        <is>
          <t>NB-0029</t>
        </is>
      </c>
      <c r="C2917" s="14" t="n">
        <v>34</v>
      </c>
      <c r="D2917" s="14">
        <f>IF(A2917&gt;LastWeek-364,1,0)</f>
        <v/>
      </c>
      <c r="E2917" s="14">
        <f>C2917^2*D2917</f>
        <v/>
      </c>
    </row>
    <row r="2918">
      <c r="A2918" s="26" t="n">
        <v>45320</v>
      </c>
      <c r="B2918" s="14" t="inlineStr">
        <is>
          <t>NB-0029</t>
        </is>
      </c>
      <c r="C2918" s="14" t="n">
        <v>19</v>
      </c>
      <c r="D2918" s="14">
        <f>IF(A2918&gt;LastWeek-364,1,0)</f>
        <v/>
      </c>
      <c r="E2918" s="14">
        <f>C2918^2*D2918</f>
        <v/>
      </c>
    </row>
    <row r="2919">
      <c r="A2919" s="26" t="n">
        <v>45327</v>
      </c>
      <c r="B2919" s="14" t="inlineStr">
        <is>
          <t>NB-0029</t>
        </is>
      </c>
      <c r="C2919" s="14" t="n">
        <v>14</v>
      </c>
      <c r="D2919" s="14">
        <f>IF(A2919&gt;LastWeek-364,1,0)</f>
        <v/>
      </c>
      <c r="E2919" s="14">
        <f>C2919^2*D2919</f>
        <v/>
      </c>
    </row>
    <row r="2920">
      <c r="A2920" s="26" t="n">
        <v>45334</v>
      </c>
      <c r="B2920" s="14" t="inlineStr">
        <is>
          <t>NB-0029</t>
        </is>
      </c>
      <c r="C2920" s="14" t="n">
        <v>22</v>
      </c>
      <c r="D2920" s="14">
        <f>IF(A2920&gt;LastWeek-364,1,0)</f>
        <v/>
      </c>
      <c r="E2920" s="14">
        <f>C2920^2*D2920</f>
        <v/>
      </c>
    </row>
    <row r="2921">
      <c r="A2921" s="26" t="n">
        <v>45341</v>
      </c>
      <c r="B2921" s="14" t="inlineStr">
        <is>
          <t>NB-0029</t>
        </is>
      </c>
      <c r="C2921" s="14" t="n">
        <v>36</v>
      </c>
      <c r="D2921" s="14">
        <f>IF(A2921&gt;LastWeek-364,1,0)</f>
        <v/>
      </c>
      <c r="E2921" s="14">
        <f>C2921^2*D2921</f>
        <v/>
      </c>
    </row>
    <row r="2922">
      <c r="A2922" s="26" t="n">
        <v>45348</v>
      </c>
      <c r="B2922" s="14" t="inlineStr">
        <is>
          <t>NB-0029</t>
        </is>
      </c>
      <c r="C2922" s="14" t="n">
        <v>37</v>
      </c>
      <c r="D2922" s="14">
        <f>IF(A2922&gt;LastWeek-364,1,0)</f>
        <v/>
      </c>
      <c r="E2922" s="14">
        <f>C2922^2*D2922</f>
        <v/>
      </c>
    </row>
    <row r="2923">
      <c r="A2923" s="26" t="n">
        <v>45355</v>
      </c>
      <c r="B2923" s="14" t="inlineStr">
        <is>
          <t>NB-0029</t>
        </is>
      </c>
      <c r="C2923" s="14" t="n">
        <v>16</v>
      </c>
      <c r="D2923" s="14">
        <f>IF(A2923&gt;LastWeek-364,1,0)</f>
        <v/>
      </c>
      <c r="E2923" s="14">
        <f>C2923^2*D2923</f>
        <v/>
      </c>
    </row>
    <row r="2924">
      <c r="A2924" s="26" t="n">
        <v>45362</v>
      </c>
      <c r="B2924" s="14" t="inlineStr">
        <is>
          <t>NB-0029</t>
        </is>
      </c>
      <c r="C2924" s="14" t="n">
        <v>19</v>
      </c>
      <c r="D2924" s="14">
        <f>IF(A2924&gt;LastWeek-364,1,0)</f>
        <v/>
      </c>
      <c r="E2924" s="14">
        <f>C2924^2*D2924</f>
        <v/>
      </c>
    </row>
    <row r="2925">
      <c r="A2925" s="26" t="n">
        <v>45369</v>
      </c>
      <c r="B2925" s="14" t="inlineStr">
        <is>
          <t>NB-0029</t>
        </is>
      </c>
      <c r="C2925" s="14" t="n">
        <v>22</v>
      </c>
      <c r="D2925" s="14">
        <f>IF(A2925&gt;LastWeek-364,1,0)</f>
        <v/>
      </c>
      <c r="E2925" s="14">
        <f>C2925^2*D2925</f>
        <v/>
      </c>
    </row>
    <row r="2926">
      <c r="A2926" s="26" t="n">
        <v>45376</v>
      </c>
      <c r="B2926" s="14" t="inlineStr">
        <is>
          <t>NB-0029</t>
        </is>
      </c>
      <c r="C2926" s="14" t="n">
        <v>26</v>
      </c>
      <c r="D2926" s="14">
        <f>IF(A2926&gt;LastWeek-364,1,0)</f>
        <v/>
      </c>
      <c r="E2926" s="14">
        <f>C2926^2*D2926</f>
        <v/>
      </c>
    </row>
    <row r="2927">
      <c r="A2927" s="26" t="n">
        <v>45383</v>
      </c>
      <c r="B2927" s="14" t="inlineStr">
        <is>
          <t>NB-0029</t>
        </is>
      </c>
      <c r="C2927" s="14" t="n">
        <v>15</v>
      </c>
      <c r="D2927" s="14">
        <f>IF(A2927&gt;LastWeek-364,1,0)</f>
        <v/>
      </c>
      <c r="E2927" s="14">
        <f>C2927^2*D2927</f>
        <v/>
      </c>
    </row>
    <row r="2928">
      <c r="A2928" s="26" t="n">
        <v>45390</v>
      </c>
      <c r="B2928" s="14" t="inlineStr">
        <is>
          <t>NB-0029</t>
        </is>
      </c>
      <c r="C2928" s="14" t="n">
        <v>15</v>
      </c>
      <c r="D2928" s="14">
        <f>IF(A2928&gt;LastWeek-364,1,0)</f>
        <v/>
      </c>
      <c r="E2928" s="14">
        <f>C2928^2*D2928</f>
        <v/>
      </c>
    </row>
    <row r="2929">
      <c r="A2929" s="26" t="n">
        <v>45397</v>
      </c>
      <c r="B2929" s="14" t="inlineStr">
        <is>
          <t>NB-0029</t>
        </is>
      </c>
      <c r="C2929" s="14" t="n">
        <v>21</v>
      </c>
      <c r="D2929" s="14">
        <f>IF(A2929&gt;LastWeek-364,1,0)</f>
        <v/>
      </c>
      <c r="E2929" s="14">
        <f>C2929^2*D2929</f>
        <v/>
      </c>
    </row>
    <row r="2930">
      <c r="A2930" s="26" t="n">
        <v>45404</v>
      </c>
      <c r="B2930" s="14" t="inlineStr">
        <is>
          <t>NB-0029</t>
        </is>
      </c>
      <c r="C2930" s="14" t="n">
        <v>30</v>
      </c>
      <c r="D2930" s="14">
        <f>IF(A2930&gt;LastWeek-364,1,0)</f>
        <v/>
      </c>
      <c r="E2930" s="14">
        <f>C2930^2*D2930</f>
        <v/>
      </c>
    </row>
    <row r="2931">
      <c r="A2931" s="26" t="n">
        <v>45411</v>
      </c>
      <c r="B2931" s="14" t="inlineStr">
        <is>
          <t>NB-0029</t>
        </is>
      </c>
      <c r="C2931" s="14" t="n">
        <v>17</v>
      </c>
      <c r="D2931" s="14">
        <f>IF(A2931&gt;LastWeek-364,1,0)</f>
        <v/>
      </c>
      <c r="E2931" s="14">
        <f>C2931^2*D2931</f>
        <v/>
      </c>
    </row>
    <row r="2932">
      <c r="A2932" s="26" t="n">
        <v>45418</v>
      </c>
      <c r="B2932" s="14" t="inlineStr">
        <is>
          <t>NB-0029</t>
        </is>
      </c>
      <c r="C2932" s="14" t="n">
        <v>28</v>
      </c>
      <c r="D2932" s="14">
        <f>IF(A2932&gt;LastWeek-364,1,0)</f>
        <v/>
      </c>
      <c r="E2932" s="14">
        <f>C2932^2*D2932</f>
        <v/>
      </c>
    </row>
    <row r="2933">
      <c r="A2933" s="26" t="n">
        <v>45425</v>
      </c>
      <c r="B2933" s="14" t="inlineStr">
        <is>
          <t>NB-0029</t>
        </is>
      </c>
      <c r="C2933" s="14" t="n">
        <v>40</v>
      </c>
      <c r="D2933" s="14">
        <f>IF(A2933&gt;LastWeek-364,1,0)</f>
        <v/>
      </c>
      <c r="E2933" s="14">
        <f>C2933^2*D2933</f>
        <v/>
      </c>
    </row>
    <row r="2934">
      <c r="A2934" s="26" t="n">
        <v>45432</v>
      </c>
      <c r="B2934" s="14" t="inlineStr">
        <is>
          <t>NB-0029</t>
        </is>
      </c>
      <c r="C2934" s="14" t="n">
        <v>16</v>
      </c>
      <c r="D2934" s="14">
        <f>IF(A2934&gt;LastWeek-364,1,0)</f>
        <v/>
      </c>
      <c r="E2934" s="14">
        <f>C2934^2*D2934</f>
        <v/>
      </c>
    </row>
    <row r="2935">
      <c r="A2935" s="26" t="n">
        <v>45439</v>
      </c>
      <c r="B2935" s="14" t="inlineStr">
        <is>
          <t>NB-0029</t>
        </is>
      </c>
      <c r="C2935" s="14" t="n">
        <v>27</v>
      </c>
      <c r="D2935" s="14">
        <f>IF(A2935&gt;LastWeek-364,1,0)</f>
        <v/>
      </c>
      <c r="E2935" s="14">
        <f>C2935^2*D2935</f>
        <v/>
      </c>
    </row>
    <row r="2936">
      <c r="A2936" s="26" t="n">
        <v>45446</v>
      </c>
      <c r="B2936" s="14" t="inlineStr">
        <is>
          <t>NB-0029</t>
        </is>
      </c>
      <c r="C2936" s="14" t="n">
        <v>39</v>
      </c>
      <c r="D2936" s="14">
        <f>IF(A2936&gt;LastWeek-364,1,0)</f>
        <v/>
      </c>
      <c r="E2936" s="14">
        <f>C2936^2*D2936</f>
        <v/>
      </c>
    </row>
    <row r="2937">
      <c r="A2937" s="26" t="n">
        <v>45453</v>
      </c>
      <c r="B2937" s="14" t="inlineStr">
        <is>
          <t>NB-0029</t>
        </is>
      </c>
      <c r="C2937" s="14" t="n">
        <v>25</v>
      </c>
      <c r="D2937" s="14">
        <f>IF(A2937&gt;LastWeek-364,1,0)</f>
        <v/>
      </c>
      <c r="E2937" s="14">
        <f>C2937^2*D2937</f>
        <v/>
      </c>
    </row>
    <row r="2938">
      <c r="A2938" s="26" t="n">
        <v>45460</v>
      </c>
      <c r="B2938" s="14" t="inlineStr">
        <is>
          <t>NB-0029</t>
        </is>
      </c>
      <c r="C2938" s="14" t="n">
        <v>23</v>
      </c>
      <c r="D2938" s="14">
        <f>IF(A2938&gt;LastWeek-364,1,0)</f>
        <v/>
      </c>
      <c r="E2938" s="14">
        <f>C2938^2*D2938</f>
        <v/>
      </c>
    </row>
    <row r="2939">
      <c r="A2939" s="26" t="n">
        <v>45467</v>
      </c>
      <c r="B2939" s="14" t="inlineStr">
        <is>
          <t>NB-0029</t>
        </is>
      </c>
      <c r="C2939" s="14" t="n">
        <v>41</v>
      </c>
      <c r="D2939" s="14">
        <f>IF(A2939&gt;LastWeek-364,1,0)</f>
        <v/>
      </c>
      <c r="E2939" s="14">
        <f>C2939^2*D2939</f>
        <v/>
      </c>
    </row>
    <row r="2940">
      <c r="A2940" s="26" t="n">
        <v>45474</v>
      </c>
      <c r="B2940" s="14" t="inlineStr">
        <is>
          <t>NB-0029</t>
        </is>
      </c>
      <c r="C2940" s="14" t="n">
        <v>26</v>
      </c>
      <c r="D2940" s="14">
        <f>IF(A2940&gt;LastWeek-364,1,0)</f>
        <v/>
      </c>
      <c r="E2940" s="14">
        <f>C2940^2*D2940</f>
        <v/>
      </c>
    </row>
    <row r="2941">
      <c r="A2941" s="26" t="n">
        <v>45481</v>
      </c>
      <c r="B2941" s="14" t="inlineStr">
        <is>
          <t>NB-0029</t>
        </is>
      </c>
      <c r="C2941" s="14" t="n">
        <v>40</v>
      </c>
      <c r="D2941" s="14">
        <f>IF(A2941&gt;LastWeek-364,1,0)</f>
        <v/>
      </c>
      <c r="E2941" s="14">
        <f>C2941^2*D2941</f>
        <v/>
      </c>
    </row>
    <row r="2942">
      <c r="A2942" s="26" t="n">
        <v>45488</v>
      </c>
      <c r="B2942" s="14" t="inlineStr">
        <is>
          <t>NB-0029</t>
        </is>
      </c>
      <c r="C2942" s="14" t="n">
        <v>34</v>
      </c>
      <c r="D2942" s="14">
        <f>IF(A2942&gt;LastWeek-364,1,0)</f>
        <v/>
      </c>
      <c r="E2942" s="14">
        <f>C2942^2*D2942</f>
        <v/>
      </c>
    </row>
    <row r="2943">
      <c r="A2943" s="26" t="n">
        <v>45495</v>
      </c>
      <c r="B2943" s="14" t="inlineStr">
        <is>
          <t>NB-0029</t>
        </is>
      </c>
      <c r="C2943" s="14" t="n">
        <v>26</v>
      </c>
      <c r="D2943" s="14">
        <f>IF(A2943&gt;LastWeek-364,1,0)</f>
        <v/>
      </c>
      <c r="E2943" s="14">
        <f>C2943^2*D2943</f>
        <v/>
      </c>
    </row>
    <row r="2944">
      <c r="A2944" s="26" t="n">
        <v>45502</v>
      </c>
      <c r="B2944" s="14" t="inlineStr">
        <is>
          <t>NB-0029</t>
        </is>
      </c>
      <c r="C2944" s="14" t="n">
        <v>34</v>
      </c>
      <c r="D2944" s="14">
        <f>IF(A2944&gt;LastWeek-364,1,0)</f>
        <v/>
      </c>
      <c r="E2944" s="14">
        <f>C2944^2*D2944</f>
        <v/>
      </c>
    </row>
    <row r="2945">
      <c r="A2945" s="26" t="n">
        <v>45509</v>
      </c>
      <c r="B2945" s="14" t="inlineStr">
        <is>
          <t>NB-0029</t>
        </is>
      </c>
      <c r="C2945" s="14" t="n">
        <v>33</v>
      </c>
      <c r="D2945" s="14">
        <f>IF(A2945&gt;LastWeek-364,1,0)</f>
        <v/>
      </c>
      <c r="E2945" s="14">
        <f>C2945^2*D2945</f>
        <v/>
      </c>
    </row>
    <row r="2946">
      <c r="A2946" s="26" t="n">
        <v>45516</v>
      </c>
      <c r="B2946" s="14" t="inlineStr">
        <is>
          <t>NB-0029</t>
        </is>
      </c>
      <c r="C2946" s="14" t="n">
        <v>40</v>
      </c>
      <c r="D2946" s="14">
        <f>IF(A2946&gt;LastWeek-364,1,0)</f>
        <v/>
      </c>
      <c r="E2946" s="14">
        <f>C2946^2*D2946</f>
        <v/>
      </c>
    </row>
    <row r="2947">
      <c r="A2947" s="26" t="n">
        <v>45523</v>
      </c>
      <c r="B2947" s="14" t="inlineStr">
        <is>
          <t>NB-0029</t>
        </is>
      </c>
      <c r="C2947" s="14" t="n">
        <v>24</v>
      </c>
      <c r="D2947" s="14">
        <f>IF(A2947&gt;LastWeek-364,1,0)</f>
        <v/>
      </c>
      <c r="E2947" s="14">
        <f>C2947^2*D2947</f>
        <v/>
      </c>
    </row>
    <row r="2948">
      <c r="A2948" s="26" t="n">
        <v>45530</v>
      </c>
      <c r="B2948" s="14" t="inlineStr">
        <is>
          <t>NB-0029</t>
        </is>
      </c>
      <c r="C2948" s="14" t="n">
        <v>31</v>
      </c>
      <c r="D2948" s="14">
        <f>IF(A2948&gt;LastWeek-364,1,0)</f>
        <v/>
      </c>
      <c r="E2948" s="14">
        <f>C2948^2*D2948</f>
        <v/>
      </c>
    </row>
    <row r="2949">
      <c r="A2949" s="26" t="n">
        <v>45537</v>
      </c>
      <c r="B2949" s="14" t="inlineStr">
        <is>
          <t>NB-0029</t>
        </is>
      </c>
      <c r="C2949" s="14" t="n">
        <v>30</v>
      </c>
      <c r="D2949" s="14">
        <f>IF(A2949&gt;LastWeek-364,1,0)</f>
        <v/>
      </c>
      <c r="E2949" s="14">
        <f>C2949^2*D2949</f>
        <v/>
      </c>
    </row>
    <row r="2950">
      <c r="A2950" s="26" t="n">
        <v>45544</v>
      </c>
      <c r="B2950" s="14" t="inlineStr">
        <is>
          <t>NB-0029</t>
        </is>
      </c>
      <c r="C2950" s="14" t="n">
        <v>38</v>
      </c>
      <c r="D2950" s="14">
        <f>IF(A2950&gt;LastWeek-364,1,0)</f>
        <v/>
      </c>
      <c r="E2950" s="14">
        <f>C2950^2*D2950</f>
        <v/>
      </c>
    </row>
    <row r="2951">
      <c r="A2951" s="26" t="n">
        <v>45551</v>
      </c>
      <c r="B2951" s="14" t="inlineStr">
        <is>
          <t>NB-0029</t>
        </is>
      </c>
      <c r="C2951" s="14" t="n">
        <v>20</v>
      </c>
      <c r="D2951" s="14">
        <f>IF(A2951&gt;LastWeek-364,1,0)</f>
        <v/>
      </c>
      <c r="E2951" s="14">
        <f>C2951^2*D2951</f>
        <v/>
      </c>
    </row>
    <row r="2952">
      <c r="A2952" s="26" t="n">
        <v>45558</v>
      </c>
      <c r="B2952" s="14" t="inlineStr">
        <is>
          <t>NB-0029</t>
        </is>
      </c>
      <c r="C2952" s="14" t="n">
        <v>43</v>
      </c>
      <c r="D2952" s="14">
        <f>IF(A2952&gt;LastWeek-364,1,0)</f>
        <v/>
      </c>
      <c r="E2952" s="14">
        <f>C2952^2*D2952</f>
        <v/>
      </c>
    </row>
    <row r="2953">
      <c r="A2953" s="26" t="n">
        <v>45565</v>
      </c>
      <c r="B2953" s="14" t="inlineStr">
        <is>
          <t>NB-0029</t>
        </is>
      </c>
      <c r="C2953" s="14" t="n">
        <v>37</v>
      </c>
      <c r="D2953" s="14">
        <f>IF(A2953&gt;LastWeek-364,1,0)</f>
        <v/>
      </c>
      <c r="E2953" s="14">
        <f>C2953^2*D2953</f>
        <v/>
      </c>
    </row>
    <row r="2954">
      <c r="A2954" s="26" t="n">
        <v>45572</v>
      </c>
      <c r="B2954" s="14" t="inlineStr">
        <is>
          <t>NB-0029</t>
        </is>
      </c>
      <c r="C2954" s="14" t="n">
        <v>17</v>
      </c>
      <c r="D2954" s="14">
        <f>IF(A2954&gt;LastWeek-364,1,0)</f>
        <v/>
      </c>
      <c r="E2954" s="14">
        <f>C2954^2*D2954</f>
        <v/>
      </c>
    </row>
    <row r="2955">
      <c r="A2955" s="26" t="n">
        <v>45579</v>
      </c>
      <c r="B2955" s="14" t="inlineStr">
        <is>
          <t>NB-0029</t>
        </is>
      </c>
      <c r="C2955" s="14" t="n">
        <v>46</v>
      </c>
      <c r="D2955" s="14">
        <f>IF(A2955&gt;LastWeek-364,1,0)</f>
        <v/>
      </c>
      <c r="E2955" s="14">
        <f>C2955^2*D2955</f>
        <v/>
      </c>
    </row>
    <row r="2956">
      <c r="A2956" s="26" t="n">
        <v>45586</v>
      </c>
      <c r="B2956" s="14" t="inlineStr">
        <is>
          <t>NB-0029</t>
        </is>
      </c>
      <c r="C2956" s="14" t="n">
        <v>58</v>
      </c>
      <c r="D2956" s="14">
        <f>IF(A2956&gt;LastWeek-364,1,0)</f>
        <v/>
      </c>
      <c r="E2956" s="14">
        <f>C2956^2*D2956</f>
        <v/>
      </c>
    </row>
    <row r="2957">
      <c r="A2957" s="26" t="n">
        <v>45593</v>
      </c>
      <c r="B2957" s="14" t="inlineStr">
        <is>
          <t>NB-0029</t>
        </is>
      </c>
      <c r="C2957" s="14" t="n">
        <v>45</v>
      </c>
      <c r="D2957" s="14">
        <f>IF(A2957&gt;LastWeek-364,1,0)</f>
        <v/>
      </c>
      <c r="E2957" s="14">
        <f>C2957^2*D2957</f>
        <v/>
      </c>
    </row>
    <row r="2958">
      <c r="A2958" s="26" t="n">
        <v>45600</v>
      </c>
      <c r="B2958" s="14" t="inlineStr">
        <is>
          <t>NB-0029</t>
        </is>
      </c>
      <c r="C2958" s="14" t="n">
        <v>50</v>
      </c>
      <c r="D2958" s="14">
        <f>IF(A2958&gt;LastWeek-364,1,0)</f>
        <v/>
      </c>
      <c r="E2958" s="14">
        <f>C2958^2*D2958</f>
        <v/>
      </c>
    </row>
    <row r="2959">
      <c r="A2959" s="26" t="n">
        <v>45607</v>
      </c>
      <c r="B2959" s="14" t="inlineStr">
        <is>
          <t>NB-0029</t>
        </is>
      </c>
      <c r="C2959" s="14" t="n">
        <v>35</v>
      </c>
      <c r="D2959" s="14">
        <f>IF(A2959&gt;LastWeek-364,1,0)</f>
        <v/>
      </c>
      <c r="E2959" s="14">
        <f>C2959^2*D2959</f>
        <v/>
      </c>
    </row>
    <row r="2960">
      <c r="A2960" s="26" t="n">
        <v>45614</v>
      </c>
      <c r="B2960" s="14" t="inlineStr">
        <is>
          <t>NB-0029</t>
        </is>
      </c>
      <c r="C2960" s="14" t="n">
        <v>14</v>
      </c>
      <c r="D2960" s="14">
        <f>IF(A2960&gt;LastWeek-364,1,0)</f>
        <v/>
      </c>
      <c r="E2960" s="14">
        <f>C2960^2*D2960</f>
        <v/>
      </c>
    </row>
    <row r="2961">
      <c r="A2961" s="26" t="n">
        <v>45621</v>
      </c>
      <c r="B2961" s="14" t="inlineStr">
        <is>
          <t>NB-0029</t>
        </is>
      </c>
      <c r="C2961" s="14" t="n">
        <v>12</v>
      </c>
      <c r="D2961" s="14">
        <f>IF(A2961&gt;LastWeek-364,1,0)</f>
        <v/>
      </c>
      <c r="E2961" s="14">
        <f>C2961^2*D2961</f>
        <v/>
      </c>
    </row>
    <row r="2962">
      <c r="A2962" s="26" t="n">
        <v>45628</v>
      </c>
      <c r="B2962" s="14" t="inlineStr">
        <is>
          <t>NB-0029</t>
        </is>
      </c>
      <c r="C2962" s="14" t="n">
        <v>37</v>
      </c>
      <c r="D2962" s="14">
        <f>IF(A2962&gt;LastWeek-364,1,0)</f>
        <v/>
      </c>
      <c r="E2962" s="14">
        <f>C2962^2*D2962</f>
        <v/>
      </c>
    </row>
    <row r="2963">
      <c r="A2963" s="26" t="n">
        <v>45635</v>
      </c>
      <c r="B2963" s="14" t="inlineStr">
        <is>
          <t>NB-0029</t>
        </is>
      </c>
      <c r="C2963" s="14" t="n">
        <v>27</v>
      </c>
      <c r="D2963" s="14">
        <f>IF(A2963&gt;LastWeek-364,1,0)</f>
        <v/>
      </c>
      <c r="E2963" s="14">
        <f>C2963^2*D2963</f>
        <v/>
      </c>
    </row>
    <row r="2964">
      <c r="A2964" s="26" t="n">
        <v>45642</v>
      </c>
      <c r="B2964" s="14" t="inlineStr">
        <is>
          <t>NB-0029</t>
        </is>
      </c>
      <c r="C2964" s="14" t="n">
        <v>24</v>
      </c>
      <c r="D2964" s="14">
        <f>IF(A2964&gt;LastWeek-364,1,0)</f>
        <v/>
      </c>
      <c r="E2964" s="14">
        <f>C2964^2*D2964</f>
        <v/>
      </c>
    </row>
    <row r="2965">
      <c r="A2965" s="26" t="n">
        <v>45649</v>
      </c>
      <c r="B2965" s="14" t="inlineStr">
        <is>
          <t>NB-0029</t>
        </is>
      </c>
      <c r="C2965" s="14" t="n">
        <v>34</v>
      </c>
      <c r="D2965" s="14">
        <f>IF(A2965&gt;LastWeek-364,1,0)</f>
        <v/>
      </c>
      <c r="E2965" s="14">
        <f>C2965^2*D2965</f>
        <v/>
      </c>
    </row>
    <row r="2966">
      <c r="A2966" s="26" t="n">
        <v>45656</v>
      </c>
      <c r="B2966" s="14" t="inlineStr">
        <is>
          <t>NB-0029</t>
        </is>
      </c>
      <c r="C2966" s="14" t="n">
        <v>43</v>
      </c>
      <c r="D2966" s="14">
        <f>IF(A2966&gt;LastWeek-364,1,0)</f>
        <v/>
      </c>
      <c r="E2966" s="14">
        <f>C2966^2*D2966</f>
        <v/>
      </c>
    </row>
    <row r="2967">
      <c r="A2967" s="26" t="n">
        <v>45663</v>
      </c>
      <c r="B2967" s="14" t="inlineStr">
        <is>
          <t>NB-0029</t>
        </is>
      </c>
      <c r="C2967" s="14" t="n">
        <v>17</v>
      </c>
      <c r="D2967" s="14">
        <f>IF(A2967&gt;LastWeek-364,1,0)</f>
        <v/>
      </c>
      <c r="E2967" s="14">
        <f>C2967^2*D2967</f>
        <v/>
      </c>
    </row>
    <row r="2968">
      <c r="A2968" s="26" t="n">
        <v>45670</v>
      </c>
      <c r="B2968" s="14" t="inlineStr">
        <is>
          <t>NB-0029</t>
        </is>
      </c>
      <c r="C2968" s="14" t="n">
        <v>30</v>
      </c>
      <c r="D2968" s="14">
        <f>IF(A2968&gt;LastWeek-364,1,0)</f>
        <v/>
      </c>
      <c r="E2968" s="14">
        <f>C2968^2*D2968</f>
        <v/>
      </c>
    </row>
    <row r="2969">
      <c r="A2969" s="26" t="n">
        <v>45677</v>
      </c>
      <c r="B2969" s="14" t="inlineStr">
        <is>
          <t>NB-0029</t>
        </is>
      </c>
      <c r="C2969" s="14" t="n">
        <v>54</v>
      </c>
      <c r="D2969" s="14">
        <f>IF(A2969&gt;LastWeek-364,1,0)</f>
        <v/>
      </c>
      <c r="E2969" s="14">
        <f>C2969^2*D2969</f>
        <v/>
      </c>
    </row>
    <row r="2970">
      <c r="A2970" s="26" t="n">
        <v>45684</v>
      </c>
      <c r="B2970" s="14" t="inlineStr">
        <is>
          <t>NB-0029</t>
        </is>
      </c>
      <c r="C2970" s="14" t="n">
        <v>22</v>
      </c>
      <c r="D2970" s="14">
        <f>IF(A2970&gt;LastWeek-364,1,0)</f>
        <v/>
      </c>
      <c r="E2970" s="14">
        <f>C2970^2*D2970</f>
        <v/>
      </c>
    </row>
    <row r="2971">
      <c r="A2971" s="26" t="n">
        <v>45691</v>
      </c>
      <c r="B2971" s="14" t="inlineStr">
        <is>
          <t>NB-0029</t>
        </is>
      </c>
      <c r="C2971" s="14" t="n">
        <v>46</v>
      </c>
      <c r="D2971" s="14">
        <f>IF(A2971&gt;LastWeek-364,1,0)</f>
        <v/>
      </c>
      <c r="E2971" s="14">
        <f>C2971^2*D2971</f>
        <v/>
      </c>
    </row>
    <row r="2972">
      <c r="A2972" s="26" t="n">
        <v>45698</v>
      </c>
      <c r="B2972" s="14" t="inlineStr">
        <is>
          <t>NB-0029</t>
        </is>
      </c>
      <c r="C2972" s="14" t="n">
        <v>30</v>
      </c>
      <c r="D2972" s="14">
        <f>IF(A2972&gt;LastWeek-364,1,0)</f>
        <v/>
      </c>
      <c r="E2972" s="14">
        <f>C2972^2*D2972</f>
        <v/>
      </c>
    </row>
    <row r="2973">
      <c r="A2973" s="26" t="n">
        <v>45705</v>
      </c>
      <c r="B2973" s="14" t="inlineStr">
        <is>
          <t>NB-0029</t>
        </is>
      </c>
      <c r="C2973" s="14" t="n">
        <v>42</v>
      </c>
      <c r="D2973" s="14">
        <f>IF(A2973&gt;LastWeek-364,1,0)</f>
        <v/>
      </c>
      <c r="E2973" s="14">
        <f>C2973^2*D2973</f>
        <v/>
      </c>
    </row>
    <row r="2974">
      <c r="A2974" s="26" t="n">
        <v>45712</v>
      </c>
      <c r="B2974" s="14" t="inlineStr">
        <is>
          <t>NB-0029</t>
        </is>
      </c>
      <c r="C2974" s="14" t="n">
        <v>49</v>
      </c>
      <c r="D2974" s="14">
        <f>IF(A2974&gt;LastWeek-364,1,0)</f>
        <v/>
      </c>
      <c r="E2974" s="14">
        <f>C2974^2*D2974</f>
        <v/>
      </c>
    </row>
    <row r="2975">
      <c r="A2975" s="26" t="n">
        <v>45719</v>
      </c>
      <c r="B2975" s="14" t="inlineStr">
        <is>
          <t>NB-0029</t>
        </is>
      </c>
      <c r="C2975" s="14" t="n">
        <v>45</v>
      </c>
      <c r="D2975" s="14">
        <f>IF(A2975&gt;LastWeek-364,1,0)</f>
        <v/>
      </c>
      <c r="E2975" s="14">
        <f>C2975^2*D2975</f>
        <v/>
      </c>
    </row>
    <row r="2976">
      <c r="A2976" s="26" t="n">
        <v>45726</v>
      </c>
      <c r="B2976" s="14" t="inlineStr">
        <is>
          <t>NB-0029</t>
        </is>
      </c>
      <c r="C2976" s="14" t="n">
        <v>47</v>
      </c>
      <c r="D2976" s="14">
        <f>IF(A2976&gt;LastWeek-364,1,0)</f>
        <v/>
      </c>
      <c r="E2976" s="14">
        <f>C2976^2*D2976</f>
        <v/>
      </c>
    </row>
    <row r="2977">
      <c r="A2977" s="26" t="n">
        <v>45733</v>
      </c>
      <c r="B2977" s="14" t="inlineStr">
        <is>
          <t>NB-0029</t>
        </is>
      </c>
      <c r="C2977" s="14" t="n">
        <v>21</v>
      </c>
      <c r="D2977" s="14">
        <f>IF(A2977&gt;LastWeek-364,1,0)</f>
        <v/>
      </c>
      <c r="E2977" s="14">
        <f>C2977^2*D2977</f>
        <v/>
      </c>
    </row>
    <row r="2978">
      <c r="A2978" s="26" t="n">
        <v>45740</v>
      </c>
      <c r="B2978" s="14" t="inlineStr">
        <is>
          <t>NB-0029</t>
        </is>
      </c>
      <c r="C2978" s="14" t="n">
        <v>49</v>
      </c>
      <c r="D2978" s="14">
        <f>IF(A2978&gt;LastWeek-364,1,0)</f>
        <v/>
      </c>
      <c r="E2978" s="14">
        <f>C2978^2*D2978</f>
        <v/>
      </c>
    </row>
    <row r="2979">
      <c r="A2979" s="26" t="n">
        <v>45747</v>
      </c>
      <c r="B2979" s="14" t="inlineStr">
        <is>
          <t>NB-0029</t>
        </is>
      </c>
      <c r="C2979" s="14" t="n">
        <v>25</v>
      </c>
      <c r="D2979" s="14">
        <f>IF(A2979&gt;LastWeek-364,1,0)</f>
        <v/>
      </c>
      <c r="E2979" s="14">
        <f>C2979^2*D2979</f>
        <v/>
      </c>
    </row>
    <row r="2980">
      <c r="A2980" s="26" t="n">
        <v>45754</v>
      </c>
      <c r="B2980" s="14" t="inlineStr">
        <is>
          <t>NB-0029</t>
        </is>
      </c>
      <c r="C2980" s="14" t="n">
        <v>38</v>
      </c>
      <c r="D2980" s="14">
        <f>IF(A2980&gt;LastWeek-364,1,0)</f>
        <v/>
      </c>
      <c r="E2980" s="14">
        <f>C2980^2*D2980</f>
        <v/>
      </c>
    </row>
    <row r="2981">
      <c r="A2981" s="26" t="n">
        <v>45761</v>
      </c>
      <c r="B2981" s="14" t="inlineStr">
        <is>
          <t>NB-0029</t>
        </is>
      </c>
      <c r="C2981" s="14" t="n">
        <v>38</v>
      </c>
      <c r="D2981" s="14">
        <f>IF(A2981&gt;LastWeek-364,1,0)</f>
        <v/>
      </c>
      <c r="E2981" s="14">
        <f>C2981^2*D2981</f>
        <v/>
      </c>
    </row>
    <row r="2982">
      <c r="A2982" s="26" t="n">
        <v>45768</v>
      </c>
      <c r="B2982" s="14" t="inlineStr">
        <is>
          <t>NB-0029</t>
        </is>
      </c>
      <c r="C2982" s="14" t="n">
        <v>41</v>
      </c>
      <c r="D2982" s="14">
        <f>IF(A2982&gt;LastWeek-364,1,0)</f>
        <v/>
      </c>
      <c r="E2982" s="14">
        <f>C2982^2*D2982</f>
        <v/>
      </c>
    </row>
    <row r="2983">
      <c r="A2983" s="26" t="n">
        <v>45775</v>
      </c>
      <c r="B2983" s="14" t="inlineStr">
        <is>
          <t>NB-0029</t>
        </is>
      </c>
      <c r="C2983" s="14" t="n">
        <v>39</v>
      </c>
      <c r="D2983" s="14">
        <f>IF(A2983&gt;LastWeek-364,1,0)</f>
        <v/>
      </c>
      <c r="E2983" s="14">
        <f>C2983^2*D2983</f>
        <v/>
      </c>
    </row>
    <row r="2984">
      <c r="A2984" s="26" t="n">
        <v>45782</v>
      </c>
      <c r="B2984" s="14" t="inlineStr">
        <is>
          <t>NB-0029</t>
        </is>
      </c>
      <c r="C2984" s="14" t="n">
        <v>24</v>
      </c>
      <c r="D2984" s="14">
        <f>IF(A2984&gt;LastWeek-364,1,0)</f>
        <v/>
      </c>
      <c r="E2984" s="14">
        <f>C2984^2*D2984</f>
        <v/>
      </c>
    </row>
    <row r="2985">
      <c r="A2985" s="26" t="n">
        <v>45789</v>
      </c>
      <c r="B2985" s="14" t="inlineStr">
        <is>
          <t>NB-0029</t>
        </is>
      </c>
      <c r="C2985" s="14" t="n">
        <v>18</v>
      </c>
      <c r="D2985" s="14">
        <f>IF(A2985&gt;LastWeek-364,1,0)</f>
        <v/>
      </c>
      <c r="E2985" s="14">
        <f>C2985^2*D2985</f>
        <v/>
      </c>
    </row>
    <row r="2986">
      <c r="A2986" s="26" t="n">
        <v>45796</v>
      </c>
      <c r="B2986" s="14" t="inlineStr">
        <is>
          <t>NB-0029</t>
        </is>
      </c>
      <c r="C2986" s="14" t="n">
        <v>45</v>
      </c>
      <c r="D2986" s="14">
        <f>IF(A2986&gt;LastWeek-364,1,0)</f>
        <v/>
      </c>
      <c r="E2986" s="14">
        <f>C2986^2*D2986</f>
        <v/>
      </c>
    </row>
    <row r="2987">
      <c r="A2987" s="26" t="n">
        <v>45803</v>
      </c>
      <c r="B2987" s="14" t="inlineStr">
        <is>
          <t>NB-0029</t>
        </is>
      </c>
      <c r="C2987" s="14" t="n">
        <v>37</v>
      </c>
      <c r="D2987" s="14">
        <f>IF(A2987&gt;LastWeek-364,1,0)</f>
        <v/>
      </c>
      <c r="E2987" s="14">
        <f>C2987^2*D2987</f>
        <v/>
      </c>
    </row>
    <row r="2988">
      <c r="A2988" s="26" t="n">
        <v>45810</v>
      </c>
      <c r="B2988" s="14" t="inlineStr">
        <is>
          <t>NB-0029</t>
        </is>
      </c>
      <c r="C2988" s="14" t="n">
        <v>48</v>
      </c>
      <c r="D2988" s="14">
        <f>IF(A2988&gt;LastWeek-364,1,0)</f>
        <v/>
      </c>
      <c r="E2988" s="14">
        <f>C2988^2*D2988</f>
        <v/>
      </c>
    </row>
    <row r="2989">
      <c r="A2989" s="26" t="n">
        <v>45817</v>
      </c>
      <c r="B2989" s="14" t="inlineStr">
        <is>
          <t>NB-0029</t>
        </is>
      </c>
      <c r="C2989" s="14" t="n">
        <v>34</v>
      </c>
      <c r="D2989" s="14">
        <f>IF(A2989&gt;LastWeek-364,1,0)</f>
        <v/>
      </c>
      <c r="E2989" s="14">
        <f>C2989^2*D2989</f>
        <v/>
      </c>
    </row>
    <row r="2990">
      <c r="A2990" s="26" t="n">
        <v>45824</v>
      </c>
      <c r="B2990" s="14" t="inlineStr">
        <is>
          <t>NB-0029</t>
        </is>
      </c>
      <c r="C2990" s="14" t="n">
        <v>18</v>
      </c>
      <c r="D2990" s="14">
        <f>IF(A2990&gt;LastWeek-364,1,0)</f>
        <v/>
      </c>
      <c r="E2990" s="14">
        <f>C2990^2*D2990</f>
        <v/>
      </c>
    </row>
    <row r="2991">
      <c r="A2991" s="26" t="n">
        <v>45831</v>
      </c>
      <c r="B2991" s="14" t="inlineStr">
        <is>
          <t>NB-0029</t>
        </is>
      </c>
      <c r="C2991" s="14" t="n">
        <v>46</v>
      </c>
      <c r="D2991" s="14">
        <f>IF(A2991&gt;LastWeek-364,1,0)</f>
        <v/>
      </c>
      <c r="E2991" s="14">
        <f>C2991^2*D2991</f>
        <v/>
      </c>
    </row>
    <row r="2992">
      <c r="A2992" s="26" t="n">
        <v>45838</v>
      </c>
      <c r="B2992" s="14" t="inlineStr">
        <is>
          <t>NB-0029</t>
        </is>
      </c>
      <c r="C2992" s="14" t="n">
        <v>30</v>
      </c>
      <c r="D2992" s="14">
        <f>IF(A2992&gt;LastWeek-364,1,0)</f>
        <v/>
      </c>
      <c r="E2992" s="14">
        <f>C2992^2*D2992</f>
        <v/>
      </c>
    </row>
    <row r="2993">
      <c r="A2993" s="26" t="n">
        <v>45845</v>
      </c>
      <c r="B2993" s="14" t="inlineStr">
        <is>
          <t>NB-0029</t>
        </is>
      </c>
      <c r="C2993" s="14" t="n">
        <v>39</v>
      </c>
      <c r="D2993" s="14">
        <f>IF(A2993&gt;LastWeek-364,1,0)</f>
        <v/>
      </c>
      <c r="E2993" s="14">
        <f>C2993^2*D2993</f>
        <v/>
      </c>
    </row>
    <row r="2994">
      <c r="A2994" s="26" t="n">
        <v>45852</v>
      </c>
      <c r="B2994" s="14" t="inlineStr">
        <is>
          <t>NB-0029</t>
        </is>
      </c>
      <c r="C2994" s="14" t="n">
        <v>27</v>
      </c>
      <c r="D2994" s="14">
        <f>IF(A2994&gt;LastWeek-364,1,0)</f>
        <v/>
      </c>
      <c r="E2994" s="14">
        <f>C2994^2*D2994</f>
        <v/>
      </c>
    </row>
    <row r="2995">
      <c r="A2995" s="26" t="n">
        <v>45859</v>
      </c>
      <c r="B2995" s="14" t="inlineStr">
        <is>
          <t>NB-0029</t>
        </is>
      </c>
      <c r="C2995" s="14" t="n">
        <v>55</v>
      </c>
      <c r="D2995" s="14">
        <f>IF(A2995&gt;LastWeek-364,1,0)</f>
        <v/>
      </c>
      <c r="E2995" s="14">
        <f>C2995^2*D2995</f>
        <v/>
      </c>
    </row>
    <row r="2996">
      <c r="A2996" s="26" t="n">
        <v>45866</v>
      </c>
      <c r="B2996" s="14" t="inlineStr">
        <is>
          <t>NB-0029</t>
        </is>
      </c>
      <c r="C2996" s="14" t="n">
        <v>24</v>
      </c>
      <c r="D2996" s="14">
        <f>IF(A2996&gt;LastWeek-364,1,0)</f>
        <v/>
      </c>
      <c r="E2996" s="14">
        <f>C2996^2*D2996</f>
        <v/>
      </c>
    </row>
    <row r="2997">
      <c r="A2997" s="26" t="n">
        <v>45873</v>
      </c>
      <c r="B2997" s="14" t="inlineStr">
        <is>
          <t>NB-0029</t>
        </is>
      </c>
      <c r="C2997" s="14" t="n">
        <v>31</v>
      </c>
      <c r="D2997" s="14">
        <f>IF(A2997&gt;LastWeek-364,1,0)</f>
        <v/>
      </c>
      <c r="E2997" s="14">
        <f>C2997^2*D2997</f>
        <v/>
      </c>
    </row>
    <row r="2998">
      <c r="A2998" s="26" t="n">
        <v>45880</v>
      </c>
      <c r="B2998" s="14" t="inlineStr">
        <is>
          <t>NB-0029</t>
        </is>
      </c>
      <c r="C2998" s="14" t="n">
        <v>37</v>
      </c>
      <c r="D2998" s="14">
        <f>IF(A2998&gt;LastWeek-364,1,0)</f>
        <v/>
      </c>
      <c r="E2998" s="14">
        <f>C2998^2*D2998</f>
        <v/>
      </c>
    </row>
    <row r="2999">
      <c r="A2999" s="26" t="n">
        <v>45887</v>
      </c>
      <c r="B2999" s="14" t="inlineStr">
        <is>
          <t>NB-0029</t>
        </is>
      </c>
      <c r="C2999" s="14" t="n">
        <v>22</v>
      </c>
      <c r="D2999" s="14">
        <f>IF(A2999&gt;LastWeek-364,1,0)</f>
        <v/>
      </c>
      <c r="E2999" s="14">
        <f>C2999^2*D2999</f>
        <v/>
      </c>
    </row>
    <row r="3000">
      <c r="A3000" s="26" t="n">
        <v>45894</v>
      </c>
      <c r="B3000" s="14" t="inlineStr">
        <is>
          <t>NB-0029</t>
        </is>
      </c>
      <c r="C3000" s="14" t="n">
        <v>40</v>
      </c>
      <c r="D3000" s="14">
        <f>IF(A3000&gt;LastWeek-364,1,0)</f>
        <v/>
      </c>
      <c r="E3000" s="14">
        <f>C3000^2*D3000</f>
        <v/>
      </c>
    </row>
    <row r="3001">
      <c r="A3001" s="26" t="n">
        <v>45901</v>
      </c>
      <c r="B3001" s="14" t="inlineStr">
        <is>
          <t>NB-0029</t>
        </is>
      </c>
      <c r="C3001" s="14" t="n">
        <v>57</v>
      </c>
      <c r="D3001" s="14">
        <f>IF(A3001&gt;LastWeek-364,1,0)</f>
        <v/>
      </c>
      <c r="E3001" s="14">
        <f>C3001^2*D3001</f>
        <v/>
      </c>
    </row>
    <row r="3002">
      <c r="A3002" s="26" t="n">
        <v>45908</v>
      </c>
      <c r="B3002" s="14" t="inlineStr">
        <is>
          <t>NB-0029</t>
        </is>
      </c>
      <c r="C3002" s="14" t="n">
        <v>31</v>
      </c>
      <c r="D3002" s="14">
        <f>IF(A3002&gt;LastWeek-364,1,0)</f>
        <v/>
      </c>
      <c r="E3002" s="14">
        <f>C3002^2*D3002</f>
        <v/>
      </c>
    </row>
    <row r="3003">
      <c r="A3003" s="26" t="n">
        <v>45915</v>
      </c>
      <c r="B3003" s="14" t="inlineStr">
        <is>
          <t>NB-0029</t>
        </is>
      </c>
      <c r="C3003" s="14" t="n">
        <v>42</v>
      </c>
      <c r="D3003" s="14">
        <f>IF(A3003&gt;LastWeek-364,1,0)</f>
        <v/>
      </c>
      <c r="E3003" s="14">
        <f>C3003^2*D3003</f>
        <v/>
      </c>
    </row>
    <row r="3004">
      <c r="A3004" s="26" t="n">
        <v>45922</v>
      </c>
      <c r="B3004" s="14" t="inlineStr">
        <is>
          <t>NB-0029</t>
        </is>
      </c>
      <c r="C3004" s="14" t="n">
        <v>2</v>
      </c>
      <c r="D3004" s="14">
        <f>IF(A3004&gt;LastWeek-364,1,0)</f>
        <v/>
      </c>
      <c r="E3004" s="14">
        <f>C3004^2*D3004</f>
        <v/>
      </c>
    </row>
    <row r="3005">
      <c r="A3005" s="26" t="n">
        <v>45929</v>
      </c>
      <c r="B3005" s="14" t="inlineStr">
        <is>
          <t>NB-0029</t>
        </is>
      </c>
      <c r="C3005" s="14" t="n">
        <v>38</v>
      </c>
      <c r="D3005" s="14">
        <f>IF(A3005&gt;LastWeek-364,1,0)</f>
        <v/>
      </c>
      <c r="E3005" s="14">
        <f>C3005^2*D3005</f>
        <v/>
      </c>
    </row>
    <row r="3006">
      <c r="A3006" s="26" t="n">
        <v>45936</v>
      </c>
      <c r="B3006" s="14" t="inlineStr">
        <is>
          <t>NB-0029</t>
        </is>
      </c>
      <c r="C3006" s="14" t="n">
        <v>34</v>
      </c>
      <c r="D3006" s="14">
        <f>IF(A3006&gt;LastWeek-364,1,0)</f>
        <v/>
      </c>
      <c r="E3006" s="14">
        <f>C3006^2*D3006</f>
        <v/>
      </c>
    </row>
    <row r="3007">
      <c r="A3007" s="26" t="n">
        <v>45943</v>
      </c>
      <c r="B3007" s="14" t="inlineStr">
        <is>
          <t>NB-0029</t>
        </is>
      </c>
      <c r="C3007" s="14" t="n">
        <v>28</v>
      </c>
      <c r="D3007" s="14">
        <f>IF(A3007&gt;LastWeek-364,1,0)</f>
        <v/>
      </c>
      <c r="E3007" s="14">
        <f>C3007^2*D3007</f>
        <v/>
      </c>
    </row>
    <row r="3008">
      <c r="A3008" s="26" t="n">
        <v>45950</v>
      </c>
      <c r="B3008" s="14" t="inlineStr">
        <is>
          <t>NB-0029</t>
        </is>
      </c>
      <c r="C3008" s="14" t="n">
        <v>54</v>
      </c>
      <c r="D3008" s="14">
        <f>IF(A3008&gt;LastWeek-364,1,0)</f>
        <v/>
      </c>
      <c r="E3008" s="14">
        <f>C3008^2*D3008</f>
        <v/>
      </c>
    </row>
    <row r="3009">
      <c r="A3009" s="26" t="n">
        <v>45957</v>
      </c>
      <c r="B3009" s="14" t="inlineStr">
        <is>
          <t>NB-0029</t>
        </is>
      </c>
      <c r="C3009" s="14" t="n">
        <v>35</v>
      </c>
      <c r="D3009" s="14">
        <f>IF(A3009&gt;LastWeek-364,1,0)</f>
        <v/>
      </c>
      <c r="E3009" s="14">
        <f>C3009^2*D3009</f>
        <v/>
      </c>
    </row>
    <row r="3010">
      <c r="A3010" s="26" t="n">
        <v>45964</v>
      </c>
      <c r="B3010" s="14" t="inlineStr">
        <is>
          <t>NB-0029</t>
        </is>
      </c>
      <c r="C3010" s="14" t="n">
        <v>37</v>
      </c>
      <c r="D3010" s="14">
        <f>IF(A3010&gt;LastWeek-364,1,0)</f>
        <v/>
      </c>
      <c r="E3010" s="14">
        <f>C3010^2*D3010</f>
        <v/>
      </c>
    </row>
    <row r="3011">
      <c r="A3011" s="26" t="n">
        <v>45971</v>
      </c>
      <c r="B3011" s="14" t="inlineStr">
        <is>
          <t>NB-0029</t>
        </is>
      </c>
      <c r="C3011" s="14" t="n">
        <v>35</v>
      </c>
      <c r="D3011" s="14">
        <f>IF(A3011&gt;LastWeek-364,1,0)</f>
        <v/>
      </c>
      <c r="E3011" s="14">
        <f>C3011^2*D3011</f>
        <v/>
      </c>
    </row>
    <row r="3012">
      <c r="A3012" s="26" t="n">
        <v>45978</v>
      </c>
      <c r="B3012" s="14" t="inlineStr">
        <is>
          <t>NB-0029</t>
        </is>
      </c>
      <c r="C3012" s="14" t="n">
        <v>13</v>
      </c>
      <c r="D3012" s="14">
        <f>IF(A3012&gt;LastWeek-364,1,0)</f>
        <v/>
      </c>
      <c r="E3012" s="14">
        <f>C3012^2*D3012</f>
        <v/>
      </c>
    </row>
    <row r="3013">
      <c r="A3013" s="26" t="n">
        <v>45985</v>
      </c>
      <c r="B3013" s="14" t="inlineStr">
        <is>
          <t>NB-0029</t>
        </is>
      </c>
      <c r="C3013" s="14" t="n">
        <v>25</v>
      </c>
      <c r="D3013" s="14">
        <f>IF(A3013&gt;LastWeek-364,1,0)</f>
        <v/>
      </c>
      <c r="E3013" s="14">
        <f>C3013^2*D3013</f>
        <v/>
      </c>
    </row>
    <row r="3014">
      <c r="A3014" s="26" t="n">
        <v>45992</v>
      </c>
      <c r="B3014" s="14" t="inlineStr">
        <is>
          <t>NB-0029</t>
        </is>
      </c>
      <c r="C3014" s="14" t="n">
        <v>55</v>
      </c>
      <c r="D3014" s="14">
        <f>IF(A3014&gt;LastWeek-364,1,0)</f>
        <v/>
      </c>
      <c r="E3014" s="14">
        <f>C3014^2*D3014</f>
        <v/>
      </c>
    </row>
    <row r="3015">
      <c r="A3015" s="26" t="n">
        <v>45999</v>
      </c>
      <c r="B3015" s="14" t="inlineStr">
        <is>
          <t>NB-0029</t>
        </is>
      </c>
      <c r="C3015" s="14" t="n">
        <v>11</v>
      </c>
      <c r="D3015" s="14">
        <f>IF(A3015&gt;LastWeek-364,1,0)</f>
        <v/>
      </c>
      <c r="E3015" s="14">
        <f>C3015^2*D3015</f>
        <v/>
      </c>
    </row>
    <row r="3016">
      <c r="A3016" s="26" t="n">
        <v>46006</v>
      </c>
      <c r="B3016" s="14" t="inlineStr">
        <is>
          <t>NB-0029</t>
        </is>
      </c>
      <c r="C3016" s="14" t="n">
        <v>31</v>
      </c>
      <c r="D3016" s="14">
        <f>IF(A3016&gt;LastWeek-364,1,0)</f>
        <v/>
      </c>
      <c r="E3016" s="14">
        <f>C3016^2*D3016</f>
        <v/>
      </c>
    </row>
    <row r="3017">
      <c r="A3017" s="26" t="n">
        <v>46013</v>
      </c>
      <c r="B3017" s="14" t="inlineStr">
        <is>
          <t>NB-0029</t>
        </is>
      </c>
      <c r="C3017" s="14" t="n">
        <v>36</v>
      </c>
      <c r="D3017" s="14">
        <f>IF(A3017&gt;LastWeek-364,1,0)</f>
        <v/>
      </c>
      <c r="E3017" s="14">
        <f>C3017^2*D3017</f>
        <v/>
      </c>
    </row>
    <row r="3018">
      <c r="A3018" s="26" t="n">
        <v>45292</v>
      </c>
      <c r="B3018" s="14" t="inlineStr">
        <is>
          <t>NB-0030</t>
        </is>
      </c>
      <c r="C3018" s="14" t="n">
        <v>8</v>
      </c>
      <c r="D3018" s="14">
        <f>IF(A3018&gt;LastWeek-364,1,0)</f>
        <v/>
      </c>
      <c r="E3018" s="14">
        <f>C3018^2*D3018</f>
        <v/>
      </c>
    </row>
    <row r="3019">
      <c r="A3019" s="26" t="n">
        <v>45299</v>
      </c>
      <c r="B3019" s="14" t="inlineStr">
        <is>
          <t>NB-0030</t>
        </is>
      </c>
      <c r="C3019" s="14" t="n">
        <v>7</v>
      </c>
      <c r="D3019" s="14">
        <f>IF(A3019&gt;LastWeek-364,1,0)</f>
        <v/>
      </c>
      <c r="E3019" s="14">
        <f>C3019^2*D3019</f>
        <v/>
      </c>
    </row>
    <row r="3020">
      <c r="A3020" s="26" t="n">
        <v>45306</v>
      </c>
      <c r="B3020" s="14" t="inlineStr">
        <is>
          <t>NB-0030</t>
        </is>
      </c>
      <c r="C3020" s="14" t="n">
        <v>6</v>
      </c>
      <c r="D3020" s="14">
        <f>IF(A3020&gt;LastWeek-364,1,0)</f>
        <v/>
      </c>
      <c r="E3020" s="14">
        <f>C3020^2*D3020</f>
        <v/>
      </c>
    </row>
    <row r="3021">
      <c r="A3021" s="26" t="n">
        <v>45313</v>
      </c>
      <c r="B3021" s="14" t="inlineStr">
        <is>
          <t>NB-0030</t>
        </is>
      </c>
      <c r="C3021" s="14" t="n">
        <v>8</v>
      </c>
      <c r="D3021" s="14">
        <f>IF(A3021&gt;LastWeek-364,1,0)</f>
        <v/>
      </c>
      <c r="E3021" s="14">
        <f>C3021^2*D3021</f>
        <v/>
      </c>
    </row>
    <row r="3022">
      <c r="A3022" s="26" t="n">
        <v>45320</v>
      </c>
      <c r="B3022" s="14" t="inlineStr">
        <is>
          <t>NB-0030</t>
        </is>
      </c>
      <c r="C3022" s="14" t="n">
        <v>6</v>
      </c>
      <c r="D3022" s="14">
        <f>IF(A3022&gt;LastWeek-364,1,0)</f>
        <v/>
      </c>
      <c r="E3022" s="14">
        <f>C3022^2*D3022</f>
        <v/>
      </c>
    </row>
    <row r="3023">
      <c r="A3023" s="26" t="n">
        <v>45327</v>
      </c>
      <c r="B3023" s="14" t="inlineStr">
        <is>
          <t>NB-0030</t>
        </is>
      </c>
      <c r="C3023" s="14" t="n">
        <v>8</v>
      </c>
      <c r="D3023" s="14">
        <f>IF(A3023&gt;LastWeek-364,1,0)</f>
        <v/>
      </c>
      <c r="E3023" s="14">
        <f>C3023^2*D3023</f>
        <v/>
      </c>
    </row>
    <row r="3024">
      <c r="A3024" s="26" t="n">
        <v>45334</v>
      </c>
      <c r="B3024" s="14" t="inlineStr">
        <is>
          <t>NB-0030</t>
        </is>
      </c>
      <c r="C3024" s="14" t="n">
        <v>6</v>
      </c>
      <c r="D3024" s="14">
        <f>IF(A3024&gt;LastWeek-364,1,0)</f>
        <v/>
      </c>
      <c r="E3024" s="14">
        <f>C3024^2*D3024</f>
        <v/>
      </c>
    </row>
    <row r="3025">
      <c r="A3025" s="26" t="n">
        <v>45341</v>
      </c>
      <c r="B3025" s="14" t="inlineStr">
        <is>
          <t>NB-0030</t>
        </is>
      </c>
      <c r="C3025" s="14" t="n">
        <v>8</v>
      </c>
      <c r="D3025" s="14">
        <f>IF(A3025&gt;LastWeek-364,1,0)</f>
        <v/>
      </c>
      <c r="E3025" s="14">
        <f>C3025^2*D3025</f>
        <v/>
      </c>
    </row>
    <row r="3026">
      <c r="A3026" s="26" t="n">
        <v>45348</v>
      </c>
      <c r="B3026" s="14" t="inlineStr">
        <is>
          <t>NB-0030</t>
        </is>
      </c>
      <c r="C3026" s="14" t="n">
        <v>7</v>
      </c>
      <c r="D3026" s="14">
        <f>IF(A3026&gt;LastWeek-364,1,0)</f>
        <v/>
      </c>
      <c r="E3026" s="14">
        <f>C3026^2*D3026</f>
        <v/>
      </c>
    </row>
    <row r="3027">
      <c r="A3027" s="26" t="n">
        <v>45355</v>
      </c>
      <c r="B3027" s="14" t="inlineStr">
        <is>
          <t>NB-0030</t>
        </is>
      </c>
      <c r="C3027" s="14" t="n">
        <v>6</v>
      </c>
      <c r="D3027" s="14">
        <f>IF(A3027&gt;LastWeek-364,1,0)</f>
        <v/>
      </c>
      <c r="E3027" s="14">
        <f>C3027^2*D3027</f>
        <v/>
      </c>
    </row>
    <row r="3028">
      <c r="A3028" s="26" t="n">
        <v>45362</v>
      </c>
      <c r="B3028" s="14" t="inlineStr">
        <is>
          <t>NB-0030</t>
        </is>
      </c>
      <c r="C3028" s="14" t="n">
        <v>7</v>
      </c>
      <c r="D3028" s="14">
        <f>IF(A3028&gt;LastWeek-364,1,0)</f>
        <v/>
      </c>
      <c r="E3028" s="14">
        <f>C3028^2*D3028</f>
        <v/>
      </c>
    </row>
    <row r="3029">
      <c r="A3029" s="26" t="n">
        <v>45369</v>
      </c>
      <c r="B3029" s="14" t="inlineStr">
        <is>
          <t>NB-0030</t>
        </is>
      </c>
      <c r="C3029" s="14" t="n">
        <v>7</v>
      </c>
      <c r="D3029" s="14">
        <f>IF(A3029&gt;LastWeek-364,1,0)</f>
        <v/>
      </c>
      <c r="E3029" s="14">
        <f>C3029^2*D3029</f>
        <v/>
      </c>
    </row>
    <row r="3030">
      <c r="A3030" s="26" t="n">
        <v>45376</v>
      </c>
      <c r="B3030" s="14" t="inlineStr">
        <is>
          <t>NB-0030</t>
        </is>
      </c>
      <c r="C3030" s="14" t="n">
        <v>7</v>
      </c>
      <c r="D3030" s="14">
        <f>IF(A3030&gt;LastWeek-364,1,0)</f>
        <v/>
      </c>
      <c r="E3030" s="14">
        <f>C3030^2*D3030</f>
        <v/>
      </c>
    </row>
    <row r="3031">
      <c r="A3031" s="26" t="n">
        <v>45383</v>
      </c>
      <c r="B3031" s="14" t="inlineStr">
        <is>
          <t>NB-0030</t>
        </is>
      </c>
      <c r="C3031" s="14" t="n">
        <v>7</v>
      </c>
      <c r="D3031" s="14">
        <f>IF(A3031&gt;LastWeek-364,1,0)</f>
        <v/>
      </c>
      <c r="E3031" s="14">
        <f>C3031^2*D3031</f>
        <v/>
      </c>
    </row>
    <row r="3032">
      <c r="A3032" s="26" t="n">
        <v>45390</v>
      </c>
      <c r="B3032" s="14" t="inlineStr">
        <is>
          <t>NB-0030</t>
        </is>
      </c>
      <c r="C3032" s="14" t="n">
        <v>7</v>
      </c>
      <c r="D3032" s="14">
        <f>IF(A3032&gt;LastWeek-364,1,0)</f>
        <v/>
      </c>
      <c r="E3032" s="14">
        <f>C3032^2*D3032</f>
        <v/>
      </c>
    </row>
    <row r="3033">
      <c r="A3033" s="26" t="n">
        <v>45397</v>
      </c>
      <c r="B3033" s="14" t="inlineStr">
        <is>
          <t>NB-0030</t>
        </is>
      </c>
      <c r="C3033" s="14" t="n">
        <v>7</v>
      </c>
      <c r="D3033" s="14">
        <f>IF(A3033&gt;LastWeek-364,1,0)</f>
        <v/>
      </c>
      <c r="E3033" s="14">
        <f>C3033^2*D3033</f>
        <v/>
      </c>
    </row>
    <row r="3034">
      <c r="A3034" s="26" t="n">
        <v>45404</v>
      </c>
      <c r="B3034" s="14" t="inlineStr">
        <is>
          <t>NB-0030</t>
        </is>
      </c>
      <c r="C3034" s="14" t="n">
        <v>7</v>
      </c>
      <c r="D3034" s="14">
        <f>IF(A3034&gt;LastWeek-364,1,0)</f>
        <v/>
      </c>
      <c r="E3034" s="14">
        <f>C3034^2*D3034</f>
        <v/>
      </c>
    </row>
    <row r="3035">
      <c r="A3035" s="26" t="n">
        <v>45411</v>
      </c>
      <c r="B3035" s="14" t="inlineStr">
        <is>
          <t>NB-0030</t>
        </is>
      </c>
      <c r="C3035" s="14" t="n">
        <v>7</v>
      </c>
      <c r="D3035" s="14">
        <f>IF(A3035&gt;LastWeek-364,1,0)</f>
        <v/>
      </c>
      <c r="E3035" s="14">
        <f>C3035^2*D3035</f>
        <v/>
      </c>
    </row>
    <row r="3036">
      <c r="A3036" s="26" t="n">
        <v>45418</v>
      </c>
      <c r="B3036" s="14" t="inlineStr">
        <is>
          <t>NB-0030</t>
        </is>
      </c>
      <c r="C3036" s="14" t="n">
        <v>7</v>
      </c>
      <c r="D3036" s="14">
        <f>IF(A3036&gt;LastWeek-364,1,0)</f>
        <v/>
      </c>
      <c r="E3036" s="14">
        <f>C3036^2*D3036</f>
        <v/>
      </c>
    </row>
    <row r="3037">
      <c r="A3037" s="26" t="n">
        <v>45425</v>
      </c>
      <c r="B3037" s="14" t="inlineStr">
        <is>
          <t>NB-0030</t>
        </is>
      </c>
      <c r="C3037" s="14" t="n">
        <v>7</v>
      </c>
      <c r="D3037" s="14">
        <f>IF(A3037&gt;LastWeek-364,1,0)</f>
        <v/>
      </c>
      <c r="E3037" s="14">
        <f>C3037^2*D3037</f>
        <v/>
      </c>
    </row>
    <row r="3038">
      <c r="A3038" s="26" t="n">
        <v>45432</v>
      </c>
      <c r="B3038" s="14" t="inlineStr">
        <is>
          <t>NB-0030</t>
        </is>
      </c>
      <c r="C3038" s="14" t="n">
        <v>7</v>
      </c>
      <c r="D3038" s="14">
        <f>IF(A3038&gt;LastWeek-364,1,0)</f>
        <v/>
      </c>
      <c r="E3038" s="14">
        <f>C3038^2*D3038</f>
        <v/>
      </c>
    </row>
    <row r="3039">
      <c r="A3039" s="26" t="n">
        <v>45439</v>
      </c>
      <c r="B3039" s="14" t="inlineStr">
        <is>
          <t>NB-0030</t>
        </is>
      </c>
      <c r="C3039" s="14" t="n">
        <v>8</v>
      </c>
      <c r="D3039" s="14">
        <f>IF(A3039&gt;LastWeek-364,1,0)</f>
        <v/>
      </c>
      <c r="E3039" s="14">
        <f>C3039^2*D3039</f>
        <v/>
      </c>
    </row>
    <row r="3040">
      <c r="A3040" s="26" t="n">
        <v>45446</v>
      </c>
      <c r="B3040" s="14" t="inlineStr">
        <is>
          <t>NB-0030</t>
        </is>
      </c>
      <c r="C3040" s="14" t="n">
        <v>8</v>
      </c>
      <c r="D3040" s="14">
        <f>IF(A3040&gt;LastWeek-364,1,0)</f>
        <v/>
      </c>
      <c r="E3040" s="14">
        <f>C3040^2*D3040</f>
        <v/>
      </c>
    </row>
    <row r="3041">
      <c r="A3041" s="26" t="n">
        <v>45453</v>
      </c>
      <c r="B3041" s="14" t="inlineStr">
        <is>
          <t>NB-0030</t>
        </is>
      </c>
      <c r="C3041" s="14" t="n">
        <v>8</v>
      </c>
      <c r="D3041" s="14">
        <f>IF(A3041&gt;LastWeek-364,1,0)</f>
        <v/>
      </c>
      <c r="E3041" s="14">
        <f>C3041^2*D3041</f>
        <v/>
      </c>
    </row>
    <row r="3042">
      <c r="A3042" s="26" t="n">
        <v>45460</v>
      </c>
      <c r="B3042" s="14" t="inlineStr">
        <is>
          <t>NB-0030</t>
        </is>
      </c>
      <c r="C3042" s="14" t="n">
        <v>9</v>
      </c>
      <c r="D3042" s="14">
        <f>IF(A3042&gt;LastWeek-364,1,0)</f>
        <v/>
      </c>
      <c r="E3042" s="14">
        <f>C3042^2*D3042</f>
        <v/>
      </c>
    </row>
    <row r="3043">
      <c r="A3043" s="26" t="n">
        <v>45467</v>
      </c>
      <c r="B3043" s="14" t="inlineStr">
        <is>
          <t>NB-0030</t>
        </is>
      </c>
      <c r="C3043" s="14" t="n">
        <v>7</v>
      </c>
      <c r="D3043" s="14">
        <f>IF(A3043&gt;LastWeek-364,1,0)</f>
        <v/>
      </c>
      <c r="E3043" s="14">
        <f>C3043^2*D3043</f>
        <v/>
      </c>
    </row>
    <row r="3044">
      <c r="A3044" s="26" t="n">
        <v>45474</v>
      </c>
      <c r="B3044" s="14" t="inlineStr">
        <is>
          <t>NB-0030</t>
        </is>
      </c>
      <c r="C3044" s="14" t="n">
        <v>7</v>
      </c>
      <c r="D3044" s="14">
        <f>IF(A3044&gt;LastWeek-364,1,0)</f>
        <v/>
      </c>
      <c r="E3044" s="14">
        <f>C3044^2*D3044</f>
        <v/>
      </c>
    </row>
    <row r="3045">
      <c r="A3045" s="26" t="n">
        <v>45481</v>
      </c>
      <c r="B3045" s="14" t="inlineStr">
        <is>
          <t>NB-0030</t>
        </is>
      </c>
      <c r="C3045" s="14" t="n">
        <v>8</v>
      </c>
      <c r="D3045" s="14">
        <f>IF(A3045&gt;LastWeek-364,1,0)</f>
        <v/>
      </c>
      <c r="E3045" s="14">
        <f>C3045^2*D3045</f>
        <v/>
      </c>
    </row>
    <row r="3046">
      <c r="A3046" s="26" t="n">
        <v>45488</v>
      </c>
      <c r="B3046" s="14" t="inlineStr">
        <is>
          <t>NB-0030</t>
        </is>
      </c>
      <c r="C3046" s="14" t="n">
        <v>7</v>
      </c>
      <c r="D3046" s="14">
        <f>IF(A3046&gt;LastWeek-364,1,0)</f>
        <v/>
      </c>
      <c r="E3046" s="14">
        <f>C3046^2*D3046</f>
        <v/>
      </c>
    </row>
    <row r="3047">
      <c r="A3047" s="26" t="n">
        <v>45495</v>
      </c>
      <c r="B3047" s="14" t="inlineStr">
        <is>
          <t>NB-0030</t>
        </is>
      </c>
      <c r="C3047" s="14" t="n">
        <v>7</v>
      </c>
      <c r="D3047" s="14">
        <f>IF(A3047&gt;LastWeek-364,1,0)</f>
        <v/>
      </c>
      <c r="E3047" s="14">
        <f>C3047^2*D3047</f>
        <v/>
      </c>
    </row>
    <row r="3048">
      <c r="A3048" s="26" t="n">
        <v>45502</v>
      </c>
      <c r="B3048" s="14" t="inlineStr">
        <is>
          <t>NB-0030</t>
        </is>
      </c>
      <c r="C3048" s="14" t="n">
        <v>7</v>
      </c>
      <c r="D3048" s="14">
        <f>IF(A3048&gt;LastWeek-364,1,0)</f>
        <v/>
      </c>
      <c r="E3048" s="14">
        <f>C3048^2*D3048</f>
        <v/>
      </c>
    </row>
    <row r="3049">
      <c r="A3049" s="26" t="n">
        <v>45509</v>
      </c>
      <c r="B3049" s="14" t="inlineStr">
        <is>
          <t>NB-0030</t>
        </is>
      </c>
      <c r="C3049" s="14" t="n">
        <v>8</v>
      </c>
      <c r="D3049" s="14">
        <f>IF(A3049&gt;LastWeek-364,1,0)</f>
        <v/>
      </c>
      <c r="E3049" s="14">
        <f>C3049^2*D3049</f>
        <v/>
      </c>
    </row>
    <row r="3050">
      <c r="A3050" s="26" t="n">
        <v>45516</v>
      </c>
      <c r="B3050" s="14" t="inlineStr">
        <is>
          <t>NB-0030</t>
        </is>
      </c>
      <c r="C3050" s="14" t="n">
        <v>7</v>
      </c>
      <c r="D3050" s="14">
        <f>IF(A3050&gt;LastWeek-364,1,0)</f>
        <v/>
      </c>
      <c r="E3050" s="14">
        <f>C3050^2*D3050</f>
        <v/>
      </c>
    </row>
    <row r="3051">
      <c r="A3051" s="26" t="n">
        <v>45523</v>
      </c>
      <c r="B3051" s="14" t="inlineStr">
        <is>
          <t>NB-0030</t>
        </is>
      </c>
      <c r="C3051" s="14" t="n">
        <v>8</v>
      </c>
      <c r="D3051" s="14">
        <f>IF(A3051&gt;LastWeek-364,1,0)</f>
        <v/>
      </c>
      <c r="E3051" s="14">
        <f>C3051^2*D3051</f>
        <v/>
      </c>
    </row>
    <row r="3052">
      <c r="A3052" s="26" t="n">
        <v>45530</v>
      </c>
      <c r="B3052" s="14" t="inlineStr">
        <is>
          <t>NB-0030</t>
        </is>
      </c>
      <c r="C3052" s="14" t="n">
        <v>8</v>
      </c>
      <c r="D3052" s="14">
        <f>IF(A3052&gt;LastWeek-364,1,0)</f>
        <v/>
      </c>
      <c r="E3052" s="14">
        <f>C3052^2*D3052</f>
        <v/>
      </c>
    </row>
    <row r="3053">
      <c r="A3053" s="26" t="n">
        <v>45537</v>
      </c>
      <c r="B3053" s="14" t="inlineStr">
        <is>
          <t>NB-0030</t>
        </is>
      </c>
      <c r="C3053" s="14" t="n">
        <v>8</v>
      </c>
      <c r="D3053" s="14">
        <f>IF(A3053&gt;LastWeek-364,1,0)</f>
        <v/>
      </c>
      <c r="E3053" s="14">
        <f>C3053^2*D3053</f>
        <v/>
      </c>
    </row>
    <row r="3054">
      <c r="A3054" s="26" t="n">
        <v>45544</v>
      </c>
      <c r="B3054" s="14" t="inlineStr">
        <is>
          <t>NB-0030</t>
        </is>
      </c>
      <c r="C3054" s="14" t="n">
        <v>8</v>
      </c>
      <c r="D3054" s="14">
        <f>IF(A3054&gt;LastWeek-364,1,0)</f>
        <v/>
      </c>
      <c r="E3054" s="14">
        <f>C3054^2*D3054</f>
        <v/>
      </c>
    </row>
    <row r="3055">
      <c r="A3055" s="26" t="n">
        <v>45551</v>
      </c>
      <c r="B3055" s="14" t="inlineStr">
        <is>
          <t>NB-0030</t>
        </is>
      </c>
      <c r="C3055" s="14" t="n">
        <v>7</v>
      </c>
      <c r="D3055" s="14">
        <f>IF(A3055&gt;LastWeek-364,1,0)</f>
        <v/>
      </c>
      <c r="E3055" s="14">
        <f>C3055^2*D3055</f>
        <v/>
      </c>
    </row>
    <row r="3056">
      <c r="A3056" s="26" t="n">
        <v>45558</v>
      </c>
      <c r="B3056" s="14" t="inlineStr">
        <is>
          <t>NB-0030</t>
        </is>
      </c>
      <c r="C3056" s="14" t="n">
        <v>9</v>
      </c>
      <c r="D3056" s="14">
        <f>IF(A3056&gt;LastWeek-364,1,0)</f>
        <v/>
      </c>
      <c r="E3056" s="14">
        <f>C3056^2*D3056</f>
        <v/>
      </c>
    </row>
    <row r="3057">
      <c r="A3057" s="26" t="n">
        <v>45565</v>
      </c>
      <c r="B3057" s="14" t="inlineStr">
        <is>
          <t>NB-0030</t>
        </is>
      </c>
      <c r="C3057" s="14" t="n">
        <v>9</v>
      </c>
      <c r="D3057" s="14">
        <f>IF(A3057&gt;LastWeek-364,1,0)</f>
        <v/>
      </c>
      <c r="E3057" s="14">
        <f>C3057^2*D3057</f>
        <v/>
      </c>
    </row>
    <row r="3058">
      <c r="A3058" s="26" t="n">
        <v>45572</v>
      </c>
      <c r="B3058" s="14" t="inlineStr">
        <is>
          <t>NB-0030</t>
        </is>
      </c>
      <c r="C3058" s="14" t="n">
        <v>7</v>
      </c>
      <c r="D3058" s="14">
        <f>IF(A3058&gt;LastWeek-364,1,0)</f>
        <v/>
      </c>
      <c r="E3058" s="14">
        <f>C3058^2*D3058</f>
        <v/>
      </c>
    </row>
    <row r="3059">
      <c r="A3059" s="26" t="n">
        <v>45579</v>
      </c>
      <c r="B3059" s="14" t="inlineStr">
        <is>
          <t>NB-0030</t>
        </is>
      </c>
      <c r="C3059" s="14" t="n">
        <v>8</v>
      </c>
      <c r="D3059" s="14">
        <f>IF(A3059&gt;LastWeek-364,1,0)</f>
        <v/>
      </c>
      <c r="E3059" s="14">
        <f>C3059^2*D3059</f>
        <v/>
      </c>
    </row>
    <row r="3060">
      <c r="A3060" s="26" t="n">
        <v>45586</v>
      </c>
      <c r="B3060" s="14" t="inlineStr">
        <is>
          <t>NB-0030</t>
        </is>
      </c>
      <c r="C3060" s="14" t="n">
        <v>8</v>
      </c>
      <c r="D3060" s="14">
        <f>IF(A3060&gt;LastWeek-364,1,0)</f>
        <v/>
      </c>
      <c r="E3060" s="14">
        <f>C3060^2*D3060</f>
        <v/>
      </c>
    </row>
    <row r="3061">
      <c r="A3061" s="26" t="n">
        <v>45593</v>
      </c>
      <c r="B3061" s="14" t="inlineStr">
        <is>
          <t>NB-0030</t>
        </is>
      </c>
      <c r="C3061" s="14" t="n">
        <v>9</v>
      </c>
      <c r="D3061" s="14">
        <f>IF(A3061&gt;LastWeek-364,1,0)</f>
        <v/>
      </c>
      <c r="E3061" s="14">
        <f>C3061^2*D3061</f>
        <v/>
      </c>
    </row>
    <row r="3062">
      <c r="A3062" s="26" t="n">
        <v>45600</v>
      </c>
      <c r="B3062" s="14" t="inlineStr">
        <is>
          <t>NB-0030</t>
        </is>
      </c>
      <c r="C3062" s="14" t="n">
        <v>9</v>
      </c>
      <c r="D3062" s="14">
        <f>IF(A3062&gt;LastWeek-364,1,0)</f>
        <v/>
      </c>
      <c r="E3062" s="14">
        <f>C3062^2*D3062</f>
        <v/>
      </c>
    </row>
    <row r="3063">
      <c r="A3063" s="26" t="n">
        <v>45607</v>
      </c>
      <c r="B3063" s="14" t="inlineStr">
        <is>
          <t>NB-0030</t>
        </is>
      </c>
      <c r="C3063" s="14" t="n">
        <v>9</v>
      </c>
      <c r="D3063" s="14">
        <f>IF(A3063&gt;LastWeek-364,1,0)</f>
        <v/>
      </c>
      <c r="E3063" s="14">
        <f>C3063^2*D3063</f>
        <v/>
      </c>
    </row>
    <row r="3064">
      <c r="A3064" s="26" t="n">
        <v>45614</v>
      </c>
      <c r="B3064" s="14" t="inlineStr">
        <is>
          <t>NB-0030</t>
        </is>
      </c>
      <c r="C3064" s="14" t="n">
        <v>9</v>
      </c>
      <c r="D3064" s="14">
        <f>IF(A3064&gt;LastWeek-364,1,0)</f>
        <v/>
      </c>
      <c r="E3064" s="14">
        <f>C3064^2*D3064</f>
        <v/>
      </c>
    </row>
    <row r="3065">
      <c r="A3065" s="26" t="n">
        <v>45621</v>
      </c>
      <c r="B3065" s="14" t="inlineStr">
        <is>
          <t>NB-0030</t>
        </is>
      </c>
      <c r="C3065" s="14" t="n">
        <v>9</v>
      </c>
      <c r="D3065" s="14">
        <f>IF(A3065&gt;LastWeek-364,1,0)</f>
        <v/>
      </c>
      <c r="E3065" s="14">
        <f>C3065^2*D3065</f>
        <v/>
      </c>
    </row>
    <row r="3066">
      <c r="A3066" s="26" t="n">
        <v>45628</v>
      </c>
      <c r="B3066" s="14" t="inlineStr">
        <is>
          <t>NB-0030</t>
        </is>
      </c>
      <c r="C3066" s="14" t="n">
        <v>8</v>
      </c>
      <c r="D3066" s="14">
        <f>IF(A3066&gt;LastWeek-364,1,0)</f>
        <v/>
      </c>
      <c r="E3066" s="14">
        <f>C3066^2*D3066</f>
        <v/>
      </c>
    </row>
    <row r="3067">
      <c r="A3067" s="26" t="n">
        <v>45635</v>
      </c>
      <c r="B3067" s="14" t="inlineStr">
        <is>
          <t>NB-0030</t>
        </is>
      </c>
      <c r="C3067" s="14" t="n">
        <v>9</v>
      </c>
      <c r="D3067" s="14">
        <f>IF(A3067&gt;LastWeek-364,1,0)</f>
        <v/>
      </c>
      <c r="E3067" s="14">
        <f>C3067^2*D3067</f>
        <v/>
      </c>
    </row>
    <row r="3068">
      <c r="A3068" s="26" t="n">
        <v>45642</v>
      </c>
      <c r="B3068" s="14" t="inlineStr">
        <is>
          <t>NB-0030</t>
        </is>
      </c>
      <c r="C3068" s="14" t="n">
        <v>9</v>
      </c>
      <c r="D3068" s="14">
        <f>IF(A3068&gt;LastWeek-364,1,0)</f>
        <v/>
      </c>
      <c r="E3068" s="14">
        <f>C3068^2*D3068</f>
        <v/>
      </c>
    </row>
    <row r="3069">
      <c r="A3069" s="26" t="n">
        <v>45649</v>
      </c>
      <c r="B3069" s="14" t="inlineStr">
        <is>
          <t>NB-0030</t>
        </is>
      </c>
      <c r="C3069" s="14" t="n">
        <v>9</v>
      </c>
      <c r="D3069" s="14">
        <f>IF(A3069&gt;LastWeek-364,1,0)</f>
        <v/>
      </c>
      <c r="E3069" s="14">
        <f>C3069^2*D3069</f>
        <v/>
      </c>
    </row>
    <row r="3070">
      <c r="A3070" s="26" t="n">
        <v>45656</v>
      </c>
      <c r="B3070" s="14" t="inlineStr">
        <is>
          <t>NB-0030</t>
        </is>
      </c>
      <c r="C3070" s="14" t="n">
        <v>7</v>
      </c>
      <c r="D3070" s="14">
        <f>IF(A3070&gt;LastWeek-364,1,0)</f>
        <v/>
      </c>
      <c r="E3070" s="14">
        <f>C3070^2*D3070</f>
        <v/>
      </c>
    </row>
    <row r="3071">
      <c r="A3071" s="26" t="n">
        <v>45663</v>
      </c>
      <c r="B3071" s="14" t="inlineStr">
        <is>
          <t>NB-0030</t>
        </is>
      </c>
      <c r="C3071" s="14" t="n">
        <v>9</v>
      </c>
      <c r="D3071" s="14">
        <f>IF(A3071&gt;LastWeek-364,1,0)</f>
        <v/>
      </c>
      <c r="E3071" s="14">
        <f>C3071^2*D3071</f>
        <v/>
      </c>
    </row>
    <row r="3072">
      <c r="A3072" s="26" t="n">
        <v>45670</v>
      </c>
      <c r="B3072" s="14" t="inlineStr">
        <is>
          <t>NB-0030</t>
        </is>
      </c>
      <c r="C3072" s="14" t="n">
        <v>9</v>
      </c>
      <c r="D3072" s="14">
        <f>IF(A3072&gt;LastWeek-364,1,0)</f>
        <v/>
      </c>
      <c r="E3072" s="14">
        <f>C3072^2*D3072</f>
        <v/>
      </c>
    </row>
    <row r="3073">
      <c r="A3073" s="26" t="n">
        <v>45677</v>
      </c>
      <c r="B3073" s="14" t="inlineStr">
        <is>
          <t>NB-0030</t>
        </is>
      </c>
      <c r="C3073" s="14" t="n">
        <v>9</v>
      </c>
      <c r="D3073" s="14">
        <f>IF(A3073&gt;LastWeek-364,1,0)</f>
        <v/>
      </c>
      <c r="E3073" s="14">
        <f>C3073^2*D3073</f>
        <v/>
      </c>
    </row>
    <row r="3074">
      <c r="A3074" s="26" t="n">
        <v>45684</v>
      </c>
      <c r="B3074" s="14" t="inlineStr">
        <is>
          <t>NB-0030</t>
        </is>
      </c>
      <c r="C3074" s="14" t="n">
        <v>9</v>
      </c>
      <c r="D3074" s="14">
        <f>IF(A3074&gt;LastWeek-364,1,0)</f>
        <v/>
      </c>
      <c r="E3074" s="14">
        <f>C3074^2*D3074</f>
        <v/>
      </c>
    </row>
    <row r="3075">
      <c r="A3075" s="26" t="n">
        <v>45691</v>
      </c>
      <c r="B3075" s="14" t="inlineStr">
        <is>
          <t>NB-0030</t>
        </is>
      </c>
      <c r="C3075" s="14" t="n">
        <v>10</v>
      </c>
      <c r="D3075" s="14">
        <f>IF(A3075&gt;LastWeek-364,1,0)</f>
        <v/>
      </c>
      <c r="E3075" s="14">
        <f>C3075^2*D3075</f>
        <v/>
      </c>
    </row>
    <row r="3076">
      <c r="A3076" s="26" t="n">
        <v>45698</v>
      </c>
      <c r="B3076" s="14" t="inlineStr">
        <is>
          <t>NB-0030</t>
        </is>
      </c>
      <c r="C3076" s="14" t="n">
        <v>8</v>
      </c>
      <c r="D3076" s="14">
        <f>IF(A3076&gt;LastWeek-364,1,0)</f>
        <v/>
      </c>
      <c r="E3076" s="14">
        <f>C3076^2*D3076</f>
        <v/>
      </c>
    </row>
    <row r="3077">
      <c r="A3077" s="26" t="n">
        <v>45705</v>
      </c>
      <c r="B3077" s="14" t="inlineStr">
        <is>
          <t>NB-0030</t>
        </is>
      </c>
      <c r="C3077" s="14" t="n">
        <v>8</v>
      </c>
      <c r="D3077" s="14">
        <f>IF(A3077&gt;LastWeek-364,1,0)</f>
        <v/>
      </c>
      <c r="E3077" s="14">
        <f>C3077^2*D3077</f>
        <v/>
      </c>
    </row>
    <row r="3078">
      <c r="A3078" s="26" t="n">
        <v>45712</v>
      </c>
      <c r="B3078" s="14" t="inlineStr">
        <is>
          <t>NB-0030</t>
        </is>
      </c>
      <c r="C3078" s="14" t="n">
        <v>9</v>
      </c>
      <c r="D3078" s="14">
        <f>IF(A3078&gt;LastWeek-364,1,0)</f>
        <v/>
      </c>
      <c r="E3078" s="14">
        <f>C3078^2*D3078</f>
        <v/>
      </c>
    </row>
    <row r="3079">
      <c r="A3079" s="26" t="n">
        <v>45719</v>
      </c>
      <c r="B3079" s="14" t="inlineStr">
        <is>
          <t>NB-0030</t>
        </is>
      </c>
      <c r="C3079" s="14" t="n">
        <v>10</v>
      </c>
      <c r="D3079" s="14">
        <f>IF(A3079&gt;LastWeek-364,1,0)</f>
        <v/>
      </c>
      <c r="E3079" s="14">
        <f>C3079^2*D3079</f>
        <v/>
      </c>
    </row>
    <row r="3080">
      <c r="A3080" s="26" t="n">
        <v>45726</v>
      </c>
      <c r="B3080" s="14" t="inlineStr">
        <is>
          <t>NB-0030</t>
        </is>
      </c>
      <c r="C3080" s="14" t="n">
        <v>11</v>
      </c>
      <c r="D3080" s="14">
        <f>IF(A3080&gt;LastWeek-364,1,0)</f>
        <v/>
      </c>
      <c r="E3080" s="14">
        <f>C3080^2*D3080</f>
        <v/>
      </c>
    </row>
    <row r="3081">
      <c r="A3081" s="26" t="n">
        <v>45733</v>
      </c>
      <c r="B3081" s="14" t="inlineStr">
        <is>
          <t>NB-0030</t>
        </is>
      </c>
      <c r="C3081" s="14" t="n">
        <v>10</v>
      </c>
      <c r="D3081" s="14">
        <f>IF(A3081&gt;LastWeek-364,1,0)</f>
        <v/>
      </c>
      <c r="E3081" s="14">
        <f>C3081^2*D3081</f>
        <v/>
      </c>
    </row>
    <row r="3082">
      <c r="A3082" s="26" t="n">
        <v>45740</v>
      </c>
      <c r="B3082" s="14" t="inlineStr">
        <is>
          <t>NB-0030</t>
        </is>
      </c>
      <c r="C3082" s="14" t="n">
        <v>8</v>
      </c>
      <c r="D3082" s="14">
        <f>IF(A3082&gt;LastWeek-364,1,0)</f>
        <v/>
      </c>
      <c r="E3082" s="14">
        <f>C3082^2*D3082</f>
        <v/>
      </c>
    </row>
    <row r="3083">
      <c r="A3083" s="26" t="n">
        <v>45747</v>
      </c>
      <c r="B3083" s="14" t="inlineStr">
        <is>
          <t>NB-0030</t>
        </is>
      </c>
      <c r="C3083" s="14" t="n">
        <v>9</v>
      </c>
      <c r="D3083" s="14">
        <f>IF(A3083&gt;LastWeek-364,1,0)</f>
        <v/>
      </c>
      <c r="E3083" s="14">
        <f>C3083^2*D3083</f>
        <v/>
      </c>
    </row>
    <row r="3084">
      <c r="A3084" s="26" t="n">
        <v>45754</v>
      </c>
      <c r="B3084" s="14" t="inlineStr">
        <is>
          <t>NB-0030</t>
        </is>
      </c>
      <c r="C3084" s="14" t="n">
        <v>10</v>
      </c>
      <c r="D3084" s="14">
        <f>IF(A3084&gt;LastWeek-364,1,0)</f>
        <v/>
      </c>
      <c r="E3084" s="14">
        <f>C3084^2*D3084</f>
        <v/>
      </c>
    </row>
    <row r="3085">
      <c r="A3085" s="26" t="n">
        <v>45761</v>
      </c>
      <c r="B3085" s="14" t="inlineStr">
        <is>
          <t>NB-0030</t>
        </is>
      </c>
      <c r="C3085" s="14" t="n">
        <v>10</v>
      </c>
      <c r="D3085" s="14">
        <f>IF(A3085&gt;LastWeek-364,1,0)</f>
        <v/>
      </c>
      <c r="E3085" s="14">
        <f>C3085^2*D3085</f>
        <v/>
      </c>
    </row>
    <row r="3086">
      <c r="A3086" s="26" t="n">
        <v>45768</v>
      </c>
      <c r="B3086" s="14" t="inlineStr">
        <is>
          <t>NB-0030</t>
        </is>
      </c>
      <c r="C3086" s="14" t="n">
        <v>10</v>
      </c>
      <c r="D3086" s="14">
        <f>IF(A3086&gt;LastWeek-364,1,0)</f>
        <v/>
      </c>
      <c r="E3086" s="14">
        <f>C3086^2*D3086</f>
        <v/>
      </c>
    </row>
    <row r="3087">
      <c r="A3087" s="26" t="n">
        <v>45775</v>
      </c>
      <c r="B3087" s="14" t="inlineStr">
        <is>
          <t>NB-0030</t>
        </is>
      </c>
      <c r="C3087" s="14" t="n">
        <v>9</v>
      </c>
      <c r="D3087" s="14">
        <f>IF(A3087&gt;LastWeek-364,1,0)</f>
        <v/>
      </c>
      <c r="E3087" s="14">
        <f>C3087^2*D3087</f>
        <v/>
      </c>
    </row>
    <row r="3088">
      <c r="A3088" s="26" t="n">
        <v>45782</v>
      </c>
      <c r="B3088" s="14" t="inlineStr">
        <is>
          <t>NB-0030</t>
        </is>
      </c>
      <c r="C3088" s="14" t="n">
        <v>9</v>
      </c>
      <c r="D3088" s="14">
        <f>IF(A3088&gt;LastWeek-364,1,0)</f>
        <v/>
      </c>
      <c r="E3088" s="14">
        <f>C3088^2*D3088</f>
        <v/>
      </c>
    </row>
    <row r="3089">
      <c r="A3089" s="26" t="n">
        <v>45789</v>
      </c>
      <c r="B3089" s="14" t="inlineStr">
        <is>
          <t>NB-0030</t>
        </is>
      </c>
      <c r="C3089" s="14" t="n">
        <v>10</v>
      </c>
      <c r="D3089" s="14">
        <f>IF(A3089&gt;LastWeek-364,1,0)</f>
        <v/>
      </c>
      <c r="E3089" s="14">
        <f>C3089^2*D3089</f>
        <v/>
      </c>
    </row>
    <row r="3090">
      <c r="A3090" s="26" t="n">
        <v>45796</v>
      </c>
      <c r="B3090" s="14" t="inlineStr">
        <is>
          <t>NB-0030</t>
        </is>
      </c>
      <c r="C3090" s="14" t="n">
        <v>10</v>
      </c>
      <c r="D3090" s="14">
        <f>IF(A3090&gt;LastWeek-364,1,0)</f>
        <v/>
      </c>
      <c r="E3090" s="14">
        <f>C3090^2*D3090</f>
        <v/>
      </c>
    </row>
    <row r="3091">
      <c r="A3091" s="26" t="n">
        <v>45803</v>
      </c>
      <c r="B3091" s="14" t="inlineStr">
        <is>
          <t>NB-0030</t>
        </is>
      </c>
      <c r="C3091" s="14" t="n">
        <v>9</v>
      </c>
      <c r="D3091" s="14">
        <f>IF(A3091&gt;LastWeek-364,1,0)</f>
        <v/>
      </c>
      <c r="E3091" s="14">
        <f>C3091^2*D3091</f>
        <v/>
      </c>
    </row>
    <row r="3092">
      <c r="A3092" s="26" t="n">
        <v>45810</v>
      </c>
      <c r="B3092" s="14" t="inlineStr">
        <is>
          <t>NB-0030</t>
        </is>
      </c>
      <c r="C3092" s="14" t="n">
        <v>9</v>
      </c>
      <c r="D3092" s="14">
        <f>IF(A3092&gt;LastWeek-364,1,0)</f>
        <v/>
      </c>
      <c r="E3092" s="14">
        <f>C3092^2*D3092</f>
        <v/>
      </c>
    </row>
    <row r="3093">
      <c r="A3093" s="26" t="n">
        <v>45817</v>
      </c>
      <c r="B3093" s="14" t="inlineStr">
        <is>
          <t>NB-0030</t>
        </is>
      </c>
      <c r="C3093" s="14" t="n">
        <v>7</v>
      </c>
      <c r="D3093" s="14">
        <f>IF(A3093&gt;LastWeek-364,1,0)</f>
        <v/>
      </c>
      <c r="E3093" s="14">
        <f>C3093^2*D3093</f>
        <v/>
      </c>
    </row>
    <row r="3094">
      <c r="A3094" s="26" t="n">
        <v>45824</v>
      </c>
      <c r="B3094" s="14" t="inlineStr">
        <is>
          <t>NB-0030</t>
        </is>
      </c>
      <c r="C3094" s="14" t="n">
        <v>9</v>
      </c>
      <c r="D3094" s="14">
        <f>IF(A3094&gt;LastWeek-364,1,0)</f>
        <v/>
      </c>
      <c r="E3094" s="14">
        <f>C3094^2*D3094</f>
        <v/>
      </c>
    </row>
    <row r="3095">
      <c r="A3095" s="26" t="n">
        <v>45831</v>
      </c>
      <c r="B3095" s="14" t="inlineStr">
        <is>
          <t>NB-0030</t>
        </is>
      </c>
      <c r="C3095" s="14" t="n">
        <v>9</v>
      </c>
      <c r="D3095" s="14">
        <f>IF(A3095&gt;LastWeek-364,1,0)</f>
        <v/>
      </c>
      <c r="E3095" s="14">
        <f>C3095^2*D3095</f>
        <v/>
      </c>
    </row>
    <row r="3096">
      <c r="A3096" s="26" t="n">
        <v>45838</v>
      </c>
      <c r="B3096" s="14" t="inlineStr">
        <is>
          <t>NB-0030</t>
        </is>
      </c>
      <c r="C3096" s="14" t="n">
        <v>9</v>
      </c>
      <c r="D3096" s="14">
        <f>IF(A3096&gt;LastWeek-364,1,0)</f>
        <v/>
      </c>
      <c r="E3096" s="14">
        <f>C3096^2*D3096</f>
        <v/>
      </c>
    </row>
    <row r="3097">
      <c r="A3097" s="26" t="n">
        <v>45845</v>
      </c>
      <c r="B3097" s="14" t="inlineStr">
        <is>
          <t>NB-0030</t>
        </is>
      </c>
      <c r="C3097" s="14" t="n">
        <v>10</v>
      </c>
      <c r="D3097" s="14">
        <f>IF(A3097&gt;LastWeek-364,1,0)</f>
        <v/>
      </c>
      <c r="E3097" s="14">
        <f>C3097^2*D3097</f>
        <v/>
      </c>
    </row>
    <row r="3098">
      <c r="A3098" s="26" t="n">
        <v>45852</v>
      </c>
      <c r="B3098" s="14" t="inlineStr">
        <is>
          <t>NB-0030</t>
        </is>
      </c>
      <c r="C3098" s="14" t="n">
        <v>10</v>
      </c>
      <c r="D3098" s="14">
        <f>IF(A3098&gt;LastWeek-364,1,0)</f>
        <v/>
      </c>
      <c r="E3098" s="14">
        <f>C3098^2*D3098</f>
        <v/>
      </c>
    </row>
    <row r="3099">
      <c r="A3099" s="26" t="n">
        <v>45859</v>
      </c>
      <c r="B3099" s="14" t="inlineStr">
        <is>
          <t>NB-0030</t>
        </is>
      </c>
      <c r="C3099" s="14" t="n">
        <v>8</v>
      </c>
      <c r="D3099" s="14">
        <f>IF(A3099&gt;LastWeek-364,1,0)</f>
        <v/>
      </c>
      <c r="E3099" s="14">
        <f>C3099^2*D3099</f>
        <v/>
      </c>
    </row>
    <row r="3100">
      <c r="A3100" s="26" t="n">
        <v>45866</v>
      </c>
      <c r="B3100" s="14" t="inlineStr">
        <is>
          <t>NB-0030</t>
        </is>
      </c>
      <c r="C3100" s="14" t="n">
        <v>10</v>
      </c>
      <c r="D3100" s="14">
        <f>IF(A3100&gt;LastWeek-364,1,0)</f>
        <v/>
      </c>
      <c r="E3100" s="14">
        <f>C3100^2*D3100</f>
        <v/>
      </c>
    </row>
    <row r="3101">
      <c r="A3101" s="26" t="n">
        <v>45873</v>
      </c>
      <c r="B3101" s="14" t="inlineStr">
        <is>
          <t>NB-0030</t>
        </is>
      </c>
      <c r="C3101" s="14" t="n">
        <v>9</v>
      </c>
      <c r="D3101" s="14">
        <f>IF(A3101&gt;LastWeek-364,1,0)</f>
        <v/>
      </c>
      <c r="E3101" s="14">
        <f>C3101^2*D3101</f>
        <v/>
      </c>
    </row>
    <row r="3102">
      <c r="A3102" s="26" t="n">
        <v>45880</v>
      </c>
      <c r="B3102" s="14" t="inlineStr">
        <is>
          <t>NB-0030</t>
        </is>
      </c>
      <c r="C3102" s="14" t="n">
        <v>10</v>
      </c>
      <c r="D3102" s="14">
        <f>IF(A3102&gt;LastWeek-364,1,0)</f>
        <v/>
      </c>
      <c r="E3102" s="14">
        <f>C3102^2*D3102</f>
        <v/>
      </c>
    </row>
    <row r="3103">
      <c r="A3103" s="26" t="n">
        <v>45887</v>
      </c>
      <c r="B3103" s="14" t="inlineStr">
        <is>
          <t>NB-0030</t>
        </is>
      </c>
      <c r="C3103" s="14" t="n">
        <v>9</v>
      </c>
      <c r="D3103" s="14">
        <f>IF(A3103&gt;LastWeek-364,1,0)</f>
        <v/>
      </c>
      <c r="E3103" s="14">
        <f>C3103^2*D3103</f>
        <v/>
      </c>
    </row>
    <row r="3104">
      <c r="A3104" s="26" t="n">
        <v>45894</v>
      </c>
      <c r="B3104" s="14" t="inlineStr">
        <is>
          <t>NB-0030</t>
        </is>
      </c>
      <c r="C3104" s="14" t="n">
        <v>10</v>
      </c>
      <c r="D3104" s="14">
        <f>IF(A3104&gt;LastWeek-364,1,0)</f>
        <v/>
      </c>
      <c r="E3104" s="14">
        <f>C3104^2*D3104</f>
        <v/>
      </c>
    </row>
    <row r="3105">
      <c r="A3105" s="26" t="n">
        <v>45901</v>
      </c>
      <c r="B3105" s="14" t="inlineStr">
        <is>
          <t>NB-0030</t>
        </is>
      </c>
      <c r="C3105" s="14" t="n">
        <v>10</v>
      </c>
      <c r="D3105" s="14">
        <f>IF(A3105&gt;LastWeek-364,1,0)</f>
        <v/>
      </c>
      <c r="E3105" s="14">
        <f>C3105^2*D3105</f>
        <v/>
      </c>
    </row>
    <row r="3106">
      <c r="A3106" s="26" t="n">
        <v>45908</v>
      </c>
      <c r="B3106" s="14" t="inlineStr">
        <is>
          <t>NB-0030</t>
        </is>
      </c>
      <c r="C3106" s="14" t="n">
        <v>11</v>
      </c>
      <c r="D3106" s="14">
        <f>IF(A3106&gt;LastWeek-364,1,0)</f>
        <v/>
      </c>
      <c r="E3106" s="14">
        <f>C3106^2*D3106</f>
        <v/>
      </c>
    </row>
    <row r="3107">
      <c r="A3107" s="26" t="n">
        <v>45915</v>
      </c>
      <c r="B3107" s="14" t="inlineStr">
        <is>
          <t>NB-0030</t>
        </is>
      </c>
      <c r="C3107" s="14" t="n">
        <v>11</v>
      </c>
      <c r="D3107" s="14">
        <f>IF(A3107&gt;LastWeek-364,1,0)</f>
        <v/>
      </c>
      <c r="E3107" s="14">
        <f>C3107^2*D3107</f>
        <v/>
      </c>
    </row>
    <row r="3108">
      <c r="A3108" s="26" t="n">
        <v>45922</v>
      </c>
      <c r="B3108" s="14" t="inlineStr">
        <is>
          <t>NB-0030</t>
        </is>
      </c>
      <c r="C3108" s="14" t="n">
        <v>10</v>
      </c>
      <c r="D3108" s="14">
        <f>IF(A3108&gt;LastWeek-364,1,0)</f>
        <v/>
      </c>
      <c r="E3108" s="14">
        <f>C3108^2*D3108</f>
        <v/>
      </c>
    </row>
    <row r="3109">
      <c r="A3109" s="26" t="n">
        <v>45929</v>
      </c>
      <c r="B3109" s="14" t="inlineStr">
        <is>
          <t>NB-0030</t>
        </is>
      </c>
      <c r="C3109" s="14" t="n">
        <v>9</v>
      </c>
      <c r="D3109" s="14">
        <f>IF(A3109&gt;LastWeek-364,1,0)</f>
        <v/>
      </c>
      <c r="E3109" s="14">
        <f>C3109^2*D3109</f>
        <v/>
      </c>
    </row>
    <row r="3110">
      <c r="A3110" s="26" t="n">
        <v>45936</v>
      </c>
      <c r="B3110" s="14" t="inlineStr">
        <is>
          <t>NB-0030</t>
        </is>
      </c>
      <c r="C3110" s="14" t="n">
        <v>9</v>
      </c>
      <c r="D3110" s="14">
        <f>IF(A3110&gt;LastWeek-364,1,0)</f>
        <v/>
      </c>
      <c r="E3110" s="14">
        <f>C3110^2*D3110</f>
        <v/>
      </c>
    </row>
    <row r="3111">
      <c r="A3111" s="26" t="n">
        <v>45943</v>
      </c>
      <c r="B3111" s="14" t="inlineStr">
        <is>
          <t>NB-0030</t>
        </is>
      </c>
      <c r="C3111" s="14" t="n">
        <v>10</v>
      </c>
      <c r="D3111" s="14">
        <f>IF(A3111&gt;LastWeek-364,1,0)</f>
        <v/>
      </c>
      <c r="E3111" s="14">
        <f>C3111^2*D3111</f>
        <v/>
      </c>
    </row>
    <row r="3112">
      <c r="A3112" s="26" t="n">
        <v>45950</v>
      </c>
      <c r="B3112" s="14" t="inlineStr">
        <is>
          <t>NB-0030</t>
        </is>
      </c>
      <c r="C3112" s="14" t="n">
        <v>11</v>
      </c>
      <c r="D3112" s="14">
        <f>IF(A3112&gt;LastWeek-364,1,0)</f>
        <v/>
      </c>
      <c r="E3112" s="14">
        <f>C3112^2*D3112</f>
        <v/>
      </c>
    </row>
    <row r="3113">
      <c r="A3113" s="26" t="n">
        <v>45957</v>
      </c>
      <c r="B3113" s="14" t="inlineStr">
        <is>
          <t>NB-0030</t>
        </is>
      </c>
      <c r="C3113" s="14" t="n">
        <v>11</v>
      </c>
      <c r="D3113" s="14">
        <f>IF(A3113&gt;LastWeek-364,1,0)</f>
        <v/>
      </c>
      <c r="E3113" s="14">
        <f>C3113^2*D3113</f>
        <v/>
      </c>
    </row>
    <row r="3114">
      <c r="A3114" s="26" t="n">
        <v>45964</v>
      </c>
      <c r="B3114" s="14" t="inlineStr">
        <is>
          <t>NB-0030</t>
        </is>
      </c>
      <c r="C3114" s="14" t="n">
        <v>12</v>
      </c>
      <c r="D3114" s="14">
        <f>IF(A3114&gt;LastWeek-364,1,0)</f>
        <v/>
      </c>
      <c r="E3114" s="14">
        <f>C3114^2*D3114</f>
        <v/>
      </c>
    </row>
    <row r="3115">
      <c r="A3115" s="26" t="n">
        <v>45971</v>
      </c>
      <c r="B3115" s="14" t="inlineStr">
        <is>
          <t>NB-0030</t>
        </is>
      </c>
      <c r="C3115" s="14" t="n">
        <v>11</v>
      </c>
      <c r="D3115" s="14">
        <f>IF(A3115&gt;LastWeek-364,1,0)</f>
        <v/>
      </c>
      <c r="E3115" s="14">
        <f>C3115^2*D3115</f>
        <v/>
      </c>
    </row>
    <row r="3116">
      <c r="A3116" s="26" t="n">
        <v>45978</v>
      </c>
      <c r="B3116" s="14" t="inlineStr">
        <is>
          <t>NB-0030</t>
        </is>
      </c>
      <c r="C3116" s="14" t="n">
        <v>11</v>
      </c>
      <c r="D3116" s="14">
        <f>IF(A3116&gt;LastWeek-364,1,0)</f>
        <v/>
      </c>
      <c r="E3116" s="14">
        <f>C3116^2*D3116</f>
        <v/>
      </c>
    </row>
    <row r="3117">
      <c r="A3117" s="26" t="n">
        <v>45985</v>
      </c>
      <c r="B3117" s="14" t="inlineStr">
        <is>
          <t>NB-0030</t>
        </is>
      </c>
      <c r="C3117" s="14" t="n">
        <v>11</v>
      </c>
      <c r="D3117" s="14">
        <f>IF(A3117&gt;LastWeek-364,1,0)</f>
        <v/>
      </c>
      <c r="E3117" s="14">
        <f>C3117^2*D3117</f>
        <v/>
      </c>
    </row>
    <row r="3118">
      <c r="A3118" s="26" t="n">
        <v>45992</v>
      </c>
      <c r="B3118" s="14" t="inlineStr">
        <is>
          <t>NB-0030</t>
        </is>
      </c>
      <c r="C3118" s="14" t="n">
        <v>12</v>
      </c>
      <c r="D3118" s="14">
        <f>IF(A3118&gt;LastWeek-364,1,0)</f>
        <v/>
      </c>
      <c r="E3118" s="14">
        <f>C3118^2*D3118</f>
        <v/>
      </c>
    </row>
    <row r="3119">
      <c r="A3119" s="26" t="n">
        <v>45999</v>
      </c>
      <c r="B3119" s="14" t="inlineStr">
        <is>
          <t>NB-0030</t>
        </is>
      </c>
      <c r="C3119" s="14" t="n">
        <v>12</v>
      </c>
      <c r="D3119" s="14">
        <f>IF(A3119&gt;LastWeek-364,1,0)</f>
        <v/>
      </c>
      <c r="E3119" s="14">
        <f>C3119^2*D3119</f>
        <v/>
      </c>
    </row>
    <row r="3120">
      <c r="A3120" s="26" t="n">
        <v>46006</v>
      </c>
      <c r="B3120" s="14" t="inlineStr">
        <is>
          <t>NB-0030</t>
        </is>
      </c>
      <c r="C3120" s="14" t="n">
        <v>14</v>
      </c>
      <c r="D3120" s="14">
        <f>IF(A3120&gt;LastWeek-364,1,0)</f>
        <v/>
      </c>
      <c r="E3120" s="14">
        <f>C3120^2*D3120</f>
        <v/>
      </c>
    </row>
    <row r="3121">
      <c r="A3121" s="26" t="n">
        <v>46013</v>
      </c>
      <c r="B3121" s="14" t="inlineStr">
        <is>
          <t>NB-0030</t>
        </is>
      </c>
      <c r="C3121" s="14" t="n">
        <v>11</v>
      </c>
      <c r="D3121" s="14">
        <f>IF(A3121&gt;LastWeek-364,1,0)</f>
        <v/>
      </c>
      <c r="E3121" s="14">
        <f>C3121^2*D3121</f>
        <v/>
      </c>
    </row>
    <row r="3122">
      <c r="A3122" s="26" t="n">
        <v>45292</v>
      </c>
      <c r="B3122" s="14" t="inlineStr">
        <is>
          <t>NB-0031</t>
        </is>
      </c>
      <c r="C3122" s="14" t="n">
        <v>9</v>
      </c>
      <c r="D3122" s="14">
        <f>IF(A3122&gt;LastWeek-364,1,0)</f>
        <v/>
      </c>
      <c r="E3122" s="14">
        <f>C3122^2*D3122</f>
        <v/>
      </c>
    </row>
    <row r="3123">
      <c r="A3123" s="26" t="n">
        <v>45299</v>
      </c>
      <c r="B3123" s="14" t="inlineStr">
        <is>
          <t>NB-0031</t>
        </is>
      </c>
      <c r="C3123" s="14" t="n">
        <v>11</v>
      </c>
      <c r="D3123" s="14">
        <f>IF(A3123&gt;LastWeek-364,1,0)</f>
        <v/>
      </c>
      <c r="E3123" s="14">
        <f>C3123^2*D3123</f>
        <v/>
      </c>
    </row>
    <row r="3124">
      <c r="A3124" s="26" t="n">
        <v>45306</v>
      </c>
      <c r="B3124" s="14" t="inlineStr">
        <is>
          <t>NB-0031</t>
        </is>
      </c>
      <c r="C3124" s="14" t="n">
        <v>10</v>
      </c>
      <c r="D3124" s="14">
        <f>IF(A3124&gt;LastWeek-364,1,0)</f>
        <v/>
      </c>
      <c r="E3124" s="14">
        <f>C3124^2*D3124</f>
        <v/>
      </c>
    </row>
    <row r="3125">
      <c r="A3125" s="26" t="n">
        <v>45313</v>
      </c>
      <c r="B3125" s="14" t="inlineStr">
        <is>
          <t>NB-0031</t>
        </is>
      </c>
      <c r="C3125" s="14" t="n">
        <v>8</v>
      </c>
      <c r="D3125" s="14">
        <f>IF(A3125&gt;LastWeek-364,1,0)</f>
        <v/>
      </c>
      <c r="E3125" s="14">
        <f>C3125^2*D3125</f>
        <v/>
      </c>
    </row>
    <row r="3126">
      <c r="A3126" s="26" t="n">
        <v>45320</v>
      </c>
      <c r="B3126" s="14" t="inlineStr">
        <is>
          <t>NB-0031</t>
        </is>
      </c>
      <c r="C3126" s="14" t="n">
        <v>3</v>
      </c>
      <c r="D3126" s="14">
        <f>IF(A3126&gt;LastWeek-364,1,0)</f>
        <v/>
      </c>
      <c r="E3126" s="14">
        <f>C3126^2*D3126</f>
        <v/>
      </c>
    </row>
    <row r="3127">
      <c r="A3127" s="26" t="n">
        <v>45327</v>
      </c>
      <c r="B3127" s="14" t="inlineStr">
        <is>
          <t>NB-0031</t>
        </is>
      </c>
      <c r="C3127" s="14" t="n">
        <v>8</v>
      </c>
      <c r="D3127" s="14">
        <f>IF(A3127&gt;LastWeek-364,1,0)</f>
        <v/>
      </c>
      <c r="E3127" s="14">
        <f>C3127^2*D3127</f>
        <v/>
      </c>
    </row>
    <row r="3128">
      <c r="A3128" s="26" t="n">
        <v>45334</v>
      </c>
      <c r="B3128" s="14" t="inlineStr">
        <is>
          <t>NB-0031</t>
        </is>
      </c>
      <c r="C3128" s="14" t="n">
        <v>5</v>
      </c>
      <c r="D3128" s="14">
        <f>IF(A3128&gt;LastWeek-364,1,0)</f>
        <v/>
      </c>
      <c r="E3128" s="14">
        <f>C3128^2*D3128</f>
        <v/>
      </c>
    </row>
    <row r="3129">
      <c r="A3129" s="26" t="n">
        <v>45341</v>
      </c>
      <c r="B3129" s="14" t="inlineStr">
        <is>
          <t>NB-0031</t>
        </is>
      </c>
      <c r="C3129" s="14" t="n">
        <v>2</v>
      </c>
      <c r="D3129" s="14">
        <f>IF(A3129&gt;LastWeek-364,1,0)</f>
        <v/>
      </c>
      <c r="E3129" s="14">
        <f>C3129^2*D3129</f>
        <v/>
      </c>
    </row>
    <row r="3130">
      <c r="A3130" s="26" t="n">
        <v>45348</v>
      </c>
      <c r="B3130" s="14" t="inlineStr">
        <is>
          <t>NB-0031</t>
        </is>
      </c>
      <c r="C3130" s="14" t="n">
        <v>6</v>
      </c>
      <c r="D3130" s="14">
        <f>IF(A3130&gt;LastWeek-364,1,0)</f>
        <v/>
      </c>
      <c r="E3130" s="14">
        <f>C3130^2*D3130</f>
        <v/>
      </c>
    </row>
    <row r="3131">
      <c r="A3131" s="26" t="n">
        <v>45355</v>
      </c>
      <c r="B3131" s="14" t="inlineStr">
        <is>
          <t>NB-0031</t>
        </is>
      </c>
      <c r="C3131" s="14" t="n">
        <v>5</v>
      </c>
      <c r="D3131" s="14">
        <f>IF(A3131&gt;LastWeek-364,1,0)</f>
        <v/>
      </c>
      <c r="E3131" s="14">
        <f>C3131^2*D3131</f>
        <v/>
      </c>
    </row>
    <row r="3132">
      <c r="A3132" s="26" t="n">
        <v>45362</v>
      </c>
      <c r="B3132" s="14" t="inlineStr">
        <is>
          <t>NB-0031</t>
        </is>
      </c>
      <c r="C3132" s="14" t="n">
        <v>12</v>
      </c>
      <c r="D3132" s="14">
        <f>IF(A3132&gt;LastWeek-364,1,0)</f>
        <v/>
      </c>
      <c r="E3132" s="14">
        <f>C3132^2*D3132</f>
        <v/>
      </c>
    </row>
    <row r="3133">
      <c r="A3133" s="26" t="n">
        <v>45369</v>
      </c>
      <c r="B3133" s="14" t="inlineStr">
        <is>
          <t>NB-0031</t>
        </is>
      </c>
      <c r="C3133" s="14" t="n">
        <v>12</v>
      </c>
      <c r="D3133" s="14">
        <f>IF(A3133&gt;LastWeek-364,1,0)</f>
        <v/>
      </c>
      <c r="E3133" s="14">
        <f>C3133^2*D3133</f>
        <v/>
      </c>
    </row>
    <row r="3134">
      <c r="A3134" s="26" t="n">
        <v>45376</v>
      </c>
      <c r="B3134" s="14" t="inlineStr">
        <is>
          <t>NB-0031</t>
        </is>
      </c>
      <c r="C3134" s="14" t="n">
        <v>6</v>
      </c>
      <c r="D3134" s="14">
        <f>IF(A3134&gt;LastWeek-364,1,0)</f>
        <v/>
      </c>
      <c r="E3134" s="14">
        <f>C3134^2*D3134</f>
        <v/>
      </c>
    </row>
    <row r="3135">
      <c r="A3135" s="26" t="n">
        <v>45383</v>
      </c>
      <c r="B3135" s="14" t="inlineStr">
        <is>
          <t>NB-0031</t>
        </is>
      </c>
      <c r="C3135" s="14" t="n">
        <v>8</v>
      </c>
      <c r="D3135" s="14">
        <f>IF(A3135&gt;LastWeek-364,1,0)</f>
        <v/>
      </c>
      <c r="E3135" s="14">
        <f>C3135^2*D3135</f>
        <v/>
      </c>
    </row>
    <row r="3136">
      <c r="A3136" s="26" t="n">
        <v>45390</v>
      </c>
      <c r="B3136" s="14" t="inlineStr">
        <is>
          <t>NB-0031</t>
        </is>
      </c>
      <c r="C3136" s="14" t="n">
        <v>2</v>
      </c>
      <c r="D3136" s="14">
        <f>IF(A3136&gt;LastWeek-364,1,0)</f>
        <v/>
      </c>
      <c r="E3136" s="14">
        <f>C3136^2*D3136</f>
        <v/>
      </c>
    </row>
    <row r="3137">
      <c r="A3137" s="26" t="n">
        <v>45397</v>
      </c>
      <c r="B3137" s="14" t="inlineStr">
        <is>
          <t>NB-0031</t>
        </is>
      </c>
      <c r="C3137" s="14" t="n">
        <v>7</v>
      </c>
      <c r="D3137" s="14">
        <f>IF(A3137&gt;LastWeek-364,1,0)</f>
        <v/>
      </c>
      <c r="E3137" s="14">
        <f>C3137^2*D3137</f>
        <v/>
      </c>
    </row>
    <row r="3138">
      <c r="A3138" s="26" t="n">
        <v>45404</v>
      </c>
      <c r="B3138" s="14" t="inlineStr">
        <is>
          <t>NB-0031</t>
        </is>
      </c>
      <c r="C3138" s="14" t="n">
        <v>11</v>
      </c>
      <c r="D3138" s="14">
        <f>IF(A3138&gt;LastWeek-364,1,0)</f>
        <v/>
      </c>
      <c r="E3138" s="14">
        <f>C3138^2*D3138</f>
        <v/>
      </c>
    </row>
    <row r="3139">
      <c r="A3139" s="26" t="n">
        <v>45411</v>
      </c>
      <c r="B3139" s="14" t="inlineStr">
        <is>
          <t>NB-0031</t>
        </is>
      </c>
      <c r="C3139" s="14" t="n">
        <v>13</v>
      </c>
      <c r="D3139" s="14">
        <f>IF(A3139&gt;LastWeek-364,1,0)</f>
        <v/>
      </c>
      <c r="E3139" s="14">
        <f>C3139^2*D3139</f>
        <v/>
      </c>
    </row>
    <row r="3140">
      <c r="A3140" s="26" t="n">
        <v>45418</v>
      </c>
      <c r="B3140" s="14" t="inlineStr">
        <is>
          <t>NB-0031</t>
        </is>
      </c>
      <c r="C3140" s="14" t="n">
        <v>6</v>
      </c>
      <c r="D3140" s="14">
        <f>IF(A3140&gt;LastWeek-364,1,0)</f>
        <v/>
      </c>
      <c r="E3140" s="14">
        <f>C3140^2*D3140</f>
        <v/>
      </c>
    </row>
    <row r="3141">
      <c r="A3141" s="26" t="n">
        <v>45425</v>
      </c>
      <c r="B3141" s="14" t="inlineStr">
        <is>
          <t>NB-0031</t>
        </is>
      </c>
      <c r="C3141" s="14" t="n">
        <v>13</v>
      </c>
      <c r="D3141" s="14">
        <f>IF(A3141&gt;LastWeek-364,1,0)</f>
        <v/>
      </c>
      <c r="E3141" s="14">
        <f>C3141^2*D3141</f>
        <v/>
      </c>
    </row>
    <row r="3142">
      <c r="A3142" s="26" t="n">
        <v>45432</v>
      </c>
      <c r="B3142" s="14" t="inlineStr">
        <is>
          <t>NB-0031</t>
        </is>
      </c>
      <c r="C3142" s="14" t="n">
        <v>3</v>
      </c>
      <c r="D3142" s="14">
        <f>IF(A3142&gt;LastWeek-364,1,0)</f>
        <v/>
      </c>
      <c r="E3142" s="14">
        <f>C3142^2*D3142</f>
        <v/>
      </c>
    </row>
    <row r="3143">
      <c r="A3143" s="26" t="n">
        <v>45439</v>
      </c>
      <c r="B3143" s="14" t="inlineStr">
        <is>
          <t>NB-0031</t>
        </is>
      </c>
      <c r="C3143" s="14" t="n">
        <v>4</v>
      </c>
      <c r="D3143" s="14">
        <f>IF(A3143&gt;LastWeek-364,1,0)</f>
        <v/>
      </c>
      <c r="E3143" s="14">
        <f>C3143^2*D3143</f>
        <v/>
      </c>
    </row>
    <row r="3144">
      <c r="A3144" s="26" t="n">
        <v>45446</v>
      </c>
      <c r="B3144" s="14" t="inlineStr">
        <is>
          <t>NB-0031</t>
        </is>
      </c>
      <c r="C3144" s="14" t="n">
        <v>12</v>
      </c>
      <c r="D3144" s="14">
        <f>IF(A3144&gt;LastWeek-364,1,0)</f>
        <v/>
      </c>
      <c r="E3144" s="14">
        <f>C3144^2*D3144</f>
        <v/>
      </c>
    </row>
    <row r="3145">
      <c r="A3145" s="26" t="n">
        <v>45453</v>
      </c>
      <c r="B3145" s="14" t="inlineStr">
        <is>
          <t>NB-0031</t>
        </is>
      </c>
      <c r="C3145" s="14" t="n">
        <v>16</v>
      </c>
      <c r="D3145" s="14">
        <f>IF(A3145&gt;LastWeek-364,1,0)</f>
        <v/>
      </c>
      <c r="E3145" s="14">
        <f>C3145^2*D3145</f>
        <v/>
      </c>
    </row>
    <row r="3146">
      <c r="A3146" s="26" t="n">
        <v>45460</v>
      </c>
      <c r="B3146" s="14" t="inlineStr">
        <is>
          <t>NB-0031</t>
        </is>
      </c>
      <c r="C3146" s="14" t="n">
        <v>11</v>
      </c>
      <c r="D3146" s="14">
        <f>IF(A3146&gt;LastWeek-364,1,0)</f>
        <v/>
      </c>
      <c r="E3146" s="14">
        <f>C3146^2*D3146</f>
        <v/>
      </c>
    </row>
    <row r="3147">
      <c r="A3147" s="26" t="n">
        <v>45467</v>
      </c>
      <c r="B3147" s="14" t="inlineStr">
        <is>
          <t>NB-0031</t>
        </is>
      </c>
      <c r="C3147" s="14" t="n">
        <v>9</v>
      </c>
      <c r="D3147" s="14">
        <f>IF(A3147&gt;LastWeek-364,1,0)</f>
        <v/>
      </c>
      <c r="E3147" s="14">
        <f>C3147^2*D3147</f>
        <v/>
      </c>
    </row>
    <row r="3148">
      <c r="A3148" s="26" t="n">
        <v>45474</v>
      </c>
      <c r="B3148" s="14" t="inlineStr">
        <is>
          <t>NB-0031</t>
        </is>
      </c>
      <c r="C3148" s="14" t="n">
        <v>0</v>
      </c>
      <c r="D3148" s="14">
        <f>IF(A3148&gt;LastWeek-364,1,0)</f>
        <v/>
      </c>
      <c r="E3148" s="14">
        <f>C3148^2*D3148</f>
        <v/>
      </c>
    </row>
    <row r="3149">
      <c r="A3149" s="26" t="n">
        <v>45481</v>
      </c>
      <c r="B3149" s="14" t="inlineStr">
        <is>
          <t>NB-0031</t>
        </is>
      </c>
      <c r="C3149" s="14" t="n">
        <v>1</v>
      </c>
      <c r="D3149" s="14">
        <f>IF(A3149&gt;LastWeek-364,1,0)</f>
        <v/>
      </c>
      <c r="E3149" s="14">
        <f>C3149^2*D3149</f>
        <v/>
      </c>
    </row>
    <row r="3150">
      <c r="A3150" s="26" t="n">
        <v>45488</v>
      </c>
      <c r="B3150" s="14" t="inlineStr">
        <is>
          <t>NB-0031</t>
        </is>
      </c>
      <c r="C3150" s="14" t="n">
        <v>10</v>
      </c>
      <c r="D3150" s="14">
        <f>IF(A3150&gt;LastWeek-364,1,0)</f>
        <v/>
      </c>
      <c r="E3150" s="14">
        <f>C3150^2*D3150</f>
        <v/>
      </c>
    </row>
    <row r="3151">
      <c r="A3151" s="26" t="n">
        <v>45495</v>
      </c>
      <c r="B3151" s="14" t="inlineStr">
        <is>
          <t>NB-0031</t>
        </is>
      </c>
      <c r="C3151" s="14" t="n">
        <v>8</v>
      </c>
      <c r="D3151" s="14">
        <f>IF(A3151&gt;LastWeek-364,1,0)</f>
        <v/>
      </c>
      <c r="E3151" s="14">
        <f>C3151^2*D3151</f>
        <v/>
      </c>
    </row>
    <row r="3152">
      <c r="A3152" s="26" t="n">
        <v>45502</v>
      </c>
      <c r="B3152" s="14" t="inlineStr">
        <is>
          <t>NB-0031</t>
        </is>
      </c>
      <c r="C3152" s="14" t="n">
        <v>5</v>
      </c>
      <c r="D3152" s="14">
        <f>IF(A3152&gt;LastWeek-364,1,0)</f>
        <v/>
      </c>
      <c r="E3152" s="14">
        <f>C3152^2*D3152</f>
        <v/>
      </c>
    </row>
    <row r="3153">
      <c r="A3153" s="26" t="n">
        <v>45509</v>
      </c>
      <c r="B3153" s="14" t="inlineStr">
        <is>
          <t>NB-0031</t>
        </is>
      </c>
      <c r="C3153" s="14" t="n">
        <v>10</v>
      </c>
      <c r="D3153" s="14">
        <f>IF(A3153&gt;LastWeek-364,1,0)</f>
        <v/>
      </c>
      <c r="E3153" s="14">
        <f>C3153^2*D3153</f>
        <v/>
      </c>
    </row>
    <row r="3154">
      <c r="A3154" s="26" t="n">
        <v>45516</v>
      </c>
      <c r="B3154" s="14" t="inlineStr">
        <is>
          <t>NB-0031</t>
        </is>
      </c>
      <c r="C3154" s="14" t="n">
        <v>10</v>
      </c>
      <c r="D3154" s="14">
        <f>IF(A3154&gt;LastWeek-364,1,0)</f>
        <v/>
      </c>
      <c r="E3154" s="14">
        <f>C3154^2*D3154</f>
        <v/>
      </c>
    </row>
    <row r="3155">
      <c r="A3155" s="26" t="n">
        <v>45523</v>
      </c>
      <c r="B3155" s="14" t="inlineStr">
        <is>
          <t>NB-0031</t>
        </is>
      </c>
      <c r="C3155" s="14" t="n">
        <v>13</v>
      </c>
      <c r="D3155" s="14">
        <f>IF(A3155&gt;LastWeek-364,1,0)</f>
        <v/>
      </c>
      <c r="E3155" s="14">
        <f>C3155^2*D3155</f>
        <v/>
      </c>
    </row>
    <row r="3156">
      <c r="A3156" s="26" t="n">
        <v>45530</v>
      </c>
      <c r="B3156" s="14" t="inlineStr">
        <is>
          <t>NB-0031</t>
        </is>
      </c>
      <c r="C3156" s="14" t="n">
        <v>10</v>
      </c>
      <c r="D3156" s="14">
        <f>IF(A3156&gt;LastWeek-364,1,0)</f>
        <v/>
      </c>
      <c r="E3156" s="14">
        <f>C3156^2*D3156</f>
        <v/>
      </c>
    </row>
    <row r="3157">
      <c r="A3157" s="26" t="n">
        <v>45537</v>
      </c>
      <c r="B3157" s="14" t="inlineStr">
        <is>
          <t>NB-0031</t>
        </is>
      </c>
      <c r="C3157" s="14" t="n">
        <v>14</v>
      </c>
      <c r="D3157" s="14">
        <f>IF(A3157&gt;LastWeek-364,1,0)</f>
        <v/>
      </c>
      <c r="E3157" s="14">
        <f>C3157^2*D3157</f>
        <v/>
      </c>
    </row>
    <row r="3158">
      <c r="A3158" s="26" t="n">
        <v>45544</v>
      </c>
      <c r="B3158" s="14" t="inlineStr">
        <is>
          <t>NB-0031</t>
        </is>
      </c>
      <c r="C3158" s="14" t="n">
        <v>10</v>
      </c>
      <c r="D3158" s="14">
        <f>IF(A3158&gt;LastWeek-364,1,0)</f>
        <v/>
      </c>
      <c r="E3158" s="14">
        <f>C3158^2*D3158</f>
        <v/>
      </c>
    </row>
    <row r="3159">
      <c r="A3159" s="26" t="n">
        <v>45551</v>
      </c>
      <c r="B3159" s="14" t="inlineStr">
        <is>
          <t>NB-0031</t>
        </is>
      </c>
      <c r="C3159" s="14" t="n">
        <v>9</v>
      </c>
      <c r="D3159" s="14">
        <f>IF(A3159&gt;LastWeek-364,1,0)</f>
        <v/>
      </c>
      <c r="E3159" s="14">
        <f>C3159^2*D3159</f>
        <v/>
      </c>
    </row>
    <row r="3160">
      <c r="A3160" s="26" t="n">
        <v>45558</v>
      </c>
      <c r="B3160" s="14" t="inlineStr">
        <is>
          <t>NB-0031</t>
        </is>
      </c>
      <c r="C3160" s="14" t="n">
        <v>14</v>
      </c>
      <c r="D3160" s="14">
        <f>IF(A3160&gt;LastWeek-364,1,0)</f>
        <v/>
      </c>
      <c r="E3160" s="14">
        <f>C3160^2*D3160</f>
        <v/>
      </c>
    </row>
    <row r="3161">
      <c r="A3161" s="26" t="n">
        <v>45565</v>
      </c>
      <c r="B3161" s="14" t="inlineStr">
        <is>
          <t>NB-0031</t>
        </is>
      </c>
      <c r="C3161" s="14" t="n">
        <v>6</v>
      </c>
      <c r="D3161" s="14">
        <f>IF(A3161&gt;LastWeek-364,1,0)</f>
        <v/>
      </c>
      <c r="E3161" s="14">
        <f>C3161^2*D3161</f>
        <v/>
      </c>
    </row>
    <row r="3162">
      <c r="A3162" s="26" t="n">
        <v>45572</v>
      </c>
      <c r="B3162" s="14" t="inlineStr">
        <is>
          <t>NB-0031</t>
        </is>
      </c>
      <c r="C3162" s="14" t="n">
        <v>22</v>
      </c>
      <c r="D3162" s="14">
        <f>IF(A3162&gt;LastWeek-364,1,0)</f>
        <v/>
      </c>
      <c r="E3162" s="14">
        <f>C3162^2*D3162</f>
        <v/>
      </c>
    </row>
    <row r="3163">
      <c r="A3163" s="26" t="n">
        <v>45579</v>
      </c>
      <c r="B3163" s="14" t="inlineStr">
        <is>
          <t>NB-0031</t>
        </is>
      </c>
      <c r="C3163" s="14" t="n">
        <v>11</v>
      </c>
      <c r="D3163" s="14">
        <f>IF(A3163&gt;LastWeek-364,1,0)</f>
        <v/>
      </c>
      <c r="E3163" s="14">
        <f>C3163^2*D3163</f>
        <v/>
      </c>
    </row>
    <row r="3164">
      <c r="A3164" s="26" t="n">
        <v>45586</v>
      </c>
      <c r="B3164" s="14" t="inlineStr">
        <is>
          <t>NB-0031</t>
        </is>
      </c>
      <c r="C3164" s="14" t="n">
        <v>11</v>
      </c>
      <c r="D3164" s="14">
        <f>IF(A3164&gt;LastWeek-364,1,0)</f>
        <v/>
      </c>
      <c r="E3164" s="14">
        <f>C3164^2*D3164</f>
        <v/>
      </c>
    </row>
    <row r="3165">
      <c r="A3165" s="26" t="n">
        <v>45593</v>
      </c>
      <c r="B3165" s="14" t="inlineStr">
        <is>
          <t>NB-0031</t>
        </is>
      </c>
      <c r="C3165" s="14" t="n">
        <v>12</v>
      </c>
      <c r="D3165" s="14">
        <f>IF(A3165&gt;LastWeek-364,1,0)</f>
        <v/>
      </c>
      <c r="E3165" s="14">
        <f>C3165^2*D3165</f>
        <v/>
      </c>
    </row>
    <row r="3166">
      <c r="A3166" s="26" t="n">
        <v>45600</v>
      </c>
      <c r="B3166" s="14" t="inlineStr">
        <is>
          <t>NB-0031</t>
        </is>
      </c>
      <c r="C3166" s="14" t="n">
        <v>18</v>
      </c>
      <c r="D3166" s="14">
        <f>IF(A3166&gt;LastWeek-364,1,0)</f>
        <v/>
      </c>
      <c r="E3166" s="14">
        <f>C3166^2*D3166</f>
        <v/>
      </c>
    </row>
    <row r="3167">
      <c r="A3167" s="26" t="n">
        <v>45607</v>
      </c>
      <c r="B3167" s="14" t="inlineStr">
        <is>
          <t>NB-0031</t>
        </is>
      </c>
      <c r="C3167" s="14" t="n">
        <v>13</v>
      </c>
      <c r="D3167" s="14">
        <f>IF(A3167&gt;LastWeek-364,1,0)</f>
        <v/>
      </c>
      <c r="E3167" s="14">
        <f>C3167^2*D3167</f>
        <v/>
      </c>
    </row>
    <row r="3168">
      <c r="A3168" s="26" t="n">
        <v>45614</v>
      </c>
      <c r="B3168" s="14" t="inlineStr">
        <is>
          <t>NB-0031</t>
        </is>
      </c>
      <c r="C3168" s="14" t="n">
        <v>3</v>
      </c>
      <c r="D3168" s="14">
        <f>IF(A3168&gt;LastWeek-364,1,0)</f>
        <v/>
      </c>
      <c r="E3168" s="14">
        <f>C3168^2*D3168</f>
        <v/>
      </c>
    </row>
    <row r="3169">
      <c r="A3169" s="26" t="n">
        <v>45621</v>
      </c>
      <c r="B3169" s="14" t="inlineStr">
        <is>
          <t>NB-0031</t>
        </is>
      </c>
      <c r="C3169" s="14" t="n">
        <v>16</v>
      </c>
      <c r="D3169" s="14">
        <f>IF(A3169&gt;LastWeek-364,1,0)</f>
        <v/>
      </c>
      <c r="E3169" s="14">
        <f>C3169^2*D3169</f>
        <v/>
      </c>
    </row>
    <row r="3170">
      <c r="A3170" s="26" t="n">
        <v>45628</v>
      </c>
      <c r="B3170" s="14" t="inlineStr">
        <is>
          <t>NB-0031</t>
        </is>
      </c>
      <c r="C3170" s="14" t="n">
        <v>9</v>
      </c>
      <c r="D3170" s="14">
        <f>IF(A3170&gt;LastWeek-364,1,0)</f>
        <v/>
      </c>
      <c r="E3170" s="14">
        <f>C3170^2*D3170</f>
        <v/>
      </c>
    </row>
    <row r="3171">
      <c r="A3171" s="26" t="n">
        <v>45635</v>
      </c>
      <c r="B3171" s="14" t="inlineStr">
        <is>
          <t>NB-0031</t>
        </is>
      </c>
      <c r="C3171" s="14" t="n">
        <v>11</v>
      </c>
      <c r="D3171" s="14">
        <f>IF(A3171&gt;LastWeek-364,1,0)</f>
        <v/>
      </c>
      <c r="E3171" s="14">
        <f>C3171^2*D3171</f>
        <v/>
      </c>
    </row>
    <row r="3172">
      <c r="A3172" s="26" t="n">
        <v>45642</v>
      </c>
      <c r="B3172" s="14" t="inlineStr">
        <is>
          <t>NB-0031</t>
        </is>
      </c>
      <c r="C3172" s="14" t="n">
        <v>5</v>
      </c>
      <c r="D3172" s="14">
        <f>IF(A3172&gt;LastWeek-364,1,0)</f>
        <v/>
      </c>
      <c r="E3172" s="14">
        <f>C3172^2*D3172</f>
        <v/>
      </c>
    </row>
    <row r="3173">
      <c r="A3173" s="26" t="n">
        <v>45649</v>
      </c>
      <c r="B3173" s="14" t="inlineStr">
        <is>
          <t>NB-0031</t>
        </is>
      </c>
      <c r="C3173" s="14" t="n">
        <v>13</v>
      </c>
      <c r="D3173" s="14">
        <f>IF(A3173&gt;LastWeek-364,1,0)</f>
        <v/>
      </c>
      <c r="E3173" s="14">
        <f>C3173^2*D3173</f>
        <v/>
      </c>
    </row>
    <row r="3174">
      <c r="A3174" s="26" t="n">
        <v>45656</v>
      </c>
      <c r="B3174" s="14" t="inlineStr">
        <is>
          <t>NB-0031</t>
        </is>
      </c>
      <c r="C3174" s="14" t="n">
        <v>7</v>
      </c>
      <c r="D3174" s="14">
        <f>IF(A3174&gt;LastWeek-364,1,0)</f>
        <v/>
      </c>
      <c r="E3174" s="14">
        <f>C3174^2*D3174</f>
        <v/>
      </c>
    </row>
    <row r="3175">
      <c r="A3175" s="26" t="n">
        <v>45663</v>
      </c>
      <c r="B3175" s="14" t="inlineStr">
        <is>
          <t>NB-0031</t>
        </is>
      </c>
      <c r="C3175" s="14" t="n">
        <v>11</v>
      </c>
      <c r="D3175" s="14">
        <f>IF(A3175&gt;LastWeek-364,1,0)</f>
        <v/>
      </c>
      <c r="E3175" s="14">
        <f>C3175^2*D3175</f>
        <v/>
      </c>
    </row>
    <row r="3176">
      <c r="A3176" s="26" t="n">
        <v>45670</v>
      </c>
      <c r="B3176" s="14" t="inlineStr">
        <is>
          <t>NB-0031</t>
        </is>
      </c>
      <c r="C3176" s="14" t="n">
        <v>9</v>
      </c>
      <c r="D3176" s="14">
        <f>IF(A3176&gt;LastWeek-364,1,0)</f>
        <v/>
      </c>
      <c r="E3176" s="14">
        <f>C3176^2*D3176</f>
        <v/>
      </c>
    </row>
    <row r="3177">
      <c r="A3177" s="26" t="n">
        <v>45677</v>
      </c>
      <c r="B3177" s="14" t="inlineStr">
        <is>
          <t>NB-0031</t>
        </is>
      </c>
      <c r="C3177" s="14" t="n">
        <v>19</v>
      </c>
      <c r="D3177" s="14">
        <f>IF(A3177&gt;LastWeek-364,1,0)</f>
        <v/>
      </c>
      <c r="E3177" s="14">
        <f>C3177^2*D3177</f>
        <v/>
      </c>
    </row>
    <row r="3178">
      <c r="A3178" s="26" t="n">
        <v>45684</v>
      </c>
      <c r="B3178" s="14" t="inlineStr">
        <is>
          <t>NB-0031</t>
        </is>
      </c>
      <c r="C3178" s="14" t="n">
        <v>19</v>
      </c>
      <c r="D3178" s="14">
        <f>IF(A3178&gt;LastWeek-364,1,0)</f>
        <v/>
      </c>
      <c r="E3178" s="14">
        <f>C3178^2*D3178</f>
        <v/>
      </c>
    </row>
    <row r="3179">
      <c r="A3179" s="26" t="n">
        <v>45691</v>
      </c>
      <c r="B3179" s="14" t="inlineStr">
        <is>
          <t>NB-0031</t>
        </is>
      </c>
      <c r="C3179" s="14" t="n">
        <v>10</v>
      </c>
      <c r="D3179" s="14">
        <f>IF(A3179&gt;LastWeek-364,1,0)</f>
        <v/>
      </c>
      <c r="E3179" s="14">
        <f>C3179^2*D3179</f>
        <v/>
      </c>
    </row>
    <row r="3180">
      <c r="A3180" s="26" t="n">
        <v>45698</v>
      </c>
      <c r="B3180" s="14" t="inlineStr">
        <is>
          <t>NB-0031</t>
        </is>
      </c>
      <c r="C3180" s="14" t="n">
        <v>11</v>
      </c>
      <c r="D3180" s="14">
        <f>IF(A3180&gt;LastWeek-364,1,0)</f>
        <v/>
      </c>
      <c r="E3180" s="14">
        <f>C3180^2*D3180</f>
        <v/>
      </c>
    </row>
    <row r="3181">
      <c r="A3181" s="26" t="n">
        <v>45705</v>
      </c>
      <c r="B3181" s="14" t="inlineStr">
        <is>
          <t>NB-0031</t>
        </is>
      </c>
      <c r="C3181" s="14" t="n">
        <v>9</v>
      </c>
      <c r="D3181" s="14">
        <f>IF(A3181&gt;LastWeek-364,1,0)</f>
        <v/>
      </c>
      <c r="E3181" s="14">
        <f>C3181^2*D3181</f>
        <v/>
      </c>
    </row>
    <row r="3182">
      <c r="A3182" s="26" t="n">
        <v>45712</v>
      </c>
      <c r="B3182" s="14" t="inlineStr">
        <is>
          <t>NB-0031</t>
        </is>
      </c>
      <c r="C3182" s="14" t="n">
        <v>15</v>
      </c>
      <c r="D3182" s="14">
        <f>IF(A3182&gt;LastWeek-364,1,0)</f>
        <v/>
      </c>
      <c r="E3182" s="14">
        <f>C3182^2*D3182</f>
        <v/>
      </c>
    </row>
    <row r="3183">
      <c r="A3183" s="26" t="n">
        <v>45719</v>
      </c>
      <c r="B3183" s="14" t="inlineStr">
        <is>
          <t>NB-0031</t>
        </is>
      </c>
      <c r="C3183" s="14" t="n">
        <v>9</v>
      </c>
      <c r="D3183" s="14">
        <f>IF(A3183&gt;LastWeek-364,1,0)</f>
        <v/>
      </c>
      <c r="E3183" s="14">
        <f>C3183^2*D3183</f>
        <v/>
      </c>
    </row>
    <row r="3184">
      <c r="A3184" s="26" t="n">
        <v>45726</v>
      </c>
      <c r="B3184" s="14" t="inlineStr">
        <is>
          <t>NB-0031</t>
        </is>
      </c>
      <c r="C3184" s="14" t="n">
        <v>8</v>
      </c>
      <c r="D3184" s="14">
        <f>IF(A3184&gt;LastWeek-364,1,0)</f>
        <v/>
      </c>
      <c r="E3184" s="14">
        <f>C3184^2*D3184</f>
        <v/>
      </c>
    </row>
    <row r="3185">
      <c r="A3185" s="26" t="n">
        <v>45733</v>
      </c>
      <c r="B3185" s="14" t="inlineStr">
        <is>
          <t>NB-0031</t>
        </is>
      </c>
      <c r="C3185" s="14" t="n">
        <v>14</v>
      </c>
      <c r="D3185" s="14">
        <f>IF(A3185&gt;LastWeek-364,1,0)</f>
        <v/>
      </c>
      <c r="E3185" s="14">
        <f>C3185^2*D3185</f>
        <v/>
      </c>
    </row>
    <row r="3186">
      <c r="A3186" s="26" t="n">
        <v>45740</v>
      </c>
      <c r="B3186" s="14" t="inlineStr">
        <is>
          <t>NB-0031</t>
        </is>
      </c>
      <c r="C3186" s="14" t="n">
        <v>8</v>
      </c>
      <c r="D3186" s="14">
        <f>IF(A3186&gt;LastWeek-364,1,0)</f>
        <v/>
      </c>
      <c r="E3186" s="14">
        <f>C3186^2*D3186</f>
        <v/>
      </c>
    </row>
    <row r="3187">
      <c r="A3187" s="26" t="n">
        <v>45747</v>
      </c>
      <c r="B3187" s="14" t="inlineStr">
        <is>
          <t>NB-0031</t>
        </is>
      </c>
      <c r="C3187" s="14" t="n">
        <v>10</v>
      </c>
      <c r="D3187" s="14">
        <f>IF(A3187&gt;LastWeek-364,1,0)</f>
        <v/>
      </c>
      <c r="E3187" s="14">
        <f>C3187^2*D3187</f>
        <v/>
      </c>
    </row>
    <row r="3188">
      <c r="A3188" s="26" t="n">
        <v>45754</v>
      </c>
      <c r="B3188" s="14" t="inlineStr">
        <is>
          <t>NB-0031</t>
        </is>
      </c>
      <c r="C3188" s="14" t="n">
        <v>3</v>
      </c>
      <c r="D3188" s="14">
        <f>IF(A3188&gt;LastWeek-364,1,0)</f>
        <v/>
      </c>
      <c r="E3188" s="14">
        <f>C3188^2*D3188</f>
        <v/>
      </c>
    </row>
    <row r="3189">
      <c r="A3189" s="26" t="n">
        <v>45761</v>
      </c>
      <c r="B3189" s="14" t="inlineStr">
        <is>
          <t>NB-0031</t>
        </is>
      </c>
      <c r="C3189" s="14" t="n">
        <v>13</v>
      </c>
      <c r="D3189" s="14">
        <f>IF(A3189&gt;LastWeek-364,1,0)</f>
        <v/>
      </c>
      <c r="E3189" s="14">
        <f>C3189^2*D3189</f>
        <v/>
      </c>
    </row>
    <row r="3190">
      <c r="A3190" s="26" t="n">
        <v>45768</v>
      </c>
      <c r="B3190" s="14" t="inlineStr">
        <is>
          <t>NB-0031</t>
        </is>
      </c>
      <c r="C3190" s="14" t="n">
        <v>18</v>
      </c>
      <c r="D3190" s="14">
        <f>IF(A3190&gt;LastWeek-364,1,0)</f>
        <v/>
      </c>
      <c r="E3190" s="14">
        <f>C3190^2*D3190</f>
        <v/>
      </c>
    </row>
    <row r="3191">
      <c r="A3191" s="26" t="n">
        <v>45775</v>
      </c>
      <c r="B3191" s="14" t="inlineStr">
        <is>
          <t>NB-0031</t>
        </is>
      </c>
      <c r="C3191" s="14" t="n">
        <v>13</v>
      </c>
      <c r="D3191" s="14">
        <f>IF(A3191&gt;LastWeek-364,1,0)</f>
        <v/>
      </c>
      <c r="E3191" s="14">
        <f>C3191^2*D3191</f>
        <v/>
      </c>
    </row>
    <row r="3192">
      <c r="A3192" s="26" t="n">
        <v>45782</v>
      </c>
      <c r="B3192" s="14" t="inlineStr">
        <is>
          <t>NB-0031</t>
        </is>
      </c>
      <c r="C3192" s="14" t="n">
        <v>16</v>
      </c>
      <c r="D3192" s="14">
        <f>IF(A3192&gt;LastWeek-364,1,0)</f>
        <v/>
      </c>
      <c r="E3192" s="14">
        <f>C3192^2*D3192</f>
        <v/>
      </c>
    </row>
    <row r="3193">
      <c r="A3193" s="26" t="n">
        <v>45789</v>
      </c>
      <c r="B3193" s="14" t="inlineStr">
        <is>
          <t>NB-0031</t>
        </is>
      </c>
      <c r="C3193" s="14" t="n">
        <v>6</v>
      </c>
      <c r="D3193" s="14">
        <f>IF(A3193&gt;LastWeek-364,1,0)</f>
        <v/>
      </c>
      <c r="E3193" s="14">
        <f>C3193^2*D3193</f>
        <v/>
      </c>
    </row>
    <row r="3194">
      <c r="A3194" s="26" t="n">
        <v>45796</v>
      </c>
      <c r="B3194" s="14" t="inlineStr">
        <is>
          <t>NB-0031</t>
        </is>
      </c>
      <c r="C3194" s="14" t="n">
        <v>11</v>
      </c>
      <c r="D3194" s="14">
        <f>IF(A3194&gt;LastWeek-364,1,0)</f>
        <v/>
      </c>
      <c r="E3194" s="14">
        <f>C3194^2*D3194</f>
        <v/>
      </c>
    </row>
    <row r="3195">
      <c r="A3195" s="26" t="n">
        <v>45803</v>
      </c>
      <c r="B3195" s="14" t="inlineStr">
        <is>
          <t>NB-0031</t>
        </is>
      </c>
      <c r="C3195" s="14" t="n">
        <v>6</v>
      </c>
      <c r="D3195" s="14">
        <f>IF(A3195&gt;LastWeek-364,1,0)</f>
        <v/>
      </c>
      <c r="E3195" s="14">
        <f>C3195^2*D3195</f>
        <v/>
      </c>
    </row>
    <row r="3196">
      <c r="A3196" s="26" t="n">
        <v>45810</v>
      </c>
      <c r="B3196" s="14" t="inlineStr">
        <is>
          <t>NB-0031</t>
        </is>
      </c>
      <c r="C3196" s="14" t="n">
        <v>9</v>
      </c>
      <c r="D3196" s="14">
        <f>IF(A3196&gt;LastWeek-364,1,0)</f>
        <v/>
      </c>
      <c r="E3196" s="14">
        <f>C3196^2*D3196</f>
        <v/>
      </c>
    </row>
    <row r="3197">
      <c r="A3197" s="26" t="n">
        <v>45817</v>
      </c>
      <c r="B3197" s="14" t="inlineStr">
        <is>
          <t>NB-0031</t>
        </is>
      </c>
      <c r="C3197" s="14" t="n">
        <v>13</v>
      </c>
      <c r="D3197" s="14">
        <f>IF(A3197&gt;LastWeek-364,1,0)</f>
        <v/>
      </c>
      <c r="E3197" s="14">
        <f>C3197^2*D3197</f>
        <v/>
      </c>
    </row>
    <row r="3198">
      <c r="A3198" s="26" t="n">
        <v>45824</v>
      </c>
      <c r="B3198" s="14" t="inlineStr">
        <is>
          <t>NB-0031</t>
        </is>
      </c>
      <c r="C3198" s="14" t="n">
        <v>10</v>
      </c>
      <c r="D3198" s="14">
        <f>IF(A3198&gt;LastWeek-364,1,0)</f>
        <v/>
      </c>
      <c r="E3198" s="14">
        <f>C3198^2*D3198</f>
        <v/>
      </c>
    </row>
    <row r="3199">
      <c r="A3199" s="26" t="n">
        <v>45831</v>
      </c>
      <c r="B3199" s="14" t="inlineStr">
        <is>
          <t>NB-0031</t>
        </is>
      </c>
      <c r="C3199" s="14" t="n">
        <v>4</v>
      </c>
      <c r="D3199" s="14">
        <f>IF(A3199&gt;LastWeek-364,1,0)</f>
        <v/>
      </c>
      <c r="E3199" s="14">
        <f>C3199^2*D3199</f>
        <v/>
      </c>
    </row>
    <row r="3200">
      <c r="A3200" s="26" t="n">
        <v>45838</v>
      </c>
      <c r="B3200" s="14" t="inlineStr">
        <is>
          <t>NB-0031</t>
        </is>
      </c>
      <c r="C3200" s="14" t="n">
        <v>4</v>
      </c>
      <c r="D3200" s="14">
        <f>IF(A3200&gt;LastWeek-364,1,0)</f>
        <v/>
      </c>
      <c r="E3200" s="14">
        <f>C3200^2*D3200</f>
        <v/>
      </c>
    </row>
    <row r="3201">
      <c r="A3201" s="26" t="n">
        <v>45845</v>
      </c>
      <c r="B3201" s="14" t="inlineStr">
        <is>
          <t>NB-0031</t>
        </is>
      </c>
      <c r="C3201" s="14" t="n">
        <v>4</v>
      </c>
      <c r="D3201" s="14">
        <f>IF(A3201&gt;LastWeek-364,1,0)</f>
        <v/>
      </c>
      <c r="E3201" s="14">
        <f>C3201^2*D3201</f>
        <v/>
      </c>
    </row>
    <row r="3202">
      <c r="A3202" s="26" t="n">
        <v>45852</v>
      </c>
      <c r="B3202" s="14" t="inlineStr">
        <is>
          <t>NB-0031</t>
        </is>
      </c>
      <c r="C3202" s="14" t="n">
        <v>12</v>
      </c>
      <c r="D3202" s="14">
        <f>IF(A3202&gt;LastWeek-364,1,0)</f>
        <v/>
      </c>
      <c r="E3202" s="14">
        <f>C3202^2*D3202</f>
        <v/>
      </c>
    </row>
    <row r="3203">
      <c r="A3203" s="26" t="n">
        <v>45859</v>
      </c>
      <c r="B3203" s="14" t="inlineStr">
        <is>
          <t>NB-0031</t>
        </is>
      </c>
      <c r="C3203" s="14" t="n">
        <v>19</v>
      </c>
      <c r="D3203" s="14">
        <f>IF(A3203&gt;LastWeek-364,1,0)</f>
        <v/>
      </c>
      <c r="E3203" s="14">
        <f>C3203^2*D3203</f>
        <v/>
      </c>
    </row>
    <row r="3204">
      <c r="A3204" s="26" t="n">
        <v>45866</v>
      </c>
      <c r="B3204" s="14" t="inlineStr">
        <is>
          <t>NB-0031</t>
        </is>
      </c>
      <c r="C3204" s="14" t="n">
        <v>16</v>
      </c>
      <c r="D3204" s="14">
        <f>IF(A3204&gt;LastWeek-364,1,0)</f>
        <v/>
      </c>
      <c r="E3204" s="14">
        <f>C3204^2*D3204</f>
        <v/>
      </c>
    </row>
    <row r="3205">
      <c r="A3205" s="26" t="n">
        <v>45873</v>
      </c>
      <c r="B3205" s="14" t="inlineStr">
        <is>
          <t>NB-0031</t>
        </is>
      </c>
      <c r="C3205" s="14" t="n">
        <v>2</v>
      </c>
      <c r="D3205" s="14">
        <f>IF(A3205&gt;LastWeek-364,1,0)</f>
        <v/>
      </c>
      <c r="E3205" s="14">
        <f>C3205^2*D3205</f>
        <v/>
      </c>
    </row>
    <row r="3206">
      <c r="A3206" s="26" t="n">
        <v>45880</v>
      </c>
      <c r="B3206" s="14" t="inlineStr">
        <is>
          <t>NB-0031</t>
        </is>
      </c>
      <c r="C3206" s="14" t="n">
        <v>16</v>
      </c>
      <c r="D3206" s="14">
        <f>IF(A3206&gt;LastWeek-364,1,0)</f>
        <v/>
      </c>
      <c r="E3206" s="14">
        <f>C3206^2*D3206</f>
        <v/>
      </c>
    </row>
    <row r="3207">
      <c r="A3207" s="26" t="n">
        <v>45887</v>
      </c>
      <c r="B3207" s="14" t="inlineStr">
        <is>
          <t>NB-0031</t>
        </is>
      </c>
      <c r="C3207" s="14" t="n">
        <v>14</v>
      </c>
      <c r="D3207" s="14">
        <f>IF(A3207&gt;LastWeek-364,1,0)</f>
        <v/>
      </c>
      <c r="E3207" s="14">
        <f>C3207^2*D3207</f>
        <v/>
      </c>
    </row>
    <row r="3208">
      <c r="A3208" s="26" t="n">
        <v>45894</v>
      </c>
      <c r="B3208" s="14" t="inlineStr">
        <is>
          <t>NB-0031</t>
        </is>
      </c>
      <c r="C3208" s="14" t="n">
        <v>3</v>
      </c>
      <c r="D3208" s="14">
        <f>IF(A3208&gt;LastWeek-364,1,0)</f>
        <v/>
      </c>
      <c r="E3208" s="14">
        <f>C3208^2*D3208</f>
        <v/>
      </c>
    </row>
    <row r="3209">
      <c r="A3209" s="26" t="n">
        <v>45901</v>
      </c>
      <c r="B3209" s="14" t="inlineStr">
        <is>
          <t>NB-0031</t>
        </is>
      </c>
      <c r="C3209" s="14" t="n">
        <v>9</v>
      </c>
      <c r="D3209" s="14">
        <f>IF(A3209&gt;LastWeek-364,1,0)</f>
        <v/>
      </c>
      <c r="E3209" s="14">
        <f>C3209^2*D3209</f>
        <v/>
      </c>
    </row>
    <row r="3210">
      <c r="A3210" s="26" t="n">
        <v>45908</v>
      </c>
      <c r="B3210" s="14" t="inlineStr">
        <is>
          <t>NB-0031</t>
        </is>
      </c>
      <c r="C3210" s="14" t="n">
        <v>15</v>
      </c>
      <c r="D3210" s="14">
        <f>IF(A3210&gt;LastWeek-364,1,0)</f>
        <v/>
      </c>
      <c r="E3210" s="14">
        <f>C3210^2*D3210</f>
        <v/>
      </c>
    </row>
    <row r="3211">
      <c r="A3211" s="26" t="n">
        <v>45915</v>
      </c>
      <c r="B3211" s="14" t="inlineStr">
        <is>
          <t>NB-0031</t>
        </is>
      </c>
      <c r="C3211" s="14" t="n">
        <v>13</v>
      </c>
      <c r="D3211" s="14">
        <f>IF(A3211&gt;LastWeek-364,1,0)</f>
        <v/>
      </c>
      <c r="E3211" s="14">
        <f>C3211^2*D3211</f>
        <v/>
      </c>
    </row>
    <row r="3212">
      <c r="A3212" s="26" t="n">
        <v>45922</v>
      </c>
      <c r="B3212" s="14" t="inlineStr">
        <is>
          <t>NB-0031</t>
        </is>
      </c>
      <c r="C3212" s="14" t="n">
        <v>4</v>
      </c>
      <c r="D3212" s="14">
        <f>IF(A3212&gt;LastWeek-364,1,0)</f>
        <v/>
      </c>
      <c r="E3212" s="14">
        <f>C3212^2*D3212</f>
        <v/>
      </c>
    </row>
    <row r="3213">
      <c r="A3213" s="26" t="n">
        <v>45929</v>
      </c>
      <c r="B3213" s="14" t="inlineStr">
        <is>
          <t>NB-0031</t>
        </is>
      </c>
      <c r="C3213" s="14" t="n">
        <v>13</v>
      </c>
      <c r="D3213" s="14">
        <f>IF(A3213&gt;LastWeek-364,1,0)</f>
        <v/>
      </c>
      <c r="E3213" s="14">
        <f>C3213^2*D3213</f>
        <v/>
      </c>
    </row>
    <row r="3214">
      <c r="A3214" s="26" t="n">
        <v>45936</v>
      </c>
      <c r="B3214" s="14" t="inlineStr">
        <is>
          <t>NB-0031</t>
        </is>
      </c>
      <c r="C3214" s="14" t="n">
        <v>1</v>
      </c>
      <c r="D3214" s="14">
        <f>IF(A3214&gt;LastWeek-364,1,0)</f>
        <v/>
      </c>
      <c r="E3214" s="14">
        <f>C3214^2*D3214</f>
        <v/>
      </c>
    </row>
    <row r="3215">
      <c r="A3215" s="26" t="n">
        <v>45943</v>
      </c>
      <c r="B3215" s="14" t="inlineStr">
        <is>
          <t>NB-0031</t>
        </is>
      </c>
      <c r="C3215" s="14" t="n">
        <v>9</v>
      </c>
      <c r="D3215" s="14">
        <f>IF(A3215&gt;LastWeek-364,1,0)</f>
        <v/>
      </c>
      <c r="E3215" s="14">
        <f>C3215^2*D3215</f>
        <v/>
      </c>
    </row>
    <row r="3216">
      <c r="A3216" s="26" t="n">
        <v>45950</v>
      </c>
      <c r="B3216" s="14" t="inlineStr">
        <is>
          <t>NB-0031</t>
        </is>
      </c>
      <c r="C3216" s="14" t="n">
        <v>16</v>
      </c>
      <c r="D3216" s="14">
        <f>IF(A3216&gt;LastWeek-364,1,0)</f>
        <v/>
      </c>
      <c r="E3216" s="14">
        <f>C3216^2*D3216</f>
        <v/>
      </c>
    </row>
    <row r="3217">
      <c r="A3217" s="26" t="n">
        <v>45957</v>
      </c>
      <c r="B3217" s="14" t="inlineStr">
        <is>
          <t>NB-0031</t>
        </is>
      </c>
      <c r="C3217" s="14" t="n">
        <v>11</v>
      </c>
      <c r="D3217" s="14">
        <f>IF(A3217&gt;LastWeek-364,1,0)</f>
        <v/>
      </c>
      <c r="E3217" s="14">
        <f>C3217^2*D3217</f>
        <v/>
      </c>
    </row>
    <row r="3218">
      <c r="A3218" s="26" t="n">
        <v>45964</v>
      </c>
      <c r="B3218" s="14" t="inlineStr">
        <is>
          <t>NB-0031</t>
        </is>
      </c>
      <c r="C3218" s="14" t="n">
        <v>8</v>
      </c>
      <c r="D3218" s="14">
        <f>IF(A3218&gt;LastWeek-364,1,0)</f>
        <v/>
      </c>
      <c r="E3218" s="14">
        <f>C3218^2*D3218</f>
        <v/>
      </c>
    </row>
    <row r="3219">
      <c r="A3219" s="26" t="n">
        <v>45971</v>
      </c>
      <c r="B3219" s="14" t="inlineStr">
        <is>
          <t>NB-0031</t>
        </is>
      </c>
      <c r="C3219" s="14" t="n">
        <v>15</v>
      </c>
      <c r="D3219" s="14">
        <f>IF(A3219&gt;LastWeek-364,1,0)</f>
        <v/>
      </c>
      <c r="E3219" s="14">
        <f>C3219^2*D3219</f>
        <v/>
      </c>
    </row>
    <row r="3220">
      <c r="A3220" s="26" t="n">
        <v>45978</v>
      </c>
      <c r="B3220" s="14" t="inlineStr">
        <is>
          <t>NB-0031</t>
        </is>
      </c>
      <c r="C3220" s="14" t="n">
        <v>15</v>
      </c>
      <c r="D3220" s="14">
        <f>IF(A3220&gt;LastWeek-364,1,0)</f>
        <v/>
      </c>
      <c r="E3220" s="14">
        <f>C3220^2*D3220</f>
        <v/>
      </c>
    </row>
    <row r="3221">
      <c r="A3221" s="26" t="n">
        <v>45985</v>
      </c>
      <c r="B3221" s="14" t="inlineStr">
        <is>
          <t>NB-0031</t>
        </is>
      </c>
      <c r="C3221" s="14" t="n">
        <v>17</v>
      </c>
      <c r="D3221" s="14">
        <f>IF(A3221&gt;LastWeek-364,1,0)</f>
        <v/>
      </c>
      <c r="E3221" s="14">
        <f>C3221^2*D3221</f>
        <v/>
      </c>
    </row>
    <row r="3222">
      <c r="A3222" s="26" t="n">
        <v>45992</v>
      </c>
      <c r="B3222" s="14" t="inlineStr">
        <is>
          <t>NB-0031</t>
        </is>
      </c>
      <c r="C3222" s="14" t="n">
        <v>15</v>
      </c>
      <c r="D3222" s="14">
        <f>IF(A3222&gt;LastWeek-364,1,0)</f>
        <v/>
      </c>
      <c r="E3222" s="14">
        <f>C3222^2*D3222</f>
        <v/>
      </c>
    </row>
    <row r="3223">
      <c r="A3223" s="26" t="n">
        <v>45999</v>
      </c>
      <c r="B3223" s="14" t="inlineStr">
        <is>
          <t>NB-0031</t>
        </is>
      </c>
      <c r="C3223" s="14" t="n">
        <v>16</v>
      </c>
      <c r="D3223" s="14">
        <f>IF(A3223&gt;LastWeek-364,1,0)</f>
        <v/>
      </c>
      <c r="E3223" s="14">
        <f>C3223^2*D3223</f>
        <v/>
      </c>
    </row>
    <row r="3224">
      <c r="A3224" s="26" t="n">
        <v>46006</v>
      </c>
      <c r="B3224" s="14" t="inlineStr">
        <is>
          <t>NB-0031</t>
        </is>
      </c>
      <c r="C3224" s="14" t="n">
        <v>14</v>
      </c>
      <c r="D3224" s="14">
        <f>IF(A3224&gt;LastWeek-364,1,0)</f>
        <v/>
      </c>
      <c r="E3224" s="14">
        <f>C3224^2*D3224</f>
        <v/>
      </c>
    </row>
    <row r="3225">
      <c r="A3225" s="26" t="n">
        <v>46013</v>
      </c>
      <c r="B3225" s="14" t="inlineStr">
        <is>
          <t>NB-0031</t>
        </is>
      </c>
      <c r="C3225" s="14" t="n">
        <v>12</v>
      </c>
      <c r="D3225" s="14">
        <f>IF(A3225&gt;LastWeek-364,1,0)</f>
        <v/>
      </c>
      <c r="E3225" s="14">
        <f>C3225^2*D3225</f>
        <v/>
      </c>
    </row>
    <row r="3226">
      <c r="A3226" s="26" t="n">
        <v>45292</v>
      </c>
      <c r="B3226" s="14" t="inlineStr">
        <is>
          <t>NB-0032</t>
        </is>
      </c>
      <c r="C3226" s="14" t="n">
        <v>13</v>
      </c>
      <c r="D3226" s="14">
        <f>IF(A3226&gt;LastWeek-364,1,0)</f>
        <v/>
      </c>
      <c r="E3226" s="14">
        <f>C3226^2*D3226</f>
        <v/>
      </c>
    </row>
    <row r="3227">
      <c r="A3227" s="26" t="n">
        <v>45299</v>
      </c>
      <c r="B3227" s="14" t="inlineStr">
        <is>
          <t>NB-0032</t>
        </is>
      </c>
      <c r="C3227" s="14" t="n">
        <v>13</v>
      </c>
      <c r="D3227" s="14">
        <f>IF(A3227&gt;LastWeek-364,1,0)</f>
        <v/>
      </c>
      <c r="E3227" s="14">
        <f>C3227^2*D3227</f>
        <v/>
      </c>
    </row>
    <row r="3228">
      <c r="A3228" s="26" t="n">
        <v>45306</v>
      </c>
      <c r="B3228" s="14" t="inlineStr">
        <is>
          <t>NB-0032</t>
        </is>
      </c>
      <c r="C3228" s="14" t="n">
        <v>11</v>
      </c>
      <c r="D3228" s="14">
        <f>IF(A3228&gt;LastWeek-364,1,0)</f>
        <v/>
      </c>
      <c r="E3228" s="14">
        <f>C3228^2*D3228</f>
        <v/>
      </c>
    </row>
    <row r="3229">
      <c r="A3229" s="26" t="n">
        <v>45313</v>
      </c>
      <c r="B3229" s="14" t="inlineStr">
        <is>
          <t>NB-0032</t>
        </is>
      </c>
      <c r="C3229" s="14" t="n">
        <v>11</v>
      </c>
      <c r="D3229" s="14">
        <f>IF(A3229&gt;LastWeek-364,1,0)</f>
        <v/>
      </c>
      <c r="E3229" s="14">
        <f>C3229^2*D3229</f>
        <v/>
      </c>
    </row>
    <row r="3230">
      <c r="A3230" s="26" t="n">
        <v>45320</v>
      </c>
      <c r="B3230" s="14" t="inlineStr">
        <is>
          <t>NB-0032</t>
        </is>
      </c>
      <c r="C3230" s="14" t="n">
        <v>13</v>
      </c>
      <c r="D3230" s="14">
        <f>IF(A3230&gt;LastWeek-364,1,0)</f>
        <v/>
      </c>
      <c r="E3230" s="14">
        <f>C3230^2*D3230</f>
        <v/>
      </c>
    </row>
    <row r="3231">
      <c r="A3231" s="26" t="n">
        <v>45327</v>
      </c>
      <c r="B3231" s="14" t="inlineStr">
        <is>
          <t>NB-0032</t>
        </is>
      </c>
      <c r="C3231" s="14" t="n">
        <v>14</v>
      </c>
      <c r="D3231" s="14">
        <f>IF(A3231&gt;LastWeek-364,1,0)</f>
        <v/>
      </c>
      <c r="E3231" s="14">
        <f>C3231^2*D3231</f>
        <v/>
      </c>
    </row>
    <row r="3232">
      <c r="A3232" s="26" t="n">
        <v>45334</v>
      </c>
      <c r="B3232" s="14" t="inlineStr">
        <is>
          <t>NB-0032</t>
        </is>
      </c>
      <c r="C3232" s="14" t="n">
        <v>16</v>
      </c>
      <c r="D3232" s="14">
        <f>IF(A3232&gt;LastWeek-364,1,0)</f>
        <v/>
      </c>
      <c r="E3232" s="14">
        <f>C3232^2*D3232</f>
        <v/>
      </c>
    </row>
    <row r="3233">
      <c r="A3233" s="26" t="n">
        <v>45341</v>
      </c>
      <c r="B3233" s="14" t="inlineStr">
        <is>
          <t>NB-0032</t>
        </is>
      </c>
      <c r="C3233" s="14" t="n">
        <v>13</v>
      </c>
      <c r="D3233" s="14">
        <f>IF(A3233&gt;LastWeek-364,1,0)</f>
        <v/>
      </c>
      <c r="E3233" s="14">
        <f>C3233^2*D3233</f>
        <v/>
      </c>
    </row>
    <row r="3234">
      <c r="A3234" s="26" t="n">
        <v>45348</v>
      </c>
      <c r="B3234" s="14" t="inlineStr">
        <is>
          <t>NB-0032</t>
        </is>
      </c>
      <c r="C3234" s="14" t="n">
        <v>15</v>
      </c>
      <c r="D3234" s="14">
        <f>IF(A3234&gt;LastWeek-364,1,0)</f>
        <v/>
      </c>
      <c r="E3234" s="14">
        <f>C3234^2*D3234</f>
        <v/>
      </c>
    </row>
    <row r="3235">
      <c r="A3235" s="26" t="n">
        <v>45355</v>
      </c>
      <c r="B3235" s="14" t="inlineStr">
        <is>
          <t>NB-0032</t>
        </is>
      </c>
      <c r="C3235" s="14" t="n">
        <v>15</v>
      </c>
      <c r="D3235" s="14">
        <f>IF(A3235&gt;LastWeek-364,1,0)</f>
        <v/>
      </c>
      <c r="E3235" s="14">
        <f>C3235^2*D3235</f>
        <v/>
      </c>
    </row>
    <row r="3236">
      <c r="A3236" s="26" t="n">
        <v>45362</v>
      </c>
      <c r="B3236" s="14" t="inlineStr">
        <is>
          <t>NB-0032</t>
        </is>
      </c>
      <c r="C3236" s="14" t="n">
        <v>12</v>
      </c>
      <c r="D3236" s="14">
        <f>IF(A3236&gt;LastWeek-364,1,0)</f>
        <v/>
      </c>
      <c r="E3236" s="14">
        <f>C3236^2*D3236</f>
        <v/>
      </c>
    </row>
    <row r="3237">
      <c r="A3237" s="26" t="n">
        <v>45369</v>
      </c>
      <c r="B3237" s="14" t="inlineStr">
        <is>
          <t>NB-0032</t>
        </is>
      </c>
      <c r="C3237" s="14" t="n">
        <v>14</v>
      </c>
      <c r="D3237" s="14">
        <f>IF(A3237&gt;LastWeek-364,1,0)</f>
        <v/>
      </c>
      <c r="E3237" s="14">
        <f>C3237^2*D3237</f>
        <v/>
      </c>
    </row>
    <row r="3238">
      <c r="A3238" s="26" t="n">
        <v>45376</v>
      </c>
      <c r="B3238" s="14" t="inlineStr">
        <is>
          <t>NB-0032</t>
        </is>
      </c>
      <c r="C3238" s="14" t="n">
        <v>12</v>
      </c>
      <c r="D3238" s="14">
        <f>IF(A3238&gt;LastWeek-364,1,0)</f>
        <v/>
      </c>
      <c r="E3238" s="14">
        <f>C3238^2*D3238</f>
        <v/>
      </c>
    </row>
    <row r="3239">
      <c r="A3239" s="26" t="n">
        <v>45383</v>
      </c>
      <c r="B3239" s="14" t="inlineStr">
        <is>
          <t>NB-0032</t>
        </is>
      </c>
      <c r="C3239" s="14" t="n">
        <v>15</v>
      </c>
      <c r="D3239" s="14">
        <f>IF(A3239&gt;LastWeek-364,1,0)</f>
        <v/>
      </c>
      <c r="E3239" s="14">
        <f>C3239^2*D3239</f>
        <v/>
      </c>
    </row>
    <row r="3240">
      <c r="A3240" s="26" t="n">
        <v>45390</v>
      </c>
      <c r="B3240" s="14" t="inlineStr">
        <is>
          <t>NB-0032</t>
        </is>
      </c>
      <c r="C3240" s="14" t="n">
        <v>14</v>
      </c>
      <c r="D3240" s="14">
        <f>IF(A3240&gt;LastWeek-364,1,0)</f>
        <v/>
      </c>
      <c r="E3240" s="14">
        <f>C3240^2*D3240</f>
        <v/>
      </c>
    </row>
    <row r="3241">
      <c r="A3241" s="26" t="n">
        <v>45397</v>
      </c>
      <c r="B3241" s="14" t="inlineStr">
        <is>
          <t>NB-0032</t>
        </is>
      </c>
      <c r="C3241" s="14" t="n">
        <v>10</v>
      </c>
      <c r="D3241" s="14">
        <f>IF(A3241&gt;LastWeek-364,1,0)</f>
        <v/>
      </c>
      <c r="E3241" s="14">
        <f>C3241^2*D3241</f>
        <v/>
      </c>
    </row>
    <row r="3242">
      <c r="A3242" s="26" t="n">
        <v>45404</v>
      </c>
      <c r="B3242" s="14" t="inlineStr">
        <is>
          <t>NB-0032</t>
        </is>
      </c>
      <c r="C3242" s="14" t="n">
        <v>13</v>
      </c>
      <c r="D3242" s="14">
        <f>IF(A3242&gt;LastWeek-364,1,0)</f>
        <v/>
      </c>
      <c r="E3242" s="14">
        <f>C3242^2*D3242</f>
        <v/>
      </c>
    </row>
    <row r="3243">
      <c r="A3243" s="26" t="n">
        <v>45411</v>
      </c>
      <c r="B3243" s="14" t="inlineStr">
        <is>
          <t>NB-0032</t>
        </is>
      </c>
      <c r="C3243" s="14" t="n">
        <v>15</v>
      </c>
      <c r="D3243" s="14">
        <f>IF(A3243&gt;LastWeek-364,1,0)</f>
        <v/>
      </c>
      <c r="E3243" s="14">
        <f>C3243^2*D3243</f>
        <v/>
      </c>
    </row>
    <row r="3244">
      <c r="A3244" s="26" t="n">
        <v>45418</v>
      </c>
      <c r="B3244" s="14" t="inlineStr">
        <is>
          <t>NB-0032</t>
        </is>
      </c>
      <c r="C3244" s="14" t="n">
        <v>12</v>
      </c>
      <c r="D3244" s="14">
        <f>IF(A3244&gt;LastWeek-364,1,0)</f>
        <v/>
      </c>
      <c r="E3244" s="14">
        <f>C3244^2*D3244</f>
        <v/>
      </c>
    </row>
    <row r="3245">
      <c r="A3245" s="26" t="n">
        <v>45425</v>
      </c>
      <c r="B3245" s="14" t="inlineStr">
        <is>
          <t>NB-0032</t>
        </is>
      </c>
      <c r="C3245" s="14" t="n">
        <v>13</v>
      </c>
      <c r="D3245" s="14">
        <f>IF(A3245&gt;LastWeek-364,1,0)</f>
        <v/>
      </c>
      <c r="E3245" s="14">
        <f>C3245^2*D3245</f>
        <v/>
      </c>
    </row>
    <row r="3246">
      <c r="A3246" s="26" t="n">
        <v>45432</v>
      </c>
      <c r="B3246" s="14" t="inlineStr">
        <is>
          <t>NB-0032</t>
        </is>
      </c>
      <c r="C3246" s="14" t="n">
        <v>13</v>
      </c>
      <c r="D3246" s="14">
        <f>IF(A3246&gt;LastWeek-364,1,0)</f>
        <v/>
      </c>
      <c r="E3246" s="14">
        <f>C3246^2*D3246</f>
        <v/>
      </c>
    </row>
    <row r="3247">
      <c r="A3247" s="26" t="n">
        <v>45439</v>
      </c>
      <c r="B3247" s="14" t="inlineStr">
        <is>
          <t>NB-0032</t>
        </is>
      </c>
      <c r="C3247" s="14" t="n">
        <v>10</v>
      </c>
      <c r="D3247" s="14">
        <f>IF(A3247&gt;LastWeek-364,1,0)</f>
        <v/>
      </c>
      <c r="E3247" s="14">
        <f>C3247^2*D3247</f>
        <v/>
      </c>
    </row>
    <row r="3248">
      <c r="A3248" s="26" t="n">
        <v>45446</v>
      </c>
      <c r="B3248" s="14" t="inlineStr">
        <is>
          <t>NB-0032</t>
        </is>
      </c>
      <c r="C3248" s="14" t="n">
        <v>13</v>
      </c>
      <c r="D3248" s="14">
        <f>IF(A3248&gt;LastWeek-364,1,0)</f>
        <v/>
      </c>
      <c r="E3248" s="14">
        <f>C3248^2*D3248</f>
        <v/>
      </c>
    </row>
    <row r="3249">
      <c r="A3249" s="26" t="n">
        <v>45453</v>
      </c>
      <c r="B3249" s="14" t="inlineStr">
        <is>
          <t>NB-0032</t>
        </is>
      </c>
      <c r="C3249" s="14" t="n">
        <v>10</v>
      </c>
      <c r="D3249" s="14">
        <f>IF(A3249&gt;LastWeek-364,1,0)</f>
        <v/>
      </c>
      <c r="E3249" s="14">
        <f>C3249^2*D3249</f>
        <v/>
      </c>
    </row>
    <row r="3250">
      <c r="A3250" s="26" t="n">
        <v>45460</v>
      </c>
      <c r="B3250" s="14" t="inlineStr">
        <is>
          <t>NB-0032</t>
        </is>
      </c>
      <c r="C3250" s="14" t="n">
        <v>11</v>
      </c>
      <c r="D3250" s="14">
        <f>IF(A3250&gt;LastWeek-364,1,0)</f>
        <v/>
      </c>
      <c r="E3250" s="14">
        <f>C3250^2*D3250</f>
        <v/>
      </c>
    </row>
    <row r="3251">
      <c r="A3251" s="26" t="n">
        <v>45467</v>
      </c>
      <c r="B3251" s="14" t="inlineStr">
        <is>
          <t>NB-0032</t>
        </is>
      </c>
      <c r="C3251" s="14" t="n">
        <v>14</v>
      </c>
      <c r="D3251" s="14">
        <f>IF(A3251&gt;LastWeek-364,1,0)</f>
        <v/>
      </c>
      <c r="E3251" s="14">
        <f>C3251^2*D3251</f>
        <v/>
      </c>
    </row>
    <row r="3252">
      <c r="A3252" s="26" t="n">
        <v>45474</v>
      </c>
      <c r="B3252" s="14" t="inlineStr">
        <is>
          <t>NB-0032</t>
        </is>
      </c>
      <c r="C3252" s="14" t="n">
        <v>13</v>
      </c>
      <c r="D3252" s="14">
        <f>IF(A3252&gt;LastWeek-364,1,0)</f>
        <v/>
      </c>
      <c r="E3252" s="14">
        <f>C3252^2*D3252</f>
        <v/>
      </c>
    </row>
    <row r="3253">
      <c r="A3253" s="26" t="n">
        <v>45481</v>
      </c>
      <c r="B3253" s="14" t="inlineStr">
        <is>
          <t>NB-0032</t>
        </is>
      </c>
      <c r="C3253" s="14" t="n">
        <v>12</v>
      </c>
      <c r="D3253" s="14">
        <f>IF(A3253&gt;LastWeek-364,1,0)</f>
        <v/>
      </c>
      <c r="E3253" s="14">
        <f>C3253^2*D3253</f>
        <v/>
      </c>
    </row>
    <row r="3254">
      <c r="A3254" s="26" t="n">
        <v>45488</v>
      </c>
      <c r="B3254" s="14" t="inlineStr">
        <is>
          <t>NB-0032</t>
        </is>
      </c>
      <c r="C3254" s="14" t="n">
        <v>13</v>
      </c>
      <c r="D3254" s="14">
        <f>IF(A3254&gt;LastWeek-364,1,0)</f>
        <v/>
      </c>
      <c r="E3254" s="14">
        <f>C3254^2*D3254</f>
        <v/>
      </c>
    </row>
    <row r="3255">
      <c r="A3255" s="26" t="n">
        <v>45495</v>
      </c>
      <c r="B3255" s="14" t="inlineStr">
        <is>
          <t>NB-0032</t>
        </is>
      </c>
      <c r="C3255" s="14" t="n">
        <v>12</v>
      </c>
      <c r="D3255" s="14">
        <f>IF(A3255&gt;LastWeek-364,1,0)</f>
        <v/>
      </c>
      <c r="E3255" s="14">
        <f>C3255^2*D3255</f>
        <v/>
      </c>
    </row>
    <row r="3256">
      <c r="A3256" s="26" t="n">
        <v>45502</v>
      </c>
      <c r="B3256" s="14" t="inlineStr">
        <is>
          <t>NB-0032</t>
        </is>
      </c>
      <c r="C3256" s="14" t="n">
        <v>12</v>
      </c>
      <c r="D3256" s="14">
        <f>IF(A3256&gt;LastWeek-364,1,0)</f>
        <v/>
      </c>
      <c r="E3256" s="14">
        <f>C3256^2*D3256</f>
        <v/>
      </c>
    </row>
    <row r="3257">
      <c r="A3257" s="26" t="n">
        <v>45509</v>
      </c>
      <c r="B3257" s="14" t="inlineStr">
        <is>
          <t>NB-0032</t>
        </is>
      </c>
      <c r="C3257" s="14" t="n">
        <v>13</v>
      </c>
      <c r="D3257" s="14">
        <f>IF(A3257&gt;LastWeek-364,1,0)</f>
        <v/>
      </c>
      <c r="E3257" s="14">
        <f>C3257^2*D3257</f>
        <v/>
      </c>
    </row>
    <row r="3258">
      <c r="A3258" s="26" t="n">
        <v>45516</v>
      </c>
      <c r="B3258" s="14" t="inlineStr">
        <is>
          <t>NB-0032</t>
        </is>
      </c>
      <c r="C3258" s="14" t="n">
        <v>11</v>
      </c>
      <c r="D3258" s="14">
        <f>IF(A3258&gt;LastWeek-364,1,0)</f>
        <v/>
      </c>
      <c r="E3258" s="14">
        <f>C3258^2*D3258</f>
        <v/>
      </c>
    </row>
    <row r="3259">
      <c r="A3259" s="26" t="n">
        <v>45523</v>
      </c>
      <c r="B3259" s="14" t="inlineStr">
        <is>
          <t>NB-0032</t>
        </is>
      </c>
      <c r="C3259" s="14" t="n">
        <v>12</v>
      </c>
      <c r="D3259" s="14">
        <f>IF(A3259&gt;LastWeek-364,1,0)</f>
        <v/>
      </c>
      <c r="E3259" s="14">
        <f>C3259^2*D3259</f>
        <v/>
      </c>
    </row>
    <row r="3260">
      <c r="A3260" s="26" t="n">
        <v>45530</v>
      </c>
      <c r="B3260" s="14" t="inlineStr">
        <is>
          <t>NB-0032</t>
        </is>
      </c>
      <c r="C3260" s="14" t="n">
        <v>12</v>
      </c>
      <c r="D3260" s="14">
        <f>IF(A3260&gt;LastWeek-364,1,0)</f>
        <v/>
      </c>
      <c r="E3260" s="14">
        <f>C3260^2*D3260</f>
        <v/>
      </c>
    </row>
    <row r="3261">
      <c r="A3261" s="26" t="n">
        <v>45537</v>
      </c>
      <c r="B3261" s="14" t="inlineStr">
        <is>
          <t>NB-0032</t>
        </is>
      </c>
      <c r="C3261" s="14" t="n">
        <v>9</v>
      </c>
      <c r="D3261" s="14">
        <f>IF(A3261&gt;LastWeek-364,1,0)</f>
        <v/>
      </c>
      <c r="E3261" s="14">
        <f>C3261^2*D3261</f>
        <v/>
      </c>
    </row>
    <row r="3262">
      <c r="A3262" s="26" t="n">
        <v>45544</v>
      </c>
      <c r="B3262" s="14" t="inlineStr">
        <is>
          <t>NB-0032</t>
        </is>
      </c>
      <c r="C3262" s="14" t="n">
        <v>11</v>
      </c>
      <c r="D3262" s="14">
        <f>IF(A3262&gt;LastWeek-364,1,0)</f>
        <v/>
      </c>
      <c r="E3262" s="14">
        <f>C3262^2*D3262</f>
        <v/>
      </c>
    </row>
    <row r="3263">
      <c r="A3263" s="26" t="n">
        <v>45551</v>
      </c>
      <c r="B3263" s="14" t="inlineStr">
        <is>
          <t>NB-0032</t>
        </is>
      </c>
      <c r="C3263" s="14" t="n">
        <v>15</v>
      </c>
      <c r="D3263" s="14">
        <f>IF(A3263&gt;LastWeek-364,1,0)</f>
        <v/>
      </c>
      <c r="E3263" s="14">
        <f>C3263^2*D3263</f>
        <v/>
      </c>
    </row>
    <row r="3264">
      <c r="A3264" s="26" t="n">
        <v>45558</v>
      </c>
      <c r="B3264" s="14" t="inlineStr">
        <is>
          <t>NB-0032</t>
        </is>
      </c>
      <c r="C3264" s="14" t="n">
        <v>13</v>
      </c>
      <c r="D3264" s="14">
        <f>IF(A3264&gt;LastWeek-364,1,0)</f>
        <v/>
      </c>
      <c r="E3264" s="14">
        <f>C3264^2*D3264</f>
        <v/>
      </c>
    </row>
    <row r="3265">
      <c r="A3265" s="26" t="n">
        <v>45565</v>
      </c>
      <c r="B3265" s="14" t="inlineStr">
        <is>
          <t>NB-0032</t>
        </is>
      </c>
      <c r="C3265" s="14" t="n">
        <v>10</v>
      </c>
      <c r="D3265" s="14">
        <f>IF(A3265&gt;LastWeek-364,1,0)</f>
        <v/>
      </c>
      <c r="E3265" s="14">
        <f>C3265^2*D3265</f>
        <v/>
      </c>
    </row>
    <row r="3266">
      <c r="A3266" s="26" t="n">
        <v>45572</v>
      </c>
      <c r="B3266" s="14" t="inlineStr">
        <is>
          <t>NB-0032</t>
        </is>
      </c>
      <c r="C3266" s="14" t="n">
        <v>10</v>
      </c>
      <c r="D3266" s="14">
        <f>IF(A3266&gt;LastWeek-364,1,0)</f>
        <v/>
      </c>
      <c r="E3266" s="14">
        <f>C3266^2*D3266</f>
        <v/>
      </c>
    </row>
    <row r="3267">
      <c r="A3267" s="26" t="n">
        <v>45579</v>
      </c>
      <c r="B3267" s="14" t="inlineStr">
        <is>
          <t>NB-0032</t>
        </is>
      </c>
      <c r="C3267" s="14" t="n">
        <v>12</v>
      </c>
      <c r="D3267" s="14">
        <f>IF(A3267&gt;LastWeek-364,1,0)</f>
        <v/>
      </c>
      <c r="E3267" s="14">
        <f>C3267^2*D3267</f>
        <v/>
      </c>
    </row>
    <row r="3268">
      <c r="A3268" s="26" t="n">
        <v>45586</v>
      </c>
      <c r="B3268" s="14" t="inlineStr">
        <is>
          <t>NB-0032</t>
        </is>
      </c>
      <c r="C3268" s="14" t="n">
        <v>15</v>
      </c>
      <c r="D3268" s="14">
        <f>IF(A3268&gt;LastWeek-364,1,0)</f>
        <v/>
      </c>
      <c r="E3268" s="14">
        <f>C3268^2*D3268</f>
        <v/>
      </c>
    </row>
    <row r="3269">
      <c r="A3269" s="26" t="n">
        <v>45593</v>
      </c>
      <c r="B3269" s="14" t="inlineStr">
        <is>
          <t>NB-0032</t>
        </is>
      </c>
      <c r="C3269" s="14" t="n">
        <v>12</v>
      </c>
      <c r="D3269" s="14">
        <f>IF(A3269&gt;LastWeek-364,1,0)</f>
        <v/>
      </c>
      <c r="E3269" s="14">
        <f>C3269^2*D3269</f>
        <v/>
      </c>
    </row>
    <row r="3270">
      <c r="A3270" s="26" t="n">
        <v>45600</v>
      </c>
      <c r="B3270" s="14" t="inlineStr">
        <is>
          <t>NB-0032</t>
        </is>
      </c>
      <c r="C3270" s="14" t="n">
        <v>15</v>
      </c>
      <c r="D3270" s="14">
        <f>IF(A3270&gt;LastWeek-364,1,0)</f>
        <v/>
      </c>
      <c r="E3270" s="14">
        <f>C3270^2*D3270</f>
        <v/>
      </c>
    </row>
    <row r="3271">
      <c r="A3271" s="26" t="n">
        <v>45607</v>
      </c>
      <c r="B3271" s="14" t="inlineStr">
        <is>
          <t>NB-0032</t>
        </is>
      </c>
      <c r="C3271" s="14" t="n">
        <v>13</v>
      </c>
      <c r="D3271" s="14">
        <f>IF(A3271&gt;LastWeek-364,1,0)</f>
        <v/>
      </c>
      <c r="E3271" s="14">
        <f>C3271^2*D3271</f>
        <v/>
      </c>
    </row>
    <row r="3272">
      <c r="A3272" s="26" t="n">
        <v>45614</v>
      </c>
      <c r="B3272" s="14" t="inlineStr">
        <is>
          <t>NB-0032</t>
        </is>
      </c>
      <c r="C3272" s="14" t="n">
        <v>13</v>
      </c>
      <c r="D3272" s="14">
        <f>IF(A3272&gt;LastWeek-364,1,0)</f>
        <v/>
      </c>
      <c r="E3272" s="14">
        <f>C3272^2*D3272</f>
        <v/>
      </c>
    </row>
    <row r="3273">
      <c r="A3273" s="26" t="n">
        <v>45621</v>
      </c>
      <c r="B3273" s="14" t="inlineStr">
        <is>
          <t>NB-0032</t>
        </is>
      </c>
      <c r="C3273" s="14" t="n">
        <v>10</v>
      </c>
      <c r="D3273" s="14">
        <f>IF(A3273&gt;LastWeek-364,1,0)</f>
        <v/>
      </c>
      <c r="E3273" s="14">
        <f>C3273^2*D3273</f>
        <v/>
      </c>
    </row>
    <row r="3274">
      <c r="A3274" s="26" t="n">
        <v>45628</v>
      </c>
      <c r="B3274" s="14" t="inlineStr">
        <is>
          <t>NB-0032</t>
        </is>
      </c>
      <c r="C3274" s="14" t="n">
        <v>14</v>
      </c>
      <c r="D3274" s="14">
        <f>IF(A3274&gt;LastWeek-364,1,0)</f>
        <v/>
      </c>
      <c r="E3274" s="14">
        <f>C3274^2*D3274</f>
        <v/>
      </c>
    </row>
    <row r="3275">
      <c r="A3275" s="26" t="n">
        <v>45635</v>
      </c>
      <c r="B3275" s="14" t="inlineStr">
        <is>
          <t>NB-0032</t>
        </is>
      </c>
      <c r="C3275" s="14" t="n">
        <v>12</v>
      </c>
      <c r="D3275" s="14">
        <f>IF(A3275&gt;LastWeek-364,1,0)</f>
        <v/>
      </c>
      <c r="E3275" s="14">
        <f>C3275^2*D3275</f>
        <v/>
      </c>
    </row>
    <row r="3276">
      <c r="A3276" s="26" t="n">
        <v>45642</v>
      </c>
      <c r="B3276" s="14" t="inlineStr">
        <is>
          <t>NB-0032</t>
        </is>
      </c>
      <c r="C3276" s="14" t="n">
        <v>14</v>
      </c>
      <c r="D3276" s="14">
        <f>IF(A3276&gt;LastWeek-364,1,0)</f>
        <v/>
      </c>
      <c r="E3276" s="14">
        <f>C3276^2*D3276</f>
        <v/>
      </c>
    </row>
    <row r="3277">
      <c r="A3277" s="26" t="n">
        <v>45649</v>
      </c>
      <c r="B3277" s="14" t="inlineStr">
        <is>
          <t>NB-0032</t>
        </is>
      </c>
      <c r="C3277" s="14" t="n">
        <v>11</v>
      </c>
      <c r="D3277" s="14">
        <f>IF(A3277&gt;LastWeek-364,1,0)</f>
        <v/>
      </c>
      <c r="E3277" s="14">
        <f>C3277^2*D3277</f>
        <v/>
      </c>
    </row>
    <row r="3278">
      <c r="A3278" s="26" t="n">
        <v>45656</v>
      </c>
      <c r="B3278" s="14" t="inlineStr">
        <is>
          <t>NB-0032</t>
        </is>
      </c>
      <c r="C3278" s="14" t="n">
        <v>13</v>
      </c>
      <c r="D3278" s="14">
        <f>IF(A3278&gt;LastWeek-364,1,0)</f>
        <v/>
      </c>
      <c r="E3278" s="14">
        <f>C3278^2*D3278</f>
        <v/>
      </c>
    </row>
    <row r="3279">
      <c r="A3279" s="26" t="n">
        <v>45663</v>
      </c>
      <c r="B3279" s="14" t="inlineStr">
        <is>
          <t>NB-0032</t>
        </is>
      </c>
      <c r="C3279" s="14" t="n">
        <v>13</v>
      </c>
      <c r="D3279" s="14">
        <f>IF(A3279&gt;LastWeek-364,1,0)</f>
        <v/>
      </c>
      <c r="E3279" s="14">
        <f>C3279^2*D3279</f>
        <v/>
      </c>
    </row>
    <row r="3280">
      <c r="A3280" s="26" t="n">
        <v>45670</v>
      </c>
      <c r="B3280" s="14" t="inlineStr">
        <is>
          <t>NB-0032</t>
        </is>
      </c>
      <c r="C3280" s="14" t="n">
        <v>12</v>
      </c>
      <c r="D3280" s="14">
        <f>IF(A3280&gt;LastWeek-364,1,0)</f>
        <v/>
      </c>
      <c r="E3280" s="14">
        <f>C3280^2*D3280</f>
        <v/>
      </c>
    </row>
    <row r="3281">
      <c r="A3281" s="26" t="n">
        <v>45677</v>
      </c>
      <c r="B3281" s="14" t="inlineStr">
        <is>
          <t>NB-0032</t>
        </is>
      </c>
      <c r="C3281" s="14" t="n">
        <v>13</v>
      </c>
      <c r="D3281" s="14">
        <f>IF(A3281&gt;LastWeek-364,1,0)</f>
        <v/>
      </c>
      <c r="E3281" s="14">
        <f>C3281^2*D3281</f>
        <v/>
      </c>
    </row>
    <row r="3282">
      <c r="A3282" s="26" t="n">
        <v>45684</v>
      </c>
      <c r="B3282" s="14" t="inlineStr">
        <is>
          <t>NB-0032</t>
        </is>
      </c>
      <c r="C3282" s="14" t="n">
        <v>12</v>
      </c>
      <c r="D3282" s="14">
        <f>IF(A3282&gt;LastWeek-364,1,0)</f>
        <v/>
      </c>
      <c r="E3282" s="14">
        <f>C3282^2*D3282</f>
        <v/>
      </c>
    </row>
    <row r="3283">
      <c r="A3283" s="26" t="n">
        <v>45691</v>
      </c>
      <c r="B3283" s="14" t="inlineStr">
        <is>
          <t>NB-0032</t>
        </is>
      </c>
      <c r="C3283" s="14" t="n">
        <v>11</v>
      </c>
      <c r="D3283" s="14">
        <f>IF(A3283&gt;LastWeek-364,1,0)</f>
        <v/>
      </c>
      <c r="E3283" s="14">
        <f>C3283^2*D3283</f>
        <v/>
      </c>
    </row>
    <row r="3284">
      <c r="A3284" s="26" t="n">
        <v>45698</v>
      </c>
      <c r="B3284" s="14" t="inlineStr">
        <is>
          <t>NB-0032</t>
        </is>
      </c>
      <c r="C3284" s="14" t="n">
        <v>15</v>
      </c>
      <c r="D3284" s="14">
        <f>IF(A3284&gt;LastWeek-364,1,0)</f>
        <v/>
      </c>
      <c r="E3284" s="14">
        <f>C3284^2*D3284</f>
        <v/>
      </c>
    </row>
    <row r="3285">
      <c r="A3285" s="26" t="n">
        <v>45705</v>
      </c>
      <c r="B3285" s="14" t="inlineStr">
        <is>
          <t>NB-0032</t>
        </is>
      </c>
      <c r="C3285" s="14" t="n">
        <v>14</v>
      </c>
      <c r="D3285" s="14">
        <f>IF(A3285&gt;LastWeek-364,1,0)</f>
        <v/>
      </c>
      <c r="E3285" s="14">
        <f>C3285^2*D3285</f>
        <v/>
      </c>
    </row>
    <row r="3286">
      <c r="A3286" s="26" t="n">
        <v>45712</v>
      </c>
      <c r="B3286" s="14" t="inlineStr">
        <is>
          <t>NB-0032</t>
        </is>
      </c>
      <c r="C3286" s="14" t="n">
        <v>11</v>
      </c>
      <c r="D3286" s="14">
        <f>IF(A3286&gt;LastWeek-364,1,0)</f>
        <v/>
      </c>
      <c r="E3286" s="14">
        <f>C3286^2*D3286</f>
        <v/>
      </c>
    </row>
    <row r="3287">
      <c r="A3287" s="26" t="n">
        <v>45719</v>
      </c>
      <c r="B3287" s="14" t="inlineStr">
        <is>
          <t>NB-0032</t>
        </is>
      </c>
      <c r="C3287" s="14" t="n">
        <v>13</v>
      </c>
      <c r="D3287" s="14">
        <f>IF(A3287&gt;LastWeek-364,1,0)</f>
        <v/>
      </c>
      <c r="E3287" s="14">
        <f>C3287^2*D3287</f>
        <v/>
      </c>
    </row>
    <row r="3288">
      <c r="A3288" s="26" t="n">
        <v>45726</v>
      </c>
      <c r="B3288" s="14" t="inlineStr">
        <is>
          <t>NB-0032</t>
        </is>
      </c>
      <c r="C3288" s="14" t="n">
        <v>11</v>
      </c>
      <c r="D3288" s="14">
        <f>IF(A3288&gt;LastWeek-364,1,0)</f>
        <v/>
      </c>
      <c r="E3288" s="14">
        <f>C3288^2*D3288</f>
        <v/>
      </c>
    </row>
    <row r="3289">
      <c r="A3289" s="26" t="n">
        <v>45733</v>
      </c>
      <c r="B3289" s="14" t="inlineStr">
        <is>
          <t>NB-0032</t>
        </is>
      </c>
      <c r="C3289" s="14" t="n">
        <v>10</v>
      </c>
      <c r="D3289" s="14">
        <f>IF(A3289&gt;LastWeek-364,1,0)</f>
        <v/>
      </c>
      <c r="E3289" s="14">
        <f>C3289^2*D3289</f>
        <v/>
      </c>
    </row>
    <row r="3290">
      <c r="A3290" s="26" t="n">
        <v>45740</v>
      </c>
      <c r="B3290" s="14" t="inlineStr">
        <is>
          <t>NB-0032</t>
        </is>
      </c>
      <c r="C3290" s="14" t="n">
        <v>14</v>
      </c>
      <c r="D3290" s="14">
        <f>IF(A3290&gt;LastWeek-364,1,0)</f>
        <v/>
      </c>
      <c r="E3290" s="14">
        <f>C3290^2*D3290</f>
        <v/>
      </c>
    </row>
    <row r="3291">
      <c r="A3291" s="26" t="n">
        <v>45747</v>
      </c>
      <c r="B3291" s="14" t="inlineStr">
        <is>
          <t>NB-0032</t>
        </is>
      </c>
      <c r="C3291" s="14" t="n">
        <v>9</v>
      </c>
      <c r="D3291" s="14">
        <f>IF(A3291&gt;LastWeek-364,1,0)</f>
        <v/>
      </c>
      <c r="E3291" s="14">
        <f>C3291^2*D3291</f>
        <v/>
      </c>
    </row>
    <row r="3292">
      <c r="A3292" s="26" t="n">
        <v>45754</v>
      </c>
      <c r="B3292" s="14" t="inlineStr">
        <is>
          <t>NB-0032</t>
        </is>
      </c>
      <c r="C3292" s="14" t="n">
        <v>14</v>
      </c>
      <c r="D3292" s="14">
        <f>IF(A3292&gt;LastWeek-364,1,0)</f>
        <v/>
      </c>
      <c r="E3292" s="14">
        <f>C3292^2*D3292</f>
        <v/>
      </c>
    </row>
    <row r="3293">
      <c r="A3293" s="26" t="n">
        <v>45761</v>
      </c>
      <c r="B3293" s="14" t="inlineStr">
        <is>
          <t>NB-0032</t>
        </is>
      </c>
      <c r="C3293" s="14" t="n">
        <v>12</v>
      </c>
      <c r="D3293" s="14">
        <f>IF(A3293&gt;LastWeek-364,1,0)</f>
        <v/>
      </c>
      <c r="E3293" s="14">
        <f>C3293^2*D3293</f>
        <v/>
      </c>
    </row>
    <row r="3294">
      <c r="A3294" s="26" t="n">
        <v>45768</v>
      </c>
      <c r="B3294" s="14" t="inlineStr">
        <is>
          <t>NB-0032</t>
        </is>
      </c>
      <c r="C3294" s="14" t="n">
        <v>12</v>
      </c>
      <c r="D3294" s="14">
        <f>IF(A3294&gt;LastWeek-364,1,0)</f>
        <v/>
      </c>
      <c r="E3294" s="14">
        <f>C3294^2*D3294</f>
        <v/>
      </c>
    </row>
    <row r="3295">
      <c r="A3295" s="26" t="n">
        <v>45775</v>
      </c>
      <c r="B3295" s="14" t="inlineStr">
        <is>
          <t>NB-0032</t>
        </is>
      </c>
      <c r="C3295" s="14" t="n">
        <v>13</v>
      </c>
      <c r="D3295" s="14">
        <f>IF(A3295&gt;LastWeek-364,1,0)</f>
        <v/>
      </c>
      <c r="E3295" s="14">
        <f>C3295^2*D3295</f>
        <v/>
      </c>
    </row>
    <row r="3296">
      <c r="A3296" s="26" t="n">
        <v>45782</v>
      </c>
      <c r="B3296" s="14" t="inlineStr">
        <is>
          <t>NB-0032</t>
        </is>
      </c>
      <c r="C3296" s="14" t="n">
        <v>13</v>
      </c>
      <c r="D3296" s="14">
        <f>IF(A3296&gt;LastWeek-364,1,0)</f>
        <v/>
      </c>
      <c r="E3296" s="14">
        <f>C3296^2*D3296</f>
        <v/>
      </c>
    </row>
    <row r="3297">
      <c r="A3297" s="26" t="n">
        <v>45789</v>
      </c>
      <c r="B3297" s="14" t="inlineStr">
        <is>
          <t>NB-0032</t>
        </is>
      </c>
      <c r="C3297" s="14" t="n">
        <v>10</v>
      </c>
      <c r="D3297" s="14">
        <f>IF(A3297&gt;LastWeek-364,1,0)</f>
        <v/>
      </c>
      <c r="E3297" s="14">
        <f>C3297^2*D3297</f>
        <v/>
      </c>
    </row>
    <row r="3298">
      <c r="A3298" s="26" t="n">
        <v>45796</v>
      </c>
      <c r="B3298" s="14" t="inlineStr">
        <is>
          <t>NB-0032</t>
        </is>
      </c>
      <c r="C3298" s="14" t="n">
        <v>13</v>
      </c>
      <c r="D3298" s="14">
        <f>IF(A3298&gt;LastWeek-364,1,0)</f>
        <v/>
      </c>
      <c r="E3298" s="14">
        <f>C3298^2*D3298</f>
        <v/>
      </c>
    </row>
    <row r="3299">
      <c r="A3299" s="26" t="n">
        <v>45803</v>
      </c>
      <c r="B3299" s="14" t="inlineStr">
        <is>
          <t>NB-0032</t>
        </is>
      </c>
      <c r="C3299" s="14" t="n">
        <v>12</v>
      </c>
      <c r="D3299" s="14">
        <f>IF(A3299&gt;LastWeek-364,1,0)</f>
        <v/>
      </c>
      <c r="E3299" s="14">
        <f>C3299^2*D3299</f>
        <v/>
      </c>
    </row>
    <row r="3300">
      <c r="A3300" s="26" t="n">
        <v>45810</v>
      </c>
      <c r="B3300" s="14" t="inlineStr">
        <is>
          <t>NB-0032</t>
        </is>
      </c>
      <c r="C3300" s="14" t="n">
        <v>10</v>
      </c>
      <c r="D3300" s="14">
        <f>IF(A3300&gt;LastWeek-364,1,0)</f>
        <v/>
      </c>
      <c r="E3300" s="14">
        <f>C3300^2*D3300</f>
        <v/>
      </c>
    </row>
    <row r="3301">
      <c r="A3301" s="26" t="n">
        <v>45817</v>
      </c>
      <c r="B3301" s="14" t="inlineStr">
        <is>
          <t>NB-0032</t>
        </is>
      </c>
      <c r="C3301" s="14" t="n">
        <v>11</v>
      </c>
      <c r="D3301" s="14">
        <f>IF(A3301&gt;LastWeek-364,1,0)</f>
        <v/>
      </c>
      <c r="E3301" s="14">
        <f>C3301^2*D3301</f>
        <v/>
      </c>
    </row>
    <row r="3302">
      <c r="A3302" s="26" t="n">
        <v>45824</v>
      </c>
      <c r="B3302" s="14" t="inlineStr">
        <is>
          <t>NB-0032</t>
        </is>
      </c>
      <c r="C3302" s="14" t="n">
        <v>14</v>
      </c>
      <c r="D3302" s="14">
        <f>IF(A3302&gt;LastWeek-364,1,0)</f>
        <v/>
      </c>
      <c r="E3302" s="14">
        <f>C3302^2*D3302</f>
        <v/>
      </c>
    </row>
    <row r="3303">
      <c r="A3303" s="26" t="n">
        <v>45831</v>
      </c>
      <c r="B3303" s="14" t="inlineStr">
        <is>
          <t>NB-0032</t>
        </is>
      </c>
      <c r="C3303" s="14" t="n">
        <v>14</v>
      </c>
      <c r="D3303" s="14">
        <f>IF(A3303&gt;LastWeek-364,1,0)</f>
        <v/>
      </c>
      <c r="E3303" s="14">
        <f>C3303^2*D3303</f>
        <v/>
      </c>
    </row>
    <row r="3304">
      <c r="A3304" s="26" t="n">
        <v>45838</v>
      </c>
      <c r="B3304" s="14" t="inlineStr">
        <is>
          <t>NB-0032</t>
        </is>
      </c>
      <c r="C3304" s="14" t="n">
        <v>13</v>
      </c>
      <c r="D3304" s="14">
        <f>IF(A3304&gt;LastWeek-364,1,0)</f>
        <v/>
      </c>
      <c r="E3304" s="14">
        <f>C3304^2*D3304</f>
        <v/>
      </c>
    </row>
    <row r="3305">
      <c r="A3305" s="26" t="n">
        <v>45845</v>
      </c>
      <c r="B3305" s="14" t="inlineStr">
        <is>
          <t>NB-0032</t>
        </is>
      </c>
      <c r="C3305" s="14" t="n">
        <v>10</v>
      </c>
      <c r="D3305" s="14">
        <f>IF(A3305&gt;LastWeek-364,1,0)</f>
        <v/>
      </c>
      <c r="E3305" s="14">
        <f>C3305^2*D3305</f>
        <v/>
      </c>
    </row>
    <row r="3306">
      <c r="A3306" s="26" t="n">
        <v>45852</v>
      </c>
      <c r="B3306" s="14" t="inlineStr">
        <is>
          <t>NB-0032</t>
        </is>
      </c>
      <c r="C3306" s="14" t="n">
        <v>12</v>
      </c>
      <c r="D3306" s="14">
        <f>IF(A3306&gt;LastWeek-364,1,0)</f>
        <v/>
      </c>
      <c r="E3306" s="14">
        <f>C3306^2*D3306</f>
        <v/>
      </c>
    </row>
    <row r="3307">
      <c r="A3307" s="26" t="n">
        <v>45859</v>
      </c>
      <c r="B3307" s="14" t="inlineStr">
        <is>
          <t>NB-0032</t>
        </is>
      </c>
      <c r="C3307" s="14" t="n">
        <v>13</v>
      </c>
      <c r="D3307" s="14">
        <f>IF(A3307&gt;LastWeek-364,1,0)</f>
        <v/>
      </c>
      <c r="E3307" s="14">
        <f>C3307^2*D3307</f>
        <v/>
      </c>
    </row>
    <row r="3308">
      <c r="A3308" s="26" t="n">
        <v>45866</v>
      </c>
      <c r="B3308" s="14" t="inlineStr">
        <is>
          <t>NB-0032</t>
        </is>
      </c>
      <c r="C3308" s="14" t="n">
        <v>13</v>
      </c>
      <c r="D3308" s="14">
        <f>IF(A3308&gt;LastWeek-364,1,0)</f>
        <v/>
      </c>
      <c r="E3308" s="14">
        <f>C3308^2*D3308</f>
        <v/>
      </c>
    </row>
    <row r="3309">
      <c r="A3309" s="26" t="n">
        <v>45873</v>
      </c>
      <c r="B3309" s="14" t="inlineStr">
        <is>
          <t>NB-0032</t>
        </is>
      </c>
      <c r="C3309" s="14" t="n">
        <v>13</v>
      </c>
      <c r="D3309" s="14">
        <f>IF(A3309&gt;LastWeek-364,1,0)</f>
        <v/>
      </c>
      <c r="E3309" s="14">
        <f>C3309^2*D3309</f>
        <v/>
      </c>
    </row>
    <row r="3310">
      <c r="A3310" s="26" t="n">
        <v>45880</v>
      </c>
      <c r="B3310" s="14" t="inlineStr">
        <is>
          <t>NB-0032</t>
        </is>
      </c>
      <c r="C3310" s="14" t="n">
        <v>12</v>
      </c>
      <c r="D3310" s="14">
        <f>IF(A3310&gt;LastWeek-364,1,0)</f>
        <v/>
      </c>
      <c r="E3310" s="14">
        <f>C3310^2*D3310</f>
        <v/>
      </c>
    </row>
    <row r="3311">
      <c r="A3311" s="26" t="n">
        <v>45887</v>
      </c>
      <c r="B3311" s="14" t="inlineStr">
        <is>
          <t>NB-0032</t>
        </is>
      </c>
      <c r="C3311" s="14" t="n">
        <v>11</v>
      </c>
      <c r="D3311" s="14">
        <f>IF(A3311&gt;LastWeek-364,1,0)</f>
        <v/>
      </c>
      <c r="E3311" s="14">
        <f>C3311^2*D3311</f>
        <v/>
      </c>
    </row>
    <row r="3312">
      <c r="A3312" s="26" t="n">
        <v>45894</v>
      </c>
      <c r="B3312" s="14" t="inlineStr">
        <is>
          <t>NB-0032</t>
        </is>
      </c>
      <c r="C3312" s="14" t="n">
        <v>11</v>
      </c>
      <c r="D3312" s="14">
        <f>IF(A3312&gt;LastWeek-364,1,0)</f>
        <v/>
      </c>
      <c r="E3312" s="14">
        <f>C3312^2*D3312</f>
        <v/>
      </c>
    </row>
    <row r="3313">
      <c r="A3313" s="26" t="n">
        <v>45901</v>
      </c>
      <c r="B3313" s="14" t="inlineStr">
        <is>
          <t>NB-0032</t>
        </is>
      </c>
      <c r="C3313" s="14" t="n">
        <v>8</v>
      </c>
      <c r="D3313" s="14">
        <f>IF(A3313&gt;LastWeek-364,1,0)</f>
        <v/>
      </c>
      <c r="E3313" s="14">
        <f>C3313^2*D3313</f>
        <v/>
      </c>
    </row>
    <row r="3314">
      <c r="A3314" s="26" t="n">
        <v>45908</v>
      </c>
      <c r="B3314" s="14" t="inlineStr">
        <is>
          <t>NB-0032</t>
        </is>
      </c>
      <c r="C3314" s="14" t="n">
        <v>12</v>
      </c>
      <c r="D3314" s="14">
        <f>IF(A3314&gt;LastWeek-364,1,0)</f>
        <v/>
      </c>
      <c r="E3314" s="14">
        <f>C3314^2*D3314</f>
        <v/>
      </c>
    </row>
    <row r="3315">
      <c r="A3315" s="26" t="n">
        <v>45915</v>
      </c>
      <c r="B3315" s="14" t="inlineStr">
        <is>
          <t>NB-0032</t>
        </is>
      </c>
      <c r="C3315" s="14" t="n">
        <v>12</v>
      </c>
      <c r="D3315" s="14">
        <f>IF(A3315&gt;LastWeek-364,1,0)</f>
        <v/>
      </c>
      <c r="E3315" s="14">
        <f>C3315^2*D3315</f>
        <v/>
      </c>
    </row>
    <row r="3316">
      <c r="A3316" s="26" t="n">
        <v>45922</v>
      </c>
      <c r="B3316" s="14" t="inlineStr">
        <is>
          <t>NB-0032</t>
        </is>
      </c>
      <c r="C3316" s="14" t="n">
        <v>13</v>
      </c>
      <c r="D3316" s="14">
        <f>IF(A3316&gt;LastWeek-364,1,0)</f>
        <v/>
      </c>
      <c r="E3316" s="14">
        <f>C3316^2*D3316</f>
        <v/>
      </c>
    </row>
    <row r="3317">
      <c r="A3317" s="26" t="n">
        <v>45929</v>
      </c>
      <c r="B3317" s="14" t="inlineStr">
        <is>
          <t>NB-0032</t>
        </is>
      </c>
      <c r="C3317" s="14" t="n">
        <v>9</v>
      </c>
      <c r="D3317" s="14">
        <f>IF(A3317&gt;LastWeek-364,1,0)</f>
        <v/>
      </c>
      <c r="E3317" s="14">
        <f>C3317^2*D3317</f>
        <v/>
      </c>
    </row>
    <row r="3318">
      <c r="A3318" s="26" t="n">
        <v>45936</v>
      </c>
      <c r="B3318" s="14" t="inlineStr">
        <is>
          <t>NB-0032</t>
        </is>
      </c>
      <c r="C3318" s="14" t="n">
        <v>13</v>
      </c>
      <c r="D3318" s="14">
        <f>IF(A3318&gt;LastWeek-364,1,0)</f>
        <v/>
      </c>
      <c r="E3318" s="14">
        <f>C3318^2*D3318</f>
        <v/>
      </c>
    </row>
    <row r="3319">
      <c r="A3319" s="26" t="n">
        <v>45943</v>
      </c>
      <c r="B3319" s="14" t="inlineStr">
        <is>
          <t>NB-0032</t>
        </is>
      </c>
      <c r="C3319" s="14" t="n">
        <v>15</v>
      </c>
      <c r="D3319" s="14">
        <f>IF(A3319&gt;LastWeek-364,1,0)</f>
        <v/>
      </c>
      <c r="E3319" s="14">
        <f>C3319^2*D3319</f>
        <v/>
      </c>
    </row>
    <row r="3320">
      <c r="A3320" s="26" t="n">
        <v>45950</v>
      </c>
      <c r="B3320" s="14" t="inlineStr">
        <is>
          <t>NB-0032</t>
        </is>
      </c>
      <c r="C3320" s="14" t="n">
        <v>12</v>
      </c>
      <c r="D3320" s="14">
        <f>IF(A3320&gt;LastWeek-364,1,0)</f>
        <v/>
      </c>
      <c r="E3320" s="14">
        <f>C3320^2*D3320</f>
        <v/>
      </c>
    </row>
    <row r="3321">
      <c r="A3321" s="26" t="n">
        <v>45957</v>
      </c>
      <c r="B3321" s="14" t="inlineStr">
        <is>
          <t>NB-0032</t>
        </is>
      </c>
      <c r="C3321" s="14" t="n">
        <v>12</v>
      </c>
      <c r="D3321" s="14">
        <f>IF(A3321&gt;LastWeek-364,1,0)</f>
        <v/>
      </c>
      <c r="E3321" s="14">
        <f>C3321^2*D3321</f>
        <v/>
      </c>
    </row>
    <row r="3322">
      <c r="A3322" s="26" t="n">
        <v>45964</v>
      </c>
      <c r="B3322" s="14" t="inlineStr">
        <is>
          <t>NB-0032</t>
        </is>
      </c>
      <c r="C3322" s="14" t="n">
        <v>12</v>
      </c>
      <c r="D3322" s="14">
        <f>IF(A3322&gt;LastWeek-364,1,0)</f>
        <v/>
      </c>
      <c r="E3322" s="14">
        <f>C3322^2*D3322</f>
        <v/>
      </c>
    </row>
    <row r="3323">
      <c r="A3323" s="26" t="n">
        <v>45971</v>
      </c>
      <c r="B3323" s="14" t="inlineStr">
        <is>
          <t>NB-0032</t>
        </is>
      </c>
      <c r="C3323" s="14" t="n">
        <v>15</v>
      </c>
      <c r="D3323" s="14">
        <f>IF(A3323&gt;LastWeek-364,1,0)</f>
        <v/>
      </c>
      <c r="E3323" s="14">
        <f>C3323^2*D3323</f>
        <v/>
      </c>
    </row>
    <row r="3324">
      <c r="A3324" s="26" t="n">
        <v>45978</v>
      </c>
      <c r="B3324" s="14" t="inlineStr">
        <is>
          <t>NB-0032</t>
        </is>
      </c>
      <c r="C3324" s="14" t="n">
        <v>10</v>
      </c>
      <c r="D3324" s="14">
        <f>IF(A3324&gt;LastWeek-364,1,0)</f>
        <v/>
      </c>
      <c r="E3324" s="14">
        <f>C3324^2*D3324</f>
        <v/>
      </c>
    </row>
    <row r="3325">
      <c r="A3325" s="26" t="n">
        <v>45985</v>
      </c>
      <c r="B3325" s="14" t="inlineStr">
        <is>
          <t>NB-0032</t>
        </is>
      </c>
      <c r="C3325" s="14" t="n">
        <v>12</v>
      </c>
      <c r="D3325" s="14">
        <f>IF(A3325&gt;LastWeek-364,1,0)</f>
        <v/>
      </c>
      <c r="E3325" s="14">
        <f>C3325^2*D3325</f>
        <v/>
      </c>
    </row>
    <row r="3326">
      <c r="A3326" s="26" t="n">
        <v>45992</v>
      </c>
      <c r="B3326" s="14" t="inlineStr">
        <is>
          <t>NB-0032</t>
        </is>
      </c>
      <c r="C3326" s="14" t="n">
        <v>11</v>
      </c>
      <c r="D3326" s="14">
        <f>IF(A3326&gt;LastWeek-364,1,0)</f>
        <v/>
      </c>
      <c r="E3326" s="14">
        <f>C3326^2*D3326</f>
        <v/>
      </c>
    </row>
    <row r="3327">
      <c r="A3327" s="26" t="n">
        <v>45999</v>
      </c>
      <c r="B3327" s="14" t="inlineStr">
        <is>
          <t>NB-0032</t>
        </is>
      </c>
      <c r="C3327" s="14" t="n">
        <v>11</v>
      </c>
      <c r="D3327" s="14">
        <f>IF(A3327&gt;LastWeek-364,1,0)</f>
        <v/>
      </c>
      <c r="E3327" s="14">
        <f>C3327^2*D3327</f>
        <v/>
      </c>
    </row>
    <row r="3328">
      <c r="A3328" s="26" t="n">
        <v>46006</v>
      </c>
      <c r="B3328" s="14" t="inlineStr">
        <is>
          <t>NB-0032</t>
        </is>
      </c>
      <c r="C3328" s="14" t="n">
        <v>12</v>
      </c>
      <c r="D3328" s="14">
        <f>IF(A3328&gt;LastWeek-364,1,0)</f>
        <v/>
      </c>
      <c r="E3328" s="14">
        <f>C3328^2*D3328</f>
        <v/>
      </c>
    </row>
    <row r="3329">
      <c r="A3329" s="26" t="n">
        <v>46013</v>
      </c>
      <c r="B3329" s="14" t="inlineStr">
        <is>
          <t>NB-0032</t>
        </is>
      </c>
      <c r="C3329" s="14" t="n">
        <v>14</v>
      </c>
      <c r="D3329" s="14">
        <f>IF(A3329&gt;LastWeek-364,1,0)</f>
        <v/>
      </c>
      <c r="E3329" s="14">
        <f>C3329^2*D3329</f>
        <v/>
      </c>
    </row>
    <row r="3330">
      <c r="A3330" s="26" t="n">
        <v>45292</v>
      </c>
      <c r="B3330" s="14" t="inlineStr">
        <is>
          <t>NB-0033</t>
        </is>
      </c>
      <c r="C3330" s="14" t="n">
        <v>428</v>
      </c>
      <c r="D3330" s="14">
        <f>IF(A3330&gt;LastWeek-364,1,0)</f>
        <v/>
      </c>
      <c r="E3330" s="14">
        <f>C3330^2*D3330</f>
        <v/>
      </c>
    </row>
    <row r="3331">
      <c r="A3331" s="26" t="n">
        <v>45299</v>
      </c>
      <c r="B3331" s="14" t="inlineStr">
        <is>
          <t>NB-0033</t>
        </is>
      </c>
      <c r="C3331" s="14" t="n">
        <v>293</v>
      </c>
      <c r="D3331" s="14">
        <f>IF(A3331&gt;LastWeek-364,1,0)</f>
        <v/>
      </c>
      <c r="E3331" s="14">
        <f>C3331^2*D3331</f>
        <v/>
      </c>
    </row>
    <row r="3332">
      <c r="A3332" s="26" t="n">
        <v>45306</v>
      </c>
      <c r="B3332" s="14" t="inlineStr">
        <is>
          <t>NB-0033</t>
        </is>
      </c>
      <c r="C3332" s="14" t="n">
        <v>209</v>
      </c>
      <c r="D3332" s="14">
        <f>IF(A3332&gt;LastWeek-364,1,0)</f>
        <v/>
      </c>
      <c r="E3332" s="14">
        <f>C3332^2*D3332</f>
        <v/>
      </c>
    </row>
    <row r="3333">
      <c r="A3333" s="26" t="n">
        <v>45313</v>
      </c>
      <c r="B3333" s="14" t="inlineStr">
        <is>
          <t>NB-0033</t>
        </is>
      </c>
      <c r="C3333" s="14" t="n">
        <v>501</v>
      </c>
      <c r="D3333" s="14">
        <f>IF(A3333&gt;LastWeek-364,1,0)</f>
        <v/>
      </c>
      <c r="E3333" s="14">
        <f>C3333^2*D3333</f>
        <v/>
      </c>
    </row>
    <row r="3334">
      <c r="A3334" s="26" t="n">
        <v>45320</v>
      </c>
      <c r="B3334" s="14" t="inlineStr">
        <is>
          <t>NB-0033</t>
        </is>
      </c>
      <c r="C3334" s="14" t="n">
        <v>204</v>
      </c>
      <c r="D3334" s="14">
        <f>IF(A3334&gt;LastWeek-364,1,0)</f>
        <v/>
      </c>
      <c r="E3334" s="14">
        <f>C3334^2*D3334</f>
        <v/>
      </c>
    </row>
    <row r="3335">
      <c r="A3335" s="26" t="n">
        <v>45327</v>
      </c>
      <c r="B3335" s="14" t="inlineStr">
        <is>
          <t>NB-0033</t>
        </is>
      </c>
      <c r="C3335" s="14" t="n">
        <v>190</v>
      </c>
      <c r="D3335" s="14">
        <f>IF(A3335&gt;LastWeek-364,1,0)</f>
        <v/>
      </c>
      <c r="E3335" s="14">
        <f>C3335^2*D3335</f>
        <v/>
      </c>
    </row>
    <row r="3336">
      <c r="A3336" s="26" t="n">
        <v>45334</v>
      </c>
      <c r="B3336" s="14" t="inlineStr">
        <is>
          <t>NB-0033</t>
        </is>
      </c>
      <c r="C3336" s="14" t="n">
        <v>68</v>
      </c>
      <c r="D3336" s="14">
        <f>IF(A3336&gt;LastWeek-364,1,0)</f>
        <v/>
      </c>
      <c r="E3336" s="14">
        <f>C3336^2*D3336</f>
        <v/>
      </c>
    </row>
    <row r="3337">
      <c r="A3337" s="26" t="n">
        <v>45341</v>
      </c>
      <c r="B3337" s="14" t="inlineStr">
        <is>
          <t>NB-0033</t>
        </is>
      </c>
      <c r="C3337" s="14" t="n">
        <v>388</v>
      </c>
      <c r="D3337" s="14">
        <f>IF(A3337&gt;LastWeek-364,1,0)</f>
        <v/>
      </c>
      <c r="E3337" s="14">
        <f>C3337^2*D3337</f>
        <v/>
      </c>
    </row>
    <row r="3338">
      <c r="A3338" s="26" t="n">
        <v>45348</v>
      </c>
      <c r="B3338" s="14" t="inlineStr">
        <is>
          <t>NB-0033</t>
        </is>
      </c>
      <c r="C3338" s="14" t="n">
        <v>344</v>
      </c>
      <c r="D3338" s="14">
        <f>IF(A3338&gt;LastWeek-364,1,0)</f>
        <v/>
      </c>
      <c r="E3338" s="14">
        <f>C3338^2*D3338</f>
        <v/>
      </c>
    </row>
    <row r="3339">
      <c r="A3339" s="26" t="n">
        <v>45355</v>
      </c>
      <c r="B3339" s="14" t="inlineStr">
        <is>
          <t>NB-0033</t>
        </is>
      </c>
      <c r="C3339" s="14" t="n">
        <v>489</v>
      </c>
      <c r="D3339" s="14">
        <f>IF(A3339&gt;LastWeek-364,1,0)</f>
        <v/>
      </c>
      <c r="E3339" s="14">
        <f>C3339^2*D3339</f>
        <v/>
      </c>
    </row>
    <row r="3340">
      <c r="A3340" s="26" t="n">
        <v>45362</v>
      </c>
      <c r="B3340" s="14" t="inlineStr">
        <is>
          <t>NB-0033</t>
        </is>
      </c>
      <c r="C3340" s="14" t="n">
        <v>105</v>
      </c>
      <c r="D3340" s="14">
        <f>IF(A3340&gt;LastWeek-364,1,0)</f>
        <v/>
      </c>
      <c r="E3340" s="14">
        <f>C3340^2*D3340</f>
        <v/>
      </c>
    </row>
    <row r="3341">
      <c r="A3341" s="26" t="n">
        <v>45369</v>
      </c>
      <c r="B3341" s="14" t="inlineStr">
        <is>
          <t>NB-0033</t>
        </is>
      </c>
      <c r="C3341" s="14" t="n">
        <v>389</v>
      </c>
      <c r="D3341" s="14">
        <f>IF(A3341&gt;LastWeek-364,1,0)</f>
        <v/>
      </c>
      <c r="E3341" s="14">
        <f>C3341^2*D3341</f>
        <v/>
      </c>
    </row>
    <row r="3342">
      <c r="A3342" s="26" t="n">
        <v>45376</v>
      </c>
      <c r="B3342" s="14" t="inlineStr">
        <is>
          <t>NB-0033</t>
        </is>
      </c>
      <c r="C3342" s="14" t="n">
        <v>250</v>
      </c>
      <c r="D3342" s="14">
        <f>IF(A3342&gt;LastWeek-364,1,0)</f>
        <v/>
      </c>
      <c r="E3342" s="14">
        <f>C3342^2*D3342</f>
        <v/>
      </c>
    </row>
    <row r="3343">
      <c r="A3343" s="26" t="n">
        <v>45383</v>
      </c>
      <c r="B3343" s="14" t="inlineStr">
        <is>
          <t>NB-0033</t>
        </is>
      </c>
      <c r="C3343" s="14" t="n">
        <v>321</v>
      </c>
      <c r="D3343" s="14">
        <f>IF(A3343&gt;LastWeek-364,1,0)</f>
        <v/>
      </c>
      <c r="E3343" s="14">
        <f>C3343^2*D3343</f>
        <v/>
      </c>
    </row>
    <row r="3344">
      <c r="A3344" s="26" t="n">
        <v>45390</v>
      </c>
      <c r="B3344" s="14" t="inlineStr">
        <is>
          <t>NB-0033</t>
        </is>
      </c>
      <c r="C3344" s="14" t="n">
        <v>78</v>
      </c>
      <c r="D3344" s="14">
        <f>IF(A3344&gt;LastWeek-364,1,0)</f>
        <v/>
      </c>
      <c r="E3344" s="14">
        <f>C3344^2*D3344</f>
        <v/>
      </c>
    </row>
    <row r="3345">
      <c r="A3345" s="26" t="n">
        <v>45397</v>
      </c>
      <c r="B3345" s="14" t="inlineStr">
        <is>
          <t>NB-0033</t>
        </is>
      </c>
      <c r="C3345" s="14" t="n">
        <v>383</v>
      </c>
      <c r="D3345" s="14">
        <f>IF(A3345&gt;LastWeek-364,1,0)</f>
        <v/>
      </c>
      <c r="E3345" s="14">
        <f>C3345^2*D3345</f>
        <v/>
      </c>
    </row>
    <row r="3346">
      <c r="A3346" s="26" t="n">
        <v>45404</v>
      </c>
      <c r="B3346" s="14" t="inlineStr">
        <is>
          <t>NB-0033</t>
        </is>
      </c>
      <c r="C3346" s="14" t="n">
        <v>315</v>
      </c>
      <c r="D3346" s="14">
        <f>IF(A3346&gt;LastWeek-364,1,0)</f>
        <v/>
      </c>
      <c r="E3346" s="14">
        <f>C3346^2*D3346</f>
        <v/>
      </c>
    </row>
    <row r="3347">
      <c r="A3347" s="26" t="n">
        <v>45411</v>
      </c>
      <c r="B3347" s="14" t="inlineStr">
        <is>
          <t>NB-0033</t>
        </is>
      </c>
      <c r="C3347" s="14" t="n">
        <v>233</v>
      </c>
      <c r="D3347" s="14">
        <f>IF(A3347&gt;LastWeek-364,1,0)</f>
        <v/>
      </c>
      <c r="E3347" s="14">
        <f>C3347^2*D3347</f>
        <v/>
      </c>
    </row>
    <row r="3348">
      <c r="A3348" s="26" t="n">
        <v>45418</v>
      </c>
      <c r="B3348" s="14" t="inlineStr">
        <is>
          <t>NB-0033</t>
        </is>
      </c>
      <c r="C3348" s="14" t="n">
        <v>298</v>
      </c>
      <c r="D3348" s="14">
        <f>IF(A3348&gt;LastWeek-364,1,0)</f>
        <v/>
      </c>
      <c r="E3348" s="14">
        <f>C3348^2*D3348</f>
        <v/>
      </c>
    </row>
    <row r="3349">
      <c r="A3349" s="26" t="n">
        <v>45425</v>
      </c>
      <c r="B3349" s="14" t="inlineStr">
        <is>
          <t>NB-0033</t>
        </is>
      </c>
      <c r="C3349" s="14" t="n">
        <v>161</v>
      </c>
      <c r="D3349" s="14">
        <f>IF(A3349&gt;LastWeek-364,1,0)</f>
        <v/>
      </c>
      <c r="E3349" s="14">
        <f>C3349^2*D3349</f>
        <v/>
      </c>
    </row>
    <row r="3350">
      <c r="A3350" s="26" t="n">
        <v>45432</v>
      </c>
      <c r="B3350" s="14" t="inlineStr">
        <is>
          <t>NB-0033</t>
        </is>
      </c>
      <c r="C3350" s="14" t="n">
        <v>179</v>
      </c>
      <c r="D3350" s="14">
        <f>IF(A3350&gt;LastWeek-364,1,0)</f>
        <v/>
      </c>
      <c r="E3350" s="14">
        <f>C3350^2*D3350</f>
        <v/>
      </c>
    </row>
    <row r="3351">
      <c r="A3351" s="26" t="n">
        <v>45439</v>
      </c>
      <c r="B3351" s="14" t="inlineStr">
        <is>
          <t>NB-0033</t>
        </is>
      </c>
      <c r="C3351" s="14" t="n">
        <v>189</v>
      </c>
      <c r="D3351" s="14">
        <f>IF(A3351&gt;LastWeek-364,1,0)</f>
        <v/>
      </c>
      <c r="E3351" s="14">
        <f>C3351^2*D3351</f>
        <v/>
      </c>
    </row>
    <row r="3352">
      <c r="A3352" s="26" t="n">
        <v>45446</v>
      </c>
      <c r="B3352" s="14" t="inlineStr">
        <is>
          <t>NB-0033</t>
        </is>
      </c>
      <c r="C3352" s="14" t="n">
        <v>56</v>
      </c>
      <c r="D3352" s="14">
        <f>IF(A3352&gt;LastWeek-364,1,0)</f>
        <v/>
      </c>
      <c r="E3352" s="14">
        <f>C3352^2*D3352</f>
        <v/>
      </c>
    </row>
    <row r="3353">
      <c r="A3353" s="26" t="n">
        <v>45453</v>
      </c>
      <c r="B3353" s="14" t="inlineStr">
        <is>
          <t>NB-0033</t>
        </is>
      </c>
      <c r="C3353" s="14" t="n">
        <v>315</v>
      </c>
      <c r="D3353" s="14">
        <f>IF(A3353&gt;LastWeek-364,1,0)</f>
        <v/>
      </c>
      <c r="E3353" s="14">
        <f>C3353^2*D3353</f>
        <v/>
      </c>
    </row>
    <row r="3354">
      <c r="A3354" s="26" t="n">
        <v>45460</v>
      </c>
      <c r="B3354" s="14" t="inlineStr">
        <is>
          <t>NB-0033</t>
        </is>
      </c>
      <c r="C3354" s="14" t="n">
        <v>346</v>
      </c>
      <c r="D3354" s="14">
        <f>IF(A3354&gt;LastWeek-364,1,0)</f>
        <v/>
      </c>
      <c r="E3354" s="14">
        <f>C3354^2*D3354</f>
        <v/>
      </c>
    </row>
    <row r="3355">
      <c r="A3355" s="26" t="n">
        <v>45467</v>
      </c>
      <c r="B3355" s="14" t="inlineStr">
        <is>
          <t>NB-0033</t>
        </is>
      </c>
      <c r="C3355" s="14" t="n">
        <v>166</v>
      </c>
      <c r="D3355" s="14">
        <f>IF(A3355&gt;LastWeek-364,1,0)</f>
        <v/>
      </c>
      <c r="E3355" s="14">
        <f>C3355^2*D3355</f>
        <v/>
      </c>
    </row>
    <row r="3356">
      <c r="A3356" s="26" t="n">
        <v>45474</v>
      </c>
      <c r="B3356" s="14" t="inlineStr">
        <is>
          <t>NB-0033</t>
        </is>
      </c>
      <c r="C3356" s="14" t="n">
        <v>266</v>
      </c>
      <c r="D3356" s="14">
        <f>IF(A3356&gt;LastWeek-364,1,0)</f>
        <v/>
      </c>
      <c r="E3356" s="14">
        <f>C3356^2*D3356</f>
        <v/>
      </c>
    </row>
    <row r="3357">
      <c r="A3357" s="26" t="n">
        <v>45481</v>
      </c>
      <c r="B3357" s="14" t="inlineStr">
        <is>
          <t>NB-0033</t>
        </is>
      </c>
      <c r="C3357" s="14" t="n">
        <v>207</v>
      </c>
      <c r="D3357" s="14">
        <f>IF(A3357&gt;LastWeek-364,1,0)</f>
        <v/>
      </c>
      <c r="E3357" s="14">
        <f>C3357^2*D3357</f>
        <v/>
      </c>
    </row>
    <row r="3358">
      <c r="A3358" s="26" t="n">
        <v>45488</v>
      </c>
      <c r="B3358" s="14" t="inlineStr">
        <is>
          <t>NB-0033</t>
        </is>
      </c>
      <c r="C3358" s="14" t="n">
        <v>265</v>
      </c>
      <c r="D3358" s="14">
        <f>IF(A3358&gt;LastWeek-364,1,0)</f>
        <v/>
      </c>
      <c r="E3358" s="14">
        <f>C3358^2*D3358</f>
        <v/>
      </c>
    </row>
    <row r="3359">
      <c r="A3359" s="26" t="n">
        <v>45495</v>
      </c>
      <c r="B3359" s="14" t="inlineStr">
        <is>
          <t>NB-0033</t>
        </is>
      </c>
      <c r="C3359" s="14" t="n">
        <v>174</v>
      </c>
      <c r="D3359" s="14">
        <f>IF(A3359&gt;LastWeek-364,1,0)</f>
        <v/>
      </c>
      <c r="E3359" s="14">
        <f>C3359^2*D3359</f>
        <v/>
      </c>
    </row>
    <row r="3360">
      <c r="A3360" s="26" t="n">
        <v>45502</v>
      </c>
      <c r="B3360" s="14" t="inlineStr">
        <is>
          <t>NB-0033</t>
        </is>
      </c>
      <c r="C3360" s="14" t="n">
        <v>150</v>
      </c>
      <c r="D3360" s="14">
        <f>IF(A3360&gt;LastWeek-364,1,0)</f>
        <v/>
      </c>
      <c r="E3360" s="14">
        <f>C3360^2*D3360</f>
        <v/>
      </c>
    </row>
    <row r="3361">
      <c r="A3361" s="26" t="n">
        <v>45509</v>
      </c>
      <c r="B3361" s="14" t="inlineStr">
        <is>
          <t>NB-0033</t>
        </is>
      </c>
      <c r="C3361" s="14" t="n">
        <v>338</v>
      </c>
      <c r="D3361" s="14">
        <f>IF(A3361&gt;LastWeek-364,1,0)</f>
        <v/>
      </c>
      <c r="E3361" s="14">
        <f>C3361^2*D3361</f>
        <v/>
      </c>
    </row>
    <row r="3362">
      <c r="A3362" s="26" t="n">
        <v>45516</v>
      </c>
      <c r="B3362" s="14" t="inlineStr">
        <is>
          <t>NB-0033</t>
        </is>
      </c>
      <c r="C3362" s="14" t="n">
        <v>232</v>
      </c>
      <c r="D3362" s="14">
        <f>IF(A3362&gt;LastWeek-364,1,0)</f>
        <v/>
      </c>
      <c r="E3362" s="14">
        <f>C3362^2*D3362</f>
        <v/>
      </c>
    </row>
    <row r="3363">
      <c r="A3363" s="26" t="n">
        <v>45523</v>
      </c>
      <c r="B3363" s="14" t="inlineStr">
        <is>
          <t>NB-0033</t>
        </is>
      </c>
      <c r="C3363" s="14" t="n">
        <v>437</v>
      </c>
      <c r="D3363" s="14">
        <f>IF(A3363&gt;LastWeek-364,1,0)</f>
        <v/>
      </c>
      <c r="E3363" s="14">
        <f>C3363^2*D3363</f>
        <v/>
      </c>
    </row>
    <row r="3364">
      <c r="A3364" s="26" t="n">
        <v>45530</v>
      </c>
      <c r="B3364" s="14" t="inlineStr">
        <is>
          <t>NB-0033</t>
        </is>
      </c>
      <c r="C3364" s="14" t="n">
        <v>246</v>
      </c>
      <c r="D3364" s="14">
        <f>IF(A3364&gt;LastWeek-364,1,0)</f>
        <v/>
      </c>
      <c r="E3364" s="14">
        <f>C3364^2*D3364</f>
        <v/>
      </c>
    </row>
    <row r="3365">
      <c r="A3365" s="26" t="n">
        <v>45537</v>
      </c>
      <c r="B3365" s="14" t="inlineStr">
        <is>
          <t>NB-0033</t>
        </is>
      </c>
      <c r="C3365" s="14" t="n">
        <v>151</v>
      </c>
      <c r="D3365" s="14">
        <f>IF(A3365&gt;LastWeek-364,1,0)</f>
        <v/>
      </c>
      <c r="E3365" s="14">
        <f>C3365^2*D3365</f>
        <v/>
      </c>
    </row>
    <row r="3366">
      <c r="A3366" s="26" t="n">
        <v>45544</v>
      </c>
      <c r="B3366" s="14" t="inlineStr">
        <is>
          <t>NB-0033</t>
        </is>
      </c>
      <c r="C3366" s="14" t="n">
        <v>368</v>
      </c>
      <c r="D3366" s="14">
        <f>IF(A3366&gt;LastWeek-364,1,0)</f>
        <v/>
      </c>
      <c r="E3366" s="14">
        <f>C3366^2*D3366</f>
        <v/>
      </c>
    </row>
    <row r="3367">
      <c r="A3367" s="26" t="n">
        <v>45551</v>
      </c>
      <c r="B3367" s="14" t="inlineStr">
        <is>
          <t>NB-0033</t>
        </is>
      </c>
      <c r="C3367" s="14" t="n">
        <v>311</v>
      </c>
      <c r="D3367" s="14">
        <f>IF(A3367&gt;LastWeek-364,1,0)</f>
        <v/>
      </c>
      <c r="E3367" s="14">
        <f>C3367^2*D3367</f>
        <v/>
      </c>
    </row>
    <row r="3368">
      <c r="A3368" s="26" t="n">
        <v>45558</v>
      </c>
      <c r="B3368" s="14" t="inlineStr">
        <is>
          <t>NB-0033</t>
        </is>
      </c>
      <c r="C3368" s="14" t="n">
        <v>323</v>
      </c>
      <c r="D3368" s="14">
        <f>IF(A3368&gt;LastWeek-364,1,0)</f>
        <v/>
      </c>
      <c r="E3368" s="14">
        <f>C3368^2*D3368</f>
        <v/>
      </c>
    </row>
    <row r="3369">
      <c r="A3369" s="26" t="n">
        <v>45565</v>
      </c>
      <c r="B3369" s="14" t="inlineStr">
        <is>
          <t>NB-0033</t>
        </is>
      </c>
      <c r="C3369" s="14" t="n">
        <v>374</v>
      </c>
      <c r="D3369" s="14">
        <f>IF(A3369&gt;LastWeek-364,1,0)</f>
        <v/>
      </c>
      <c r="E3369" s="14">
        <f>C3369^2*D3369</f>
        <v/>
      </c>
    </row>
    <row r="3370">
      <c r="A3370" s="26" t="n">
        <v>45572</v>
      </c>
      <c r="B3370" s="14" t="inlineStr">
        <is>
          <t>NB-0033</t>
        </is>
      </c>
      <c r="C3370" s="14" t="n">
        <v>186</v>
      </c>
      <c r="D3370" s="14">
        <f>IF(A3370&gt;LastWeek-364,1,0)</f>
        <v/>
      </c>
      <c r="E3370" s="14">
        <f>C3370^2*D3370</f>
        <v/>
      </c>
    </row>
    <row r="3371">
      <c r="A3371" s="26" t="n">
        <v>45579</v>
      </c>
      <c r="B3371" s="14" t="inlineStr">
        <is>
          <t>NB-0033</t>
        </is>
      </c>
      <c r="C3371" s="14" t="n">
        <v>242</v>
      </c>
      <c r="D3371" s="14">
        <f>IF(A3371&gt;LastWeek-364,1,0)</f>
        <v/>
      </c>
      <c r="E3371" s="14">
        <f>C3371^2*D3371</f>
        <v/>
      </c>
    </row>
    <row r="3372">
      <c r="A3372" s="26" t="n">
        <v>45586</v>
      </c>
      <c r="B3372" s="14" t="inlineStr">
        <is>
          <t>NB-0033</t>
        </is>
      </c>
      <c r="C3372" s="14" t="n">
        <v>240</v>
      </c>
      <c r="D3372" s="14">
        <f>IF(A3372&gt;LastWeek-364,1,0)</f>
        <v/>
      </c>
      <c r="E3372" s="14">
        <f>C3372^2*D3372</f>
        <v/>
      </c>
    </row>
    <row r="3373">
      <c r="A3373" s="26" t="n">
        <v>45593</v>
      </c>
      <c r="B3373" s="14" t="inlineStr">
        <is>
          <t>NB-0033</t>
        </is>
      </c>
      <c r="C3373" s="14" t="n">
        <v>123</v>
      </c>
      <c r="D3373" s="14">
        <f>IF(A3373&gt;LastWeek-364,1,0)</f>
        <v/>
      </c>
      <c r="E3373" s="14">
        <f>C3373^2*D3373</f>
        <v/>
      </c>
    </row>
    <row r="3374">
      <c r="A3374" s="26" t="n">
        <v>45600</v>
      </c>
      <c r="B3374" s="14" t="inlineStr">
        <is>
          <t>NB-0033</t>
        </is>
      </c>
      <c r="C3374" s="14" t="n">
        <v>234</v>
      </c>
      <c r="D3374" s="14">
        <f>IF(A3374&gt;LastWeek-364,1,0)</f>
        <v/>
      </c>
      <c r="E3374" s="14">
        <f>C3374^2*D3374</f>
        <v/>
      </c>
    </row>
    <row r="3375">
      <c r="A3375" s="26" t="n">
        <v>45607</v>
      </c>
      <c r="B3375" s="14" t="inlineStr">
        <is>
          <t>NB-0033</t>
        </is>
      </c>
      <c r="C3375" s="14" t="n">
        <v>409</v>
      </c>
      <c r="D3375" s="14">
        <f>IF(A3375&gt;LastWeek-364,1,0)</f>
        <v/>
      </c>
      <c r="E3375" s="14">
        <f>C3375^2*D3375</f>
        <v/>
      </c>
    </row>
    <row r="3376">
      <c r="A3376" s="26" t="n">
        <v>45614</v>
      </c>
      <c r="B3376" s="14" t="inlineStr">
        <is>
          <t>NB-0033</t>
        </is>
      </c>
      <c r="C3376" s="14" t="n">
        <v>292</v>
      </c>
      <c r="D3376" s="14">
        <f>IF(A3376&gt;LastWeek-364,1,0)</f>
        <v/>
      </c>
      <c r="E3376" s="14">
        <f>C3376^2*D3376</f>
        <v/>
      </c>
    </row>
    <row r="3377">
      <c r="A3377" s="26" t="n">
        <v>45621</v>
      </c>
      <c r="B3377" s="14" t="inlineStr">
        <is>
          <t>NB-0033</t>
        </is>
      </c>
      <c r="C3377" s="14" t="n">
        <v>120</v>
      </c>
      <c r="D3377" s="14">
        <f>IF(A3377&gt;LastWeek-364,1,0)</f>
        <v/>
      </c>
      <c r="E3377" s="14">
        <f>C3377^2*D3377</f>
        <v/>
      </c>
    </row>
    <row r="3378">
      <c r="A3378" s="26" t="n">
        <v>45628</v>
      </c>
      <c r="B3378" s="14" t="inlineStr">
        <is>
          <t>NB-0033</t>
        </is>
      </c>
      <c r="C3378" s="14" t="n">
        <v>98</v>
      </c>
      <c r="D3378" s="14">
        <f>IF(A3378&gt;LastWeek-364,1,0)</f>
        <v/>
      </c>
      <c r="E3378" s="14">
        <f>C3378^2*D3378</f>
        <v/>
      </c>
    </row>
    <row r="3379">
      <c r="A3379" s="26" t="n">
        <v>45635</v>
      </c>
      <c r="B3379" s="14" t="inlineStr">
        <is>
          <t>NB-0033</t>
        </is>
      </c>
      <c r="C3379" s="14" t="n">
        <v>456</v>
      </c>
      <c r="D3379" s="14">
        <f>IF(A3379&gt;LastWeek-364,1,0)</f>
        <v/>
      </c>
      <c r="E3379" s="14">
        <f>C3379^2*D3379</f>
        <v/>
      </c>
    </row>
    <row r="3380">
      <c r="A3380" s="26" t="n">
        <v>45642</v>
      </c>
      <c r="B3380" s="14" t="inlineStr">
        <is>
          <t>NB-0033</t>
        </is>
      </c>
      <c r="C3380" s="14" t="n">
        <v>263</v>
      </c>
      <c r="D3380" s="14">
        <f>IF(A3380&gt;LastWeek-364,1,0)</f>
        <v/>
      </c>
      <c r="E3380" s="14">
        <f>C3380^2*D3380</f>
        <v/>
      </c>
    </row>
    <row r="3381">
      <c r="A3381" s="26" t="n">
        <v>45649</v>
      </c>
      <c r="B3381" s="14" t="inlineStr">
        <is>
          <t>NB-0033</t>
        </is>
      </c>
      <c r="C3381" s="14" t="n">
        <v>201</v>
      </c>
      <c r="D3381" s="14">
        <f>IF(A3381&gt;LastWeek-364,1,0)</f>
        <v/>
      </c>
      <c r="E3381" s="14">
        <f>C3381^2*D3381</f>
        <v/>
      </c>
    </row>
    <row r="3382">
      <c r="A3382" s="26" t="n">
        <v>45656</v>
      </c>
      <c r="B3382" s="14" t="inlineStr">
        <is>
          <t>NB-0033</t>
        </is>
      </c>
      <c r="C3382" s="14" t="n">
        <v>244</v>
      </c>
      <c r="D3382" s="14">
        <f>IF(A3382&gt;LastWeek-364,1,0)</f>
        <v/>
      </c>
      <c r="E3382" s="14">
        <f>C3382^2*D3382</f>
        <v/>
      </c>
    </row>
    <row r="3383">
      <c r="A3383" s="26" t="n">
        <v>45663</v>
      </c>
      <c r="B3383" s="14" t="inlineStr">
        <is>
          <t>NB-0033</t>
        </is>
      </c>
      <c r="C3383" s="14" t="n">
        <v>109</v>
      </c>
      <c r="D3383" s="14">
        <f>IF(A3383&gt;LastWeek-364,1,0)</f>
        <v/>
      </c>
      <c r="E3383" s="14">
        <f>C3383^2*D3383</f>
        <v/>
      </c>
    </row>
    <row r="3384">
      <c r="A3384" s="26" t="n">
        <v>45670</v>
      </c>
      <c r="B3384" s="14" t="inlineStr">
        <is>
          <t>NB-0033</t>
        </is>
      </c>
      <c r="C3384" s="14" t="n">
        <v>436</v>
      </c>
      <c r="D3384" s="14">
        <f>IF(A3384&gt;LastWeek-364,1,0)</f>
        <v/>
      </c>
      <c r="E3384" s="14">
        <f>C3384^2*D3384</f>
        <v/>
      </c>
    </row>
    <row r="3385">
      <c r="A3385" s="26" t="n">
        <v>45677</v>
      </c>
      <c r="B3385" s="14" t="inlineStr">
        <is>
          <t>NB-0033</t>
        </is>
      </c>
      <c r="C3385" s="14" t="n">
        <v>232</v>
      </c>
      <c r="D3385" s="14">
        <f>IF(A3385&gt;LastWeek-364,1,0)</f>
        <v/>
      </c>
      <c r="E3385" s="14">
        <f>C3385^2*D3385</f>
        <v/>
      </c>
    </row>
    <row r="3386">
      <c r="A3386" s="26" t="n">
        <v>45684</v>
      </c>
      <c r="B3386" s="14" t="inlineStr">
        <is>
          <t>NB-0033</t>
        </is>
      </c>
      <c r="C3386" s="14" t="n">
        <v>431</v>
      </c>
      <c r="D3386" s="14">
        <f>IF(A3386&gt;LastWeek-364,1,0)</f>
        <v/>
      </c>
      <c r="E3386" s="14">
        <f>C3386^2*D3386</f>
        <v/>
      </c>
    </row>
    <row r="3387">
      <c r="A3387" s="26" t="n">
        <v>45691</v>
      </c>
      <c r="B3387" s="14" t="inlineStr">
        <is>
          <t>NB-0033</t>
        </is>
      </c>
      <c r="C3387" s="14" t="n">
        <v>282</v>
      </c>
      <c r="D3387" s="14">
        <f>IF(A3387&gt;LastWeek-364,1,0)</f>
        <v/>
      </c>
      <c r="E3387" s="14">
        <f>C3387^2*D3387</f>
        <v/>
      </c>
    </row>
    <row r="3388">
      <c r="A3388" s="26" t="n">
        <v>45698</v>
      </c>
      <c r="B3388" s="14" t="inlineStr">
        <is>
          <t>NB-0033</t>
        </is>
      </c>
      <c r="C3388" s="14" t="n">
        <v>437</v>
      </c>
      <c r="D3388" s="14">
        <f>IF(A3388&gt;LastWeek-364,1,0)</f>
        <v/>
      </c>
      <c r="E3388" s="14">
        <f>C3388^2*D3388</f>
        <v/>
      </c>
    </row>
    <row r="3389">
      <c r="A3389" s="26" t="n">
        <v>45705</v>
      </c>
      <c r="B3389" s="14" t="inlineStr">
        <is>
          <t>NB-0033</t>
        </is>
      </c>
      <c r="C3389" s="14" t="n">
        <v>304</v>
      </c>
      <c r="D3389" s="14">
        <f>IF(A3389&gt;LastWeek-364,1,0)</f>
        <v/>
      </c>
      <c r="E3389" s="14">
        <f>C3389^2*D3389</f>
        <v/>
      </c>
    </row>
    <row r="3390">
      <c r="A3390" s="26" t="n">
        <v>45712</v>
      </c>
      <c r="B3390" s="14" t="inlineStr">
        <is>
          <t>NB-0033</t>
        </is>
      </c>
      <c r="C3390" s="14" t="n">
        <v>370</v>
      </c>
      <c r="D3390" s="14">
        <f>IF(A3390&gt;LastWeek-364,1,0)</f>
        <v/>
      </c>
      <c r="E3390" s="14">
        <f>C3390^2*D3390</f>
        <v/>
      </c>
    </row>
    <row r="3391">
      <c r="A3391" s="26" t="n">
        <v>45719</v>
      </c>
      <c r="B3391" s="14" t="inlineStr">
        <is>
          <t>NB-0033</t>
        </is>
      </c>
      <c r="C3391" s="14" t="n">
        <v>354</v>
      </c>
      <c r="D3391" s="14">
        <f>IF(A3391&gt;LastWeek-364,1,0)</f>
        <v/>
      </c>
      <c r="E3391" s="14">
        <f>C3391^2*D3391</f>
        <v/>
      </c>
    </row>
    <row r="3392">
      <c r="A3392" s="26" t="n">
        <v>45726</v>
      </c>
      <c r="B3392" s="14" t="inlineStr">
        <is>
          <t>NB-0033</t>
        </is>
      </c>
      <c r="C3392" s="14" t="n">
        <v>342</v>
      </c>
      <c r="D3392" s="14">
        <f>IF(A3392&gt;LastWeek-364,1,0)</f>
        <v/>
      </c>
      <c r="E3392" s="14">
        <f>C3392^2*D3392</f>
        <v/>
      </c>
    </row>
    <row r="3393">
      <c r="A3393" s="26" t="n">
        <v>45733</v>
      </c>
      <c r="B3393" s="14" t="inlineStr">
        <is>
          <t>NB-0033</t>
        </is>
      </c>
      <c r="C3393" s="14" t="n">
        <v>310</v>
      </c>
      <c r="D3393" s="14">
        <f>IF(A3393&gt;LastWeek-364,1,0)</f>
        <v/>
      </c>
      <c r="E3393" s="14">
        <f>C3393^2*D3393</f>
        <v/>
      </c>
    </row>
    <row r="3394">
      <c r="A3394" s="26" t="n">
        <v>45740</v>
      </c>
      <c r="B3394" s="14" t="inlineStr">
        <is>
          <t>NB-0033</t>
        </is>
      </c>
      <c r="C3394" s="14" t="n">
        <v>244</v>
      </c>
      <c r="D3394" s="14">
        <f>IF(A3394&gt;LastWeek-364,1,0)</f>
        <v/>
      </c>
      <c r="E3394" s="14">
        <f>C3394^2*D3394</f>
        <v/>
      </c>
    </row>
    <row r="3395">
      <c r="A3395" s="26" t="n">
        <v>45747</v>
      </c>
      <c r="B3395" s="14" t="inlineStr">
        <is>
          <t>NB-0033</t>
        </is>
      </c>
      <c r="C3395" s="14" t="n">
        <v>480</v>
      </c>
      <c r="D3395" s="14">
        <f>IF(A3395&gt;LastWeek-364,1,0)</f>
        <v/>
      </c>
      <c r="E3395" s="14">
        <f>C3395^2*D3395</f>
        <v/>
      </c>
    </row>
    <row r="3396">
      <c r="A3396" s="26" t="n">
        <v>45754</v>
      </c>
      <c r="B3396" s="14" t="inlineStr">
        <is>
          <t>NB-0033</t>
        </is>
      </c>
      <c r="C3396" s="14" t="n">
        <v>168</v>
      </c>
      <c r="D3396" s="14">
        <f>IF(A3396&gt;LastWeek-364,1,0)</f>
        <v/>
      </c>
      <c r="E3396" s="14">
        <f>C3396^2*D3396</f>
        <v/>
      </c>
    </row>
    <row r="3397">
      <c r="A3397" s="26" t="n">
        <v>45761</v>
      </c>
      <c r="B3397" s="14" t="inlineStr">
        <is>
          <t>NB-0033</t>
        </is>
      </c>
      <c r="C3397" s="14" t="n">
        <v>267</v>
      </c>
      <c r="D3397" s="14">
        <f>IF(A3397&gt;LastWeek-364,1,0)</f>
        <v/>
      </c>
      <c r="E3397" s="14">
        <f>C3397^2*D3397</f>
        <v/>
      </c>
    </row>
    <row r="3398">
      <c r="A3398" s="26" t="n">
        <v>45768</v>
      </c>
      <c r="B3398" s="14" t="inlineStr">
        <is>
          <t>NB-0033</t>
        </is>
      </c>
      <c r="C3398" s="14" t="n">
        <v>267</v>
      </c>
      <c r="D3398" s="14">
        <f>IF(A3398&gt;LastWeek-364,1,0)</f>
        <v/>
      </c>
      <c r="E3398" s="14">
        <f>C3398^2*D3398</f>
        <v/>
      </c>
    </row>
    <row r="3399">
      <c r="A3399" s="26" t="n">
        <v>45775</v>
      </c>
      <c r="B3399" s="14" t="inlineStr">
        <is>
          <t>NB-0033</t>
        </is>
      </c>
      <c r="C3399" s="14" t="n">
        <v>307</v>
      </c>
      <c r="D3399" s="14">
        <f>IF(A3399&gt;LastWeek-364,1,0)</f>
        <v/>
      </c>
      <c r="E3399" s="14">
        <f>C3399^2*D3399</f>
        <v/>
      </c>
    </row>
    <row r="3400">
      <c r="A3400" s="26" t="n">
        <v>45782</v>
      </c>
      <c r="B3400" s="14" t="inlineStr">
        <is>
          <t>NB-0033</t>
        </is>
      </c>
      <c r="C3400" s="14" t="n">
        <v>216</v>
      </c>
      <c r="D3400" s="14">
        <f>IF(A3400&gt;LastWeek-364,1,0)</f>
        <v/>
      </c>
      <c r="E3400" s="14">
        <f>C3400^2*D3400</f>
        <v/>
      </c>
    </row>
    <row r="3401">
      <c r="A3401" s="26" t="n">
        <v>45789</v>
      </c>
      <c r="B3401" s="14" t="inlineStr">
        <is>
          <t>NB-0033</t>
        </is>
      </c>
      <c r="C3401" s="14" t="n">
        <v>295</v>
      </c>
      <c r="D3401" s="14">
        <f>IF(A3401&gt;LastWeek-364,1,0)</f>
        <v/>
      </c>
      <c r="E3401" s="14">
        <f>C3401^2*D3401</f>
        <v/>
      </c>
    </row>
    <row r="3402">
      <c r="A3402" s="26" t="n">
        <v>45796</v>
      </c>
      <c r="B3402" s="14" t="inlineStr">
        <is>
          <t>NB-0033</t>
        </is>
      </c>
      <c r="C3402" s="14" t="n">
        <v>243</v>
      </c>
      <c r="D3402" s="14">
        <f>IF(A3402&gt;LastWeek-364,1,0)</f>
        <v/>
      </c>
      <c r="E3402" s="14">
        <f>C3402^2*D3402</f>
        <v/>
      </c>
    </row>
    <row r="3403">
      <c r="A3403" s="26" t="n">
        <v>45803</v>
      </c>
      <c r="B3403" s="14" t="inlineStr">
        <is>
          <t>NB-0033</t>
        </is>
      </c>
      <c r="C3403" s="14" t="n">
        <v>92</v>
      </c>
      <c r="D3403" s="14">
        <f>IF(A3403&gt;LastWeek-364,1,0)</f>
        <v/>
      </c>
      <c r="E3403" s="14">
        <f>C3403^2*D3403</f>
        <v/>
      </c>
    </row>
    <row r="3404">
      <c r="A3404" s="26" t="n">
        <v>45810</v>
      </c>
      <c r="B3404" s="14" t="inlineStr">
        <is>
          <t>NB-0033</t>
        </is>
      </c>
      <c r="C3404" s="14" t="n">
        <v>260</v>
      </c>
      <c r="D3404" s="14">
        <f>IF(A3404&gt;LastWeek-364,1,0)</f>
        <v/>
      </c>
      <c r="E3404" s="14">
        <f>C3404^2*D3404</f>
        <v/>
      </c>
    </row>
    <row r="3405">
      <c r="A3405" s="26" t="n">
        <v>45817</v>
      </c>
      <c r="B3405" s="14" t="inlineStr">
        <is>
          <t>NB-0033</t>
        </is>
      </c>
      <c r="C3405" s="14" t="n">
        <v>142</v>
      </c>
      <c r="D3405" s="14">
        <f>IF(A3405&gt;LastWeek-364,1,0)</f>
        <v/>
      </c>
      <c r="E3405" s="14">
        <f>C3405^2*D3405</f>
        <v/>
      </c>
    </row>
    <row r="3406">
      <c r="A3406" s="26" t="n">
        <v>45824</v>
      </c>
      <c r="B3406" s="14" t="inlineStr">
        <is>
          <t>NB-0033</t>
        </is>
      </c>
      <c r="C3406" s="14" t="n">
        <v>75</v>
      </c>
      <c r="D3406" s="14">
        <f>IF(A3406&gt;LastWeek-364,1,0)</f>
        <v/>
      </c>
      <c r="E3406" s="14">
        <f>C3406^2*D3406</f>
        <v/>
      </c>
    </row>
    <row r="3407">
      <c r="A3407" s="26" t="n">
        <v>45831</v>
      </c>
      <c r="B3407" s="14" t="inlineStr">
        <is>
          <t>NB-0033</t>
        </is>
      </c>
      <c r="C3407" s="14" t="n">
        <v>273</v>
      </c>
      <c r="D3407" s="14">
        <f>IF(A3407&gt;LastWeek-364,1,0)</f>
        <v/>
      </c>
      <c r="E3407" s="14">
        <f>C3407^2*D3407</f>
        <v/>
      </c>
    </row>
    <row r="3408">
      <c r="A3408" s="26" t="n">
        <v>45838</v>
      </c>
      <c r="B3408" s="14" t="inlineStr">
        <is>
          <t>NB-0033</t>
        </is>
      </c>
      <c r="C3408" s="14" t="n">
        <v>311</v>
      </c>
      <c r="D3408" s="14">
        <f>IF(A3408&gt;LastWeek-364,1,0)</f>
        <v/>
      </c>
      <c r="E3408" s="14">
        <f>C3408^2*D3408</f>
        <v/>
      </c>
    </row>
    <row r="3409">
      <c r="A3409" s="26" t="n">
        <v>45845</v>
      </c>
      <c r="B3409" s="14" t="inlineStr">
        <is>
          <t>NB-0033</t>
        </is>
      </c>
      <c r="C3409" s="14" t="n">
        <v>315</v>
      </c>
      <c r="D3409" s="14">
        <f>IF(A3409&gt;LastWeek-364,1,0)</f>
        <v/>
      </c>
      <c r="E3409" s="14">
        <f>C3409^2*D3409</f>
        <v/>
      </c>
    </row>
    <row r="3410">
      <c r="A3410" s="26" t="n">
        <v>45852</v>
      </c>
      <c r="B3410" s="14" t="inlineStr">
        <is>
          <t>NB-0033</t>
        </is>
      </c>
      <c r="C3410" s="14" t="n">
        <v>320</v>
      </c>
      <c r="D3410" s="14">
        <f>IF(A3410&gt;LastWeek-364,1,0)</f>
        <v/>
      </c>
      <c r="E3410" s="14">
        <f>C3410^2*D3410</f>
        <v/>
      </c>
    </row>
    <row r="3411">
      <c r="A3411" s="26" t="n">
        <v>45859</v>
      </c>
      <c r="B3411" s="14" t="inlineStr">
        <is>
          <t>NB-0033</t>
        </is>
      </c>
      <c r="C3411" s="14" t="n">
        <v>54</v>
      </c>
      <c r="D3411" s="14">
        <f>IF(A3411&gt;LastWeek-364,1,0)</f>
        <v/>
      </c>
      <c r="E3411" s="14">
        <f>C3411^2*D3411</f>
        <v/>
      </c>
    </row>
    <row r="3412">
      <c r="A3412" s="26" t="n">
        <v>45866</v>
      </c>
      <c r="B3412" s="14" t="inlineStr">
        <is>
          <t>NB-0033</t>
        </is>
      </c>
      <c r="C3412" s="14" t="n">
        <v>116</v>
      </c>
      <c r="D3412" s="14">
        <f>IF(A3412&gt;LastWeek-364,1,0)</f>
        <v/>
      </c>
      <c r="E3412" s="14">
        <f>C3412^2*D3412</f>
        <v/>
      </c>
    </row>
    <row r="3413">
      <c r="A3413" s="26" t="n">
        <v>45873</v>
      </c>
      <c r="B3413" s="14" t="inlineStr">
        <is>
          <t>NB-0033</t>
        </is>
      </c>
      <c r="C3413" s="14" t="n">
        <v>476</v>
      </c>
      <c r="D3413" s="14">
        <f>IF(A3413&gt;LastWeek-364,1,0)</f>
        <v/>
      </c>
      <c r="E3413" s="14">
        <f>C3413^2*D3413</f>
        <v/>
      </c>
    </row>
    <row r="3414">
      <c r="A3414" s="26" t="n">
        <v>45880</v>
      </c>
      <c r="B3414" s="14" t="inlineStr">
        <is>
          <t>NB-0033</t>
        </is>
      </c>
      <c r="C3414" s="14" t="n">
        <v>151</v>
      </c>
      <c r="D3414" s="14">
        <f>IF(A3414&gt;LastWeek-364,1,0)</f>
        <v/>
      </c>
      <c r="E3414" s="14">
        <f>C3414^2*D3414</f>
        <v/>
      </c>
    </row>
    <row r="3415">
      <c r="A3415" s="26" t="n">
        <v>45887</v>
      </c>
      <c r="B3415" s="14" t="inlineStr">
        <is>
          <t>NB-0033</t>
        </is>
      </c>
      <c r="C3415" s="14" t="n">
        <v>333</v>
      </c>
      <c r="D3415" s="14">
        <f>IF(A3415&gt;LastWeek-364,1,0)</f>
        <v/>
      </c>
      <c r="E3415" s="14">
        <f>C3415^2*D3415</f>
        <v/>
      </c>
    </row>
    <row r="3416">
      <c r="A3416" s="26" t="n">
        <v>45894</v>
      </c>
      <c r="B3416" s="14" t="inlineStr">
        <is>
          <t>NB-0033</t>
        </is>
      </c>
      <c r="C3416" s="14" t="n">
        <v>193</v>
      </c>
      <c r="D3416" s="14">
        <f>IF(A3416&gt;LastWeek-364,1,0)</f>
        <v/>
      </c>
      <c r="E3416" s="14">
        <f>C3416^2*D3416</f>
        <v/>
      </c>
    </row>
    <row r="3417">
      <c r="A3417" s="26" t="n">
        <v>45901</v>
      </c>
      <c r="B3417" s="14" t="inlineStr">
        <is>
          <t>NB-0033</t>
        </is>
      </c>
      <c r="C3417" s="14" t="n">
        <v>279</v>
      </c>
      <c r="D3417" s="14">
        <f>IF(A3417&gt;LastWeek-364,1,0)</f>
        <v/>
      </c>
      <c r="E3417" s="14">
        <f>C3417^2*D3417</f>
        <v/>
      </c>
    </row>
    <row r="3418">
      <c r="A3418" s="26" t="n">
        <v>45908</v>
      </c>
      <c r="B3418" s="14" t="inlineStr">
        <is>
          <t>NB-0033</t>
        </is>
      </c>
      <c r="C3418" s="14" t="n">
        <v>202</v>
      </c>
      <c r="D3418" s="14">
        <f>IF(A3418&gt;LastWeek-364,1,0)</f>
        <v/>
      </c>
      <c r="E3418" s="14">
        <f>C3418^2*D3418</f>
        <v/>
      </c>
    </row>
    <row r="3419">
      <c r="A3419" s="26" t="n">
        <v>45915</v>
      </c>
      <c r="B3419" s="14" t="inlineStr">
        <is>
          <t>NB-0033</t>
        </is>
      </c>
      <c r="C3419" s="14" t="n">
        <v>338</v>
      </c>
      <c r="D3419" s="14">
        <f>IF(A3419&gt;LastWeek-364,1,0)</f>
        <v/>
      </c>
      <c r="E3419" s="14">
        <f>C3419^2*D3419</f>
        <v/>
      </c>
    </row>
    <row r="3420">
      <c r="A3420" s="26" t="n">
        <v>45922</v>
      </c>
      <c r="B3420" s="14" t="inlineStr">
        <is>
          <t>NB-0033</t>
        </is>
      </c>
      <c r="C3420" s="14" t="n">
        <v>293</v>
      </c>
      <c r="D3420" s="14">
        <f>IF(A3420&gt;LastWeek-364,1,0)</f>
        <v/>
      </c>
      <c r="E3420" s="14">
        <f>C3420^2*D3420</f>
        <v/>
      </c>
    </row>
    <row r="3421">
      <c r="A3421" s="26" t="n">
        <v>45929</v>
      </c>
      <c r="B3421" s="14" t="inlineStr">
        <is>
          <t>NB-0033</t>
        </is>
      </c>
      <c r="C3421" s="14" t="n">
        <v>228</v>
      </c>
      <c r="D3421" s="14">
        <f>IF(A3421&gt;LastWeek-364,1,0)</f>
        <v/>
      </c>
      <c r="E3421" s="14">
        <f>C3421^2*D3421</f>
        <v/>
      </c>
    </row>
    <row r="3422">
      <c r="A3422" s="26" t="n">
        <v>45936</v>
      </c>
      <c r="B3422" s="14" t="inlineStr">
        <is>
          <t>NB-0033</t>
        </is>
      </c>
      <c r="C3422" s="14" t="n">
        <v>161</v>
      </c>
      <c r="D3422" s="14">
        <f>IF(A3422&gt;LastWeek-364,1,0)</f>
        <v/>
      </c>
      <c r="E3422" s="14">
        <f>C3422^2*D3422</f>
        <v/>
      </c>
    </row>
    <row r="3423">
      <c r="A3423" s="26" t="n">
        <v>45943</v>
      </c>
      <c r="B3423" s="14" t="inlineStr">
        <is>
          <t>NB-0033</t>
        </is>
      </c>
      <c r="C3423" s="14" t="n">
        <v>316</v>
      </c>
      <c r="D3423" s="14">
        <f>IF(A3423&gt;LastWeek-364,1,0)</f>
        <v/>
      </c>
      <c r="E3423" s="14">
        <f>C3423^2*D3423</f>
        <v/>
      </c>
    </row>
    <row r="3424">
      <c r="A3424" s="26" t="n">
        <v>45950</v>
      </c>
      <c r="B3424" s="14" t="inlineStr">
        <is>
          <t>NB-0033</t>
        </is>
      </c>
      <c r="C3424" s="14" t="n">
        <v>145</v>
      </c>
      <c r="D3424" s="14">
        <f>IF(A3424&gt;LastWeek-364,1,0)</f>
        <v/>
      </c>
      <c r="E3424" s="14">
        <f>C3424^2*D3424</f>
        <v/>
      </c>
    </row>
    <row r="3425">
      <c r="A3425" s="26" t="n">
        <v>45957</v>
      </c>
      <c r="B3425" s="14" t="inlineStr">
        <is>
          <t>NB-0033</t>
        </is>
      </c>
      <c r="C3425" s="14" t="n">
        <v>341</v>
      </c>
      <c r="D3425" s="14">
        <f>IF(A3425&gt;LastWeek-364,1,0)</f>
        <v/>
      </c>
      <c r="E3425" s="14">
        <f>C3425^2*D3425</f>
        <v/>
      </c>
    </row>
    <row r="3426">
      <c r="A3426" s="26" t="n">
        <v>45964</v>
      </c>
      <c r="B3426" s="14" t="inlineStr">
        <is>
          <t>NB-0033</t>
        </is>
      </c>
      <c r="C3426" s="14" t="n">
        <v>607</v>
      </c>
      <c r="D3426" s="14">
        <f>IF(A3426&gt;LastWeek-364,1,0)</f>
        <v/>
      </c>
      <c r="E3426" s="14">
        <f>C3426^2*D3426</f>
        <v/>
      </c>
    </row>
    <row r="3427">
      <c r="A3427" s="26" t="n">
        <v>45971</v>
      </c>
      <c r="B3427" s="14" t="inlineStr">
        <is>
          <t>NB-0033</t>
        </is>
      </c>
      <c r="C3427" s="14" t="n">
        <v>457</v>
      </c>
      <c r="D3427" s="14">
        <f>IF(A3427&gt;LastWeek-364,1,0)</f>
        <v/>
      </c>
      <c r="E3427" s="14">
        <f>C3427^2*D3427</f>
        <v/>
      </c>
    </row>
    <row r="3428">
      <c r="A3428" s="26" t="n">
        <v>45978</v>
      </c>
      <c r="B3428" s="14" t="inlineStr">
        <is>
          <t>NB-0033</t>
        </is>
      </c>
      <c r="C3428" s="14" t="n">
        <v>384</v>
      </c>
      <c r="D3428" s="14">
        <f>IF(A3428&gt;LastWeek-364,1,0)</f>
        <v/>
      </c>
      <c r="E3428" s="14">
        <f>C3428^2*D3428</f>
        <v/>
      </c>
    </row>
    <row r="3429">
      <c r="A3429" s="26" t="n">
        <v>45985</v>
      </c>
      <c r="B3429" s="14" t="inlineStr">
        <is>
          <t>NB-0033</t>
        </is>
      </c>
      <c r="C3429" s="14" t="n">
        <v>288</v>
      </c>
      <c r="D3429" s="14">
        <f>IF(A3429&gt;LastWeek-364,1,0)</f>
        <v/>
      </c>
      <c r="E3429" s="14">
        <f>C3429^2*D3429</f>
        <v/>
      </c>
    </row>
    <row r="3430">
      <c r="A3430" s="26" t="n">
        <v>45992</v>
      </c>
      <c r="B3430" s="14" t="inlineStr">
        <is>
          <t>NB-0033</t>
        </is>
      </c>
      <c r="C3430" s="14" t="n">
        <v>62</v>
      </c>
      <c r="D3430" s="14">
        <f>IF(A3430&gt;LastWeek-364,1,0)</f>
        <v/>
      </c>
      <c r="E3430" s="14">
        <f>C3430^2*D3430</f>
        <v/>
      </c>
    </row>
    <row r="3431">
      <c r="A3431" s="26" t="n">
        <v>45999</v>
      </c>
      <c r="B3431" s="14" t="inlineStr">
        <is>
          <t>NB-0033</t>
        </is>
      </c>
      <c r="C3431" s="14" t="n">
        <v>139</v>
      </c>
      <c r="D3431" s="14">
        <f>IF(A3431&gt;LastWeek-364,1,0)</f>
        <v/>
      </c>
      <c r="E3431" s="14">
        <f>C3431^2*D3431</f>
        <v/>
      </c>
    </row>
    <row r="3432">
      <c r="A3432" s="26" t="n">
        <v>46006</v>
      </c>
      <c r="B3432" s="14" t="inlineStr">
        <is>
          <t>NB-0033</t>
        </is>
      </c>
      <c r="C3432" s="14" t="n">
        <v>463</v>
      </c>
      <c r="D3432" s="14">
        <f>IF(A3432&gt;LastWeek-364,1,0)</f>
        <v/>
      </c>
      <c r="E3432" s="14">
        <f>C3432^2*D3432</f>
        <v/>
      </c>
    </row>
    <row r="3433">
      <c r="A3433" s="26" t="n">
        <v>46013</v>
      </c>
      <c r="B3433" s="14" t="inlineStr">
        <is>
          <t>NB-0033</t>
        </is>
      </c>
      <c r="C3433" s="14" t="n">
        <v>206</v>
      </c>
      <c r="D3433" s="14">
        <f>IF(A3433&gt;LastWeek-364,1,0)</f>
        <v/>
      </c>
      <c r="E3433" s="14">
        <f>C3433^2*D3433</f>
        <v/>
      </c>
    </row>
    <row r="3434">
      <c r="A3434" s="26" t="n">
        <v>45292</v>
      </c>
      <c r="B3434" s="14" t="inlineStr">
        <is>
          <t>NB-0034</t>
        </is>
      </c>
      <c r="C3434" s="14" t="n">
        <v>32</v>
      </c>
      <c r="D3434" s="14">
        <f>IF(A3434&gt;LastWeek-364,1,0)</f>
        <v/>
      </c>
      <c r="E3434" s="14">
        <f>C3434^2*D3434</f>
        <v/>
      </c>
    </row>
    <row r="3435">
      <c r="A3435" s="26" t="n">
        <v>45299</v>
      </c>
      <c r="B3435" s="14" t="inlineStr">
        <is>
          <t>NB-0034</t>
        </is>
      </c>
      <c r="C3435" s="14" t="n">
        <v>39</v>
      </c>
      <c r="D3435" s="14">
        <f>IF(A3435&gt;LastWeek-364,1,0)</f>
        <v/>
      </c>
      <c r="E3435" s="14">
        <f>C3435^2*D3435</f>
        <v/>
      </c>
    </row>
    <row r="3436">
      <c r="A3436" s="26" t="n">
        <v>45306</v>
      </c>
      <c r="B3436" s="14" t="inlineStr">
        <is>
          <t>NB-0034</t>
        </is>
      </c>
      <c r="C3436" s="14" t="n">
        <v>27</v>
      </c>
      <c r="D3436" s="14">
        <f>IF(A3436&gt;LastWeek-364,1,0)</f>
        <v/>
      </c>
      <c r="E3436" s="14">
        <f>C3436^2*D3436</f>
        <v/>
      </c>
    </row>
    <row r="3437">
      <c r="A3437" s="26" t="n">
        <v>45313</v>
      </c>
      <c r="B3437" s="14" t="inlineStr">
        <is>
          <t>NB-0034</t>
        </is>
      </c>
      <c r="C3437" s="14" t="n">
        <v>25</v>
      </c>
      <c r="D3437" s="14">
        <f>IF(A3437&gt;LastWeek-364,1,0)</f>
        <v/>
      </c>
      <c r="E3437" s="14">
        <f>C3437^2*D3437</f>
        <v/>
      </c>
    </row>
    <row r="3438">
      <c r="A3438" s="26" t="n">
        <v>45320</v>
      </c>
      <c r="B3438" s="14" t="inlineStr">
        <is>
          <t>NB-0034</t>
        </is>
      </c>
      <c r="C3438" s="14" t="n">
        <v>41</v>
      </c>
      <c r="D3438" s="14">
        <f>IF(A3438&gt;LastWeek-364,1,0)</f>
        <v/>
      </c>
      <c r="E3438" s="14">
        <f>C3438^2*D3438</f>
        <v/>
      </c>
    </row>
    <row r="3439">
      <c r="A3439" s="26" t="n">
        <v>45327</v>
      </c>
      <c r="B3439" s="14" t="inlineStr">
        <is>
          <t>NB-0034</t>
        </is>
      </c>
      <c r="C3439" s="14" t="n">
        <v>30</v>
      </c>
      <c r="D3439" s="14">
        <f>IF(A3439&gt;LastWeek-364,1,0)</f>
        <v/>
      </c>
      <c r="E3439" s="14">
        <f>C3439^2*D3439</f>
        <v/>
      </c>
    </row>
    <row r="3440">
      <c r="A3440" s="26" t="n">
        <v>45334</v>
      </c>
      <c r="B3440" s="14" t="inlineStr">
        <is>
          <t>NB-0034</t>
        </is>
      </c>
      <c r="C3440" s="14" t="n">
        <v>32</v>
      </c>
      <c r="D3440" s="14">
        <f>IF(A3440&gt;LastWeek-364,1,0)</f>
        <v/>
      </c>
      <c r="E3440" s="14">
        <f>C3440^2*D3440</f>
        <v/>
      </c>
    </row>
    <row r="3441">
      <c r="A3441" s="26" t="n">
        <v>45341</v>
      </c>
      <c r="B3441" s="14" t="inlineStr">
        <is>
          <t>NB-0034</t>
        </is>
      </c>
      <c r="C3441" s="14" t="n">
        <v>31</v>
      </c>
      <c r="D3441" s="14">
        <f>IF(A3441&gt;LastWeek-364,1,0)</f>
        <v/>
      </c>
      <c r="E3441" s="14">
        <f>C3441^2*D3441</f>
        <v/>
      </c>
    </row>
    <row r="3442">
      <c r="A3442" s="26" t="n">
        <v>45348</v>
      </c>
      <c r="B3442" s="14" t="inlineStr">
        <is>
          <t>NB-0034</t>
        </is>
      </c>
      <c r="C3442" s="14" t="n">
        <v>49</v>
      </c>
      <c r="D3442" s="14">
        <f>IF(A3442&gt;LastWeek-364,1,0)</f>
        <v/>
      </c>
      <c r="E3442" s="14">
        <f>C3442^2*D3442</f>
        <v/>
      </c>
    </row>
    <row r="3443">
      <c r="A3443" s="26" t="n">
        <v>45355</v>
      </c>
      <c r="B3443" s="14" t="inlineStr">
        <is>
          <t>NB-0034</t>
        </is>
      </c>
      <c r="C3443" s="14" t="n">
        <v>39</v>
      </c>
      <c r="D3443" s="14">
        <f>IF(A3443&gt;LastWeek-364,1,0)</f>
        <v/>
      </c>
      <c r="E3443" s="14">
        <f>C3443^2*D3443</f>
        <v/>
      </c>
    </row>
    <row r="3444">
      <c r="A3444" s="26" t="n">
        <v>45362</v>
      </c>
      <c r="B3444" s="14" t="inlineStr">
        <is>
          <t>NB-0034</t>
        </is>
      </c>
      <c r="C3444" s="14" t="n">
        <v>39</v>
      </c>
      <c r="D3444" s="14">
        <f>IF(A3444&gt;LastWeek-364,1,0)</f>
        <v/>
      </c>
      <c r="E3444" s="14">
        <f>C3444^2*D3444</f>
        <v/>
      </c>
    </row>
    <row r="3445">
      <c r="A3445" s="26" t="n">
        <v>45369</v>
      </c>
      <c r="B3445" s="14" t="inlineStr">
        <is>
          <t>NB-0034</t>
        </is>
      </c>
      <c r="C3445" s="14" t="n">
        <v>50</v>
      </c>
      <c r="D3445" s="14">
        <f>IF(A3445&gt;LastWeek-364,1,0)</f>
        <v/>
      </c>
      <c r="E3445" s="14">
        <f>C3445^2*D3445</f>
        <v/>
      </c>
    </row>
    <row r="3446">
      <c r="A3446" s="26" t="n">
        <v>45376</v>
      </c>
      <c r="B3446" s="14" t="inlineStr">
        <is>
          <t>NB-0034</t>
        </is>
      </c>
      <c r="C3446" s="14" t="n">
        <v>39</v>
      </c>
      <c r="D3446" s="14">
        <f>IF(A3446&gt;LastWeek-364,1,0)</f>
        <v/>
      </c>
      <c r="E3446" s="14">
        <f>C3446^2*D3446</f>
        <v/>
      </c>
    </row>
    <row r="3447">
      <c r="A3447" s="26" t="n">
        <v>45383</v>
      </c>
      <c r="B3447" s="14" t="inlineStr">
        <is>
          <t>NB-0034</t>
        </is>
      </c>
      <c r="C3447" s="14" t="n">
        <v>38</v>
      </c>
      <c r="D3447" s="14">
        <f>IF(A3447&gt;LastWeek-364,1,0)</f>
        <v/>
      </c>
      <c r="E3447" s="14">
        <f>C3447^2*D3447</f>
        <v/>
      </c>
    </row>
    <row r="3448">
      <c r="A3448" s="26" t="n">
        <v>45390</v>
      </c>
      <c r="B3448" s="14" t="inlineStr">
        <is>
          <t>NB-0034</t>
        </is>
      </c>
      <c r="C3448" s="14" t="n">
        <v>47</v>
      </c>
      <c r="D3448" s="14">
        <f>IF(A3448&gt;LastWeek-364,1,0)</f>
        <v/>
      </c>
      <c r="E3448" s="14">
        <f>C3448^2*D3448</f>
        <v/>
      </c>
    </row>
    <row r="3449">
      <c r="A3449" s="26" t="n">
        <v>45397</v>
      </c>
      <c r="B3449" s="14" t="inlineStr">
        <is>
          <t>NB-0034</t>
        </is>
      </c>
      <c r="C3449" s="14" t="n">
        <v>50</v>
      </c>
      <c r="D3449" s="14">
        <f>IF(A3449&gt;LastWeek-364,1,0)</f>
        <v/>
      </c>
      <c r="E3449" s="14">
        <f>C3449^2*D3449</f>
        <v/>
      </c>
    </row>
    <row r="3450">
      <c r="A3450" s="26" t="n">
        <v>45404</v>
      </c>
      <c r="B3450" s="14" t="inlineStr">
        <is>
          <t>NB-0034</t>
        </is>
      </c>
      <c r="C3450" s="14" t="n">
        <v>39</v>
      </c>
      <c r="D3450" s="14">
        <f>IF(A3450&gt;LastWeek-364,1,0)</f>
        <v/>
      </c>
      <c r="E3450" s="14">
        <f>C3450^2*D3450</f>
        <v/>
      </c>
    </row>
    <row r="3451">
      <c r="A3451" s="26" t="n">
        <v>45411</v>
      </c>
      <c r="B3451" s="14" t="inlineStr">
        <is>
          <t>NB-0034</t>
        </is>
      </c>
      <c r="C3451" s="14" t="n">
        <v>42</v>
      </c>
      <c r="D3451" s="14">
        <f>IF(A3451&gt;LastWeek-364,1,0)</f>
        <v/>
      </c>
      <c r="E3451" s="14">
        <f>C3451^2*D3451</f>
        <v/>
      </c>
    </row>
    <row r="3452">
      <c r="A3452" s="26" t="n">
        <v>45418</v>
      </c>
      <c r="B3452" s="14" t="inlineStr">
        <is>
          <t>NB-0034</t>
        </is>
      </c>
      <c r="C3452" s="14" t="n">
        <v>30</v>
      </c>
      <c r="D3452" s="14">
        <f>IF(A3452&gt;LastWeek-364,1,0)</f>
        <v/>
      </c>
      <c r="E3452" s="14">
        <f>C3452^2*D3452</f>
        <v/>
      </c>
    </row>
    <row r="3453">
      <c r="A3453" s="26" t="n">
        <v>45425</v>
      </c>
      <c r="B3453" s="14" t="inlineStr">
        <is>
          <t>NB-0034</t>
        </is>
      </c>
      <c r="C3453" s="14" t="n">
        <v>29</v>
      </c>
      <c r="D3453" s="14">
        <f>IF(A3453&gt;LastWeek-364,1,0)</f>
        <v/>
      </c>
      <c r="E3453" s="14">
        <f>C3453^2*D3453</f>
        <v/>
      </c>
    </row>
    <row r="3454">
      <c r="A3454" s="26" t="n">
        <v>45432</v>
      </c>
      <c r="B3454" s="14" t="inlineStr">
        <is>
          <t>NB-0034</t>
        </is>
      </c>
      <c r="C3454" s="14" t="n">
        <v>51</v>
      </c>
      <c r="D3454" s="14">
        <f>IF(A3454&gt;LastWeek-364,1,0)</f>
        <v/>
      </c>
      <c r="E3454" s="14">
        <f>C3454^2*D3454</f>
        <v/>
      </c>
    </row>
    <row r="3455">
      <c r="A3455" s="26" t="n">
        <v>45439</v>
      </c>
      <c r="B3455" s="14" t="inlineStr">
        <is>
          <t>NB-0034</t>
        </is>
      </c>
      <c r="C3455" s="14" t="n">
        <v>46</v>
      </c>
      <c r="D3455" s="14">
        <f>IF(A3455&gt;LastWeek-364,1,0)</f>
        <v/>
      </c>
      <c r="E3455" s="14">
        <f>C3455^2*D3455</f>
        <v/>
      </c>
    </row>
    <row r="3456">
      <c r="A3456" s="26" t="n">
        <v>45446</v>
      </c>
      <c r="B3456" s="14" t="inlineStr">
        <is>
          <t>NB-0034</t>
        </is>
      </c>
      <c r="C3456" s="14" t="n">
        <v>47</v>
      </c>
      <c r="D3456" s="14">
        <f>IF(A3456&gt;LastWeek-364,1,0)</f>
        <v/>
      </c>
      <c r="E3456" s="14">
        <f>C3456^2*D3456</f>
        <v/>
      </c>
    </row>
    <row r="3457">
      <c r="A3457" s="26" t="n">
        <v>45453</v>
      </c>
      <c r="B3457" s="14" t="inlineStr">
        <is>
          <t>NB-0034</t>
        </is>
      </c>
      <c r="C3457" s="14" t="n">
        <v>44</v>
      </c>
      <c r="D3457" s="14">
        <f>IF(A3457&gt;LastWeek-364,1,0)</f>
        <v/>
      </c>
      <c r="E3457" s="14">
        <f>C3457^2*D3457</f>
        <v/>
      </c>
    </row>
    <row r="3458">
      <c r="A3458" s="26" t="n">
        <v>45460</v>
      </c>
      <c r="B3458" s="14" t="inlineStr">
        <is>
          <t>NB-0034</t>
        </is>
      </c>
      <c r="C3458" s="14" t="n">
        <v>41</v>
      </c>
      <c r="D3458" s="14">
        <f>IF(A3458&gt;LastWeek-364,1,0)</f>
        <v/>
      </c>
      <c r="E3458" s="14">
        <f>C3458^2*D3458</f>
        <v/>
      </c>
    </row>
    <row r="3459">
      <c r="A3459" s="26" t="n">
        <v>45467</v>
      </c>
      <c r="B3459" s="14" t="inlineStr">
        <is>
          <t>NB-0034</t>
        </is>
      </c>
      <c r="C3459" s="14" t="n">
        <v>50</v>
      </c>
      <c r="D3459" s="14">
        <f>IF(A3459&gt;LastWeek-364,1,0)</f>
        <v/>
      </c>
      <c r="E3459" s="14">
        <f>C3459^2*D3459</f>
        <v/>
      </c>
    </row>
    <row r="3460">
      <c r="A3460" s="26" t="n">
        <v>45474</v>
      </c>
      <c r="B3460" s="14" t="inlineStr">
        <is>
          <t>NB-0034</t>
        </is>
      </c>
      <c r="C3460" s="14" t="n">
        <v>53</v>
      </c>
      <c r="D3460" s="14">
        <f>IF(A3460&gt;LastWeek-364,1,0)</f>
        <v/>
      </c>
      <c r="E3460" s="14">
        <f>C3460^2*D3460</f>
        <v/>
      </c>
    </row>
    <row r="3461">
      <c r="A3461" s="26" t="n">
        <v>45481</v>
      </c>
      <c r="B3461" s="14" t="inlineStr">
        <is>
          <t>NB-0034</t>
        </is>
      </c>
      <c r="C3461" s="14" t="n">
        <v>53</v>
      </c>
      <c r="D3461" s="14">
        <f>IF(A3461&gt;LastWeek-364,1,0)</f>
        <v/>
      </c>
      <c r="E3461" s="14">
        <f>C3461^2*D3461</f>
        <v/>
      </c>
    </row>
    <row r="3462">
      <c r="A3462" s="26" t="n">
        <v>45488</v>
      </c>
      <c r="B3462" s="14" t="inlineStr">
        <is>
          <t>NB-0034</t>
        </is>
      </c>
      <c r="C3462" s="14" t="n">
        <v>39</v>
      </c>
      <c r="D3462" s="14">
        <f>IF(A3462&gt;LastWeek-364,1,0)</f>
        <v/>
      </c>
      <c r="E3462" s="14">
        <f>C3462^2*D3462</f>
        <v/>
      </c>
    </row>
    <row r="3463">
      <c r="A3463" s="26" t="n">
        <v>45495</v>
      </c>
      <c r="B3463" s="14" t="inlineStr">
        <is>
          <t>NB-0034</t>
        </is>
      </c>
      <c r="C3463" s="14" t="n">
        <v>59</v>
      </c>
      <c r="D3463" s="14">
        <f>IF(A3463&gt;LastWeek-364,1,0)</f>
        <v/>
      </c>
      <c r="E3463" s="14">
        <f>C3463^2*D3463</f>
        <v/>
      </c>
    </row>
    <row r="3464">
      <c r="A3464" s="26" t="n">
        <v>45502</v>
      </c>
      <c r="B3464" s="14" t="inlineStr">
        <is>
          <t>NB-0034</t>
        </is>
      </c>
      <c r="C3464" s="14" t="n">
        <v>44</v>
      </c>
      <c r="D3464" s="14">
        <f>IF(A3464&gt;LastWeek-364,1,0)</f>
        <v/>
      </c>
      <c r="E3464" s="14">
        <f>C3464^2*D3464</f>
        <v/>
      </c>
    </row>
    <row r="3465">
      <c r="A3465" s="26" t="n">
        <v>45509</v>
      </c>
      <c r="B3465" s="14" t="inlineStr">
        <is>
          <t>NB-0034</t>
        </is>
      </c>
      <c r="C3465" s="14" t="n">
        <v>50</v>
      </c>
      <c r="D3465" s="14">
        <f>IF(A3465&gt;LastWeek-364,1,0)</f>
        <v/>
      </c>
      <c r="E3465" s="14">
        <f>C3465^2*D3465</f>
        <v/>
      </c>
    </row>
    <row r="3466">
      <c r="A3466" s="26" t="n">
        <v>45516</v>
      </c>
      <c r="B3466" s="14" t="inlineStr">
        <is>
          <t>NB-0034</t>
        </is>
      </c>
      <c r="C3466" s="14" t="n">
        <v>45</v>
      </c>
      <c r="D3466" s="14">
        <f>IF(A3466&gt;LastWeek-364,1,0)</f>
        <v/>
      </c>
      <c r="E3466" s="14">
        <f>C3466^2*D3466</f>
        <v/>
      </c>
    </row>
    <row r="3467">
      <c r="A3467" s="26" t="n">
        <v>45523</v>
      </c>
      <c r="B3467" s="14" t="inlineStr">
        <is>
          <t>NB-0034</t>
        </is>
      </c>
      <c r="C3467" s="14" t="n">
        <v>45</v>
      </c>
      <c r="D3467" s="14">
        <f>IF(A3467&gt;LastWeek-364,1,0)</f>
        <v/>
      </c>
      <c r="E3467" s="14">
        <f>C3467^2*D3467</f>
        <v/>
      </c>
    </row>
    <row r="3468">
      <c r="A3468" s="26" t="n">
        <v>45530</v>
      </c>
      <c r="B3468" s="14" t="inlineStr">
        <is>
          <t>NB-0034</t>
        </is>
      </c>
      <c r="C3468" s="14" t="n">
        <v>32</v>
      </c>
      <c r="D3468" s="14">
        <f>IF(A3468&gt;LastWeek-364,1,0)</f>
        <v/>
      </c>
      <c r="E3468" s="14">
        <f>C3468^2*D3468</f>
        <v/>
      </c>
    </row>
    <row r="3469">
      <c r="A3469" s="26" t="n">
        <v>45537</v>
      </c>
      <c r="B3469" s="14" t="inlineStr">
        <is>
          <t>NB-0034</t>
        </is>
      </c>
      <c r="C3469" s="14" t="n">
        <v>52</v>
      </c>
      <c r="D3469" s="14">
        <f>IF(A3469&gt;LastWeek-364,1,0)</f>
        <v/>
      </c>
      <c r="E3469" s="14">
        <f>C3469^2*D3469</f>
        <v/>
      </c>
    </row>
    <row r="3470">
      <c r="A3470" s="26" t="n">
        <v>45544</v>
      </c>
      <c r="B3470" s="14" t="inlineStr">
        <is>
          <t>NB-0034</t>
        </is>
      </c>
      <c r="C3470" s="14" t="n">
        <v>82</v>
      </c>
      <c r="D3470" s="14">
        <f>IF(A3470&gt;LastWeek-364,1,0)</f>
        <v/>
      </c>
      <c r="E3470" s="14">
        <f>C3470^2*D3470</f>
        <v/>
      </c>
    </row>
    <row r="3471">
      <c r="A3471" s="26" t="n">
        <v>45551</v>
      </c>
      <c r="B3471" s="14" t="inlineStr">
        <is>
          <t>NB-0034</t>
        </is>
      </c>
      <c r="C3471" s="14" t="n">
        <v>38</v>
      </c>
      <c r="D3471" s="14">
        <f>IF(A3471&gt;LastWeek-364,1,0)</f>
        <v/>
      </c>
      <c r="E3471" s="14">
        <f>C3471^2*D3471</f>
        <v/>
      </c>
    </row>
    <row r="3472">
      <c r="A3472" s="26" t="n">
        <v>45558</v>
      </c>
      <c r="B3472" s="14" t="inlineStr">
        <is>
          <t>NB-0034</t>
        </is>
      </c>
      <c r="C3472" s="14" t="n">
        <v>44</v>
      </c>
      <c r="D3472" s="14">
        <f>IF(A3472&gt;LastWeek-364,1,0)</f>
        <v/>
      </c>
      <c r="E3472" s="14">
        <f>C3472^2*D3472</f>
        <v/>
      </c>
    </row>
    <row r="3473">
      <c r="A3473" s="26" t="n">
        <v>45565</v>
      </c>
      <c r="B3473" s="14" t="inlineStr">
        <is>
          <t>NB-0034</t>
        </is>
      </c>
      <c r="C3473" s="14" t="n">
        <v>37</v>
      </c>
      <c r="D3473" s="14">
        <f>IF(A3473&gt;LastWeek-364,1,0)</f>
        <v/>
      </c>
      <c r="E3473" s="14">
        <f>C3473^2*D3473</f>
        <v/>
      </c>
    </row>
    <row r="3474">
      <c r="A3474" s="26" t="n">
        <v>45572</v>
      </c>
      <c r="B3474" s="14" t="inlineStr">
        <is>
          <t>NB-0034</t>
        </is>
      </c>
      <c r="C3474" s="14" t="n">
        <v>37</v>
      </c>
      <c r="D3474" s="14">
        <f>IF(A3474&gt;LastWeek-364,1,0)</f>
        <v/>
      </c>
      <c r="E3474" s="14">
        <f>C3474^2*D3474</f>
        <v/>
      </c>
    </row>
    <row r="3475">
      <c r="A3475" s="26" t="n">
        <v>45579</v>
      </c>
      <c r="B3475" s="14" t="inlineStr">
        <is>
          <t>NB-0034</t>
        </is>
      </c>
      <c r="C3475" s="14" t="n">
        <v>66</v>
      </c>
      <c r="D3475" s="14">
        <f>IF(A3475&gt;LastWeek-364,1,0)</f>
        <v/>
      </c>
      <c r="E3475" s="14">
        <f>C3475^2*D3475</f>
        <v/>
      </c>
    </row>
    <row r="3476">
      <c r="A3476" s="26" t="n">
        <v>45586</v>
      </c>
      <c r="B3476" s="14" t="inlineStr">
        <is>
          <t>NB-0034</t>
        </is>
      </c>
      <c r="C3476" s="14" t="n">
        <v>35</v>
      </c>
      <c r="D3476" s="14">
        <f>IF(A3476&gt;LastWeek-364,1,0)</f>
        <v/>
      </c>
      <c r="E3476" s="14">
        <f>C3476^2*D3476</f>
        <v/>
      </c>
    </row>
    <row r="3477">
      <c r="A3477" s="26" t="n">
        <v>45593</v>
      </c>
      <c r="B3477" s="14" t="inlineStr">
        <is>
          <t>NB-0034</t>
        </is>
      </c>
      <c r="C3477" s="14" t="n">
        <v>38</v>
      </c>
      <c r="D3477" s="14">
        <f>IF(A3477&gt;LastWeek-364,1,0)</f>
        <v/>
      </c>
      <c r="E3477" s="14">
        <f>C3477^2*D3477</f>
        <v/>
      </c>
    </row>
    <row r="3478">
      <c r="A3478" s="26" t="n">
        <v>45600</v>
      </c>
      <c r="B3478" s="14" t="inlineStr">
        <is>
          <t>NB-0034</t>
        </is>
      </c>
      <c r="C3478" s="14" t="n">
        <v>22</v>
      </c>
      <c r="D3478" s="14">
        <f>IF(A3478&gt;LastWeek-364,1,0)</f>
        <v/>
      </c>
      <c r="E3478" s="14">
        <f>C3478^2*D3478</f>
        <v/>
      </c>
    </row>
    <row r="3479">
      <c r="A3479" s="26" t="n">
        <v>45607</v>
      </c>
      <c r="B3479" s="14" t="inlineStr">
        <is>
          <t>NB-0034</t>
        </is>
      </c>
      <c r="C3479" s="14" t="n">
        <v>34</v>
      </c>
      <c r="D3479" s="14">
        <f>IF(A3479&gt;LastWeek-364,1,0)</f>
        <v/>
      </c>
      <c r="E3479" s="14">
        <f>C3479^2*D3479</f>
        <v/>
      </c>
    </row>
    <row r="3480">
      <c r="A3480" s="26" t="n">
        <v>45614</v>
      </c>
      <c r="B3480" s="14" t="inlineStr">
        <is>
          <t>NB-0034</t>
        </is>
      </c>
      <c r="C3480" s="14" t="n">
        <v>20</v>
      </c>
      <c r="D3480" s="14">
        <f>IF(A3480&gt;LastWeek-364,1,0)</f>
        <v/>
      </c>
      <c r="E3480" s="14">
        <f>C3480^2*D3480</f>
        <v/>
      </c>
    </row>
    <row r="3481">
      <c r="A3481" s="26" t="n">
        <v>45621</v>
      </c>
      <c r="B3481" s="14" t="inlineStr">
        <is>
          <t>NB-0034</t>
        </is>
      </c>
      <c r="C3481" s="14" t="n">
        <v>55</v>
      </c>
      <c r="D3481" s="14">
        <f>IF(A3481&gt;LastWeek-364,1,0)</f>
        <v/>
      </c>
      <c r="E3481" s="14">
        <f>C3481^2*D3481</f>
        <v/>
      </c>
    </row>
    <row r="3482">
      <c r="A3482" s="26" t="n">
        <v>45628</v>
      </c>
      <c r="B3482" s="14" t="inlineStr">
        <is>
          <t>NB-0034</t>
        </is>
      </c>
      <c r="C3482" s="14" t="n">
        <v>88</v>
      </c>
      <c r="D3482" s="14">
        <f>IF(A3482&gt;LastWeek-364,1,0)</f>
        <v/>
      </c>
      <c r="E3482" s="14">
        <f>C3482^2*D3482</f>
        <v/>
      </c>
    </row>
    <row r="3483">
      <c r="A3483" s="26" t="n">
        <v>45635</v>
      </c>
      <c r="B3483" s="14" t="inlineStr">
        <is>
          <t>NB-0034</t>
        </is>
      </c>
      <c r="C3483" s="14" t="n">
        <v>41</v>
      </c>
      <c r="D3483" s="14">
        <f>IF(A3483&gt;LastWeek-364,1,0)</f>
        <v/>
      </c>
      <c r="E3483" s="14">
        <f>C3483^2*D3483</f>
        <v/>
      </c>
    </row>
    <row r="3484">
      <c r="A3484" s="26" t="n">
        <v>45642</v>
      </c>
      <c r="B3484" s="14" t="inlineStr">
        <is>
          <t>NB-0034</t>
        </is>
      </c>
      <c r="C3484" s="14" t="n">
        <v>21</v>
      </c>
      <c r="D3484" s="14">
        <f>IF(A3484&gt;LastWeek-364,1,0)</f>
        <v/>
      </c>
      <c r="E3484" s="14">
        <f>C3484^2*D3484</f>
        <v/>
      </c>
    </row>
    <row r="3485">
      <c r="A3485" s="26" t="n">
        <v>45649</v>
      </c>
      <c r="B3485" s="14" t="inlineStr">
        <is>
          <t>NB-0034</t>
        </is>
      </c>
      <c r="C3485" s="14" t="n">
        <v>60</v>
      </c>
      <c r="D3485" s="14">
        <f>IF(A3485&gt;LastWeek-364,1,0)</f>
        <v/>
      </c>
      <c r="E3485" s="14">
        <f>C3485^2*D3485</f>
        <v/>
      </c>
    </row>
    <row r="3486">
      <c r="A3486" s="26" t="n">
        <v>45656</v>
      </c>
      <c r="B3486" s="14" t="inlineStr">
        <is>
          <t>NB-0034</t>
        </is>
      </c>
      <c r="C3486" s="14" t="n">
        <v>36</v>
      </c>
      <c r="D3486" s="14">
        <f>IF(A3486&gt;LastWeek-364,1,0)</f>
        <v/>
      </c>
      <c r="E3486" s="14">
        <f>C3486^2*D3486</f>
        <v/>
      </c>
    </row>
    <row r="3487">
      <c r="A3487" s="26" t="n">
        <v>45663</v>
      </c>
      <c r="B3487" s="14" t="inlineStr">
        <is>
          <t>NB-0034</t>
        </is>
      </c>
      <c r="C3487" s="14" t="n">
        <v>67</v>
      </c>
      <c r="D3487" s="14">
        <f>IF(A3487&gt;LastWeek-364,1,0)</f>
        <v/>
      </c>
      <c r="E3487" s="14">
        <f>C3487^2*D3487</f>
        <v/>
      </c>
    </row>
    <row r="3488">
      <c r="A3488" s="26" t="n">
        <v>45670</v>
      </c>
      <c r="B3488" s="14" t="inlineStr">
        <is>
          <t>NB-0034</t>
        </is>
      </c>
      <c r="C3488" s="14" t="n">
        <v>43</v>
      </c>
      <c r="D3488" s="14">
        <f>IF(A3488&gt;LastWeek-364,1,0)</f>
        <v/>
      </c>
      <c r="E3488" s="14">
        <f>C3488^2*D3488</f>
        <v/>
      </c>
    </row>
    <row r="3489">
      <c r="A3489" s="26" t="n">
        <v>45677</v>
      </c>
      <c r="B3489" s="14" t="inlineStr">
        <is>
          <t>NB-0034</t>
        </is>
      </c>
      <c r="C3489" s="14" t="n">
        <v>37</v>
      </c>
      <c r="D3489" s="14">
        <f>IF(A3489&gt;LastWeek-364,1,0)</f>
        <v/>
      </c>
      <c r="E3489" s="14">
        <f>C3489^2*D3489</f>
        <v/>
      </c>
    </row>
    <row r="3490">
      <c r="A3490" s="26" t="n">
        <v>45684</v>
      </c>
      <c r="B3490" s="14" t="inlineStr">
        <is>
          <t>NB-0034</t>
        </is>
      </c>
      <c r="C3490" s="14" t="n">
        <v>44</v>
      </c>
      <c r="D3490" s="14">
        <f>IF(A3490&gt;LastWeek-364,1,0)</f>
        <v/>
      </c>
      <c r="E3490" s="14">
        <f>C3490^2*D3490</f>
        <v/>
      </c>
    </row>
    <row r="3491">
      <c r="A3491" s="26" t="n">
        <v>45691</v>
      </c>
      <c r="B3491" s="14" t="inlineStr">
        <is>
          <t>NB-0034</t>
        </is>
      </c>
      <c r="C3491" s="14" t="n">
        <v>59</v>
      </c>
      <c r="D3491" s="14">
        <f>IF(A3491&gt;LastWeek-364,1,0)</f>
        <v/>
      </c>
      <c r="E3491" s="14">
        <f>C3491^2*D3491</f>
        <v/>
      </c>
    </row>
    <row r="3492">
      <c r="A3492" s="26" t="n">
        <v>45698</v>
      </c>
      <c r="B3492" s="14" t="inlineStr">
        <is>
          <t>NB-0034</t>
        </is>
      </c>
      <c r="C3492" s="14" t="n">
        <v>44</v>
      </c>
      <c r="D3492" s="14">
        <f>IF(A3492&gt;LastWeek-364,1,0)</f>
        <v/>
      </c>
      <c r="E3492" s="14">
        <f>C3492^2*D3492</f>
        <v/>
      </c>
    </row>
    <row r="3493">
      <c r="A3493" s="26" t="n">
        <v>45705</v>
      </c>
      <c r="B3493" s="14" t="inlineStr">
        <is>
          <t>NB-0034</t>
        </is>
      </c>
      <c r="C3493" s="14" t="n">
        <v>40</v>
      </c>
      <c r="D3493" s="14">
        <f>IF(A3493&gt;LastWeek-364,1,0)</f>
        <v/>
      </c>
      <c r="E3493" s="14">
        <f>C3493^2*D3493</f>
        <v/>
      </c>
    </row>
    <row r="3494">
      <c r="A3494" s="26" t="n">
        <v>45712</v>
      </c>
      <c r="B3494" s="14" t="inlineStr">
        <is>
          <t>NB-0034</t>
        </is>
      </c>
      <c r="C3494" s="14" t="n">
        <v>44</v>
      </c>
      <c r="D3494" s="14">
        <f>IF(A3494&gt;LastWeek-364,1,0)</f>
        <v/>
      </c>
      <c r="E3494" s="14">
        <f>C3494^2*D3494</f>
        <v/>
      </c>
    </row>
    <row r="3495">
      <c r="A3495" s="26" t="n">
        <v>45719</v>
      </c>
      <c r="B3495" s="14" t="inlineStr">
        <is>
          <t>NB-0034</t>
        </is>
      </c>
      <c r="C3495" s="14" t="n">
        <v>28</v>
      </c>
      <c r="D3495" s="14">
        <f>IF(A3495&gt;LastWeek-364,1,0)</f>
        <v/>
      </c>
      <c r="E3495" s="14">
        <f>C3495^2*D3495</f>
        <v/>
      </c>
    </row>
    <row r="3496">
      <c r="A3496" s="26" t="n">
        <v>45726</v>
      </c>
      <c r="B3496" s="14" t="inlineStr">
        <is>
          <t>NB-0034</t>
        </is>
      </c>
      <c r="C3496" s="14" t="n">
        <v>53</v>
      </c>
      <c r="D3496" s="14">
        <f>IF(A3496&gt;LastWeek-364,1,0)</f>
        <v/>
      </c>
      <c r="E3496" s="14">
        <f>C3496^2*D3496</f>
        <v/>
      </c>
    </row>
    <row r="3497">
      <c r="A3497" s="26" t="n">
        <v>45733</v>
      </c>
      <c r="B3497" s="14" t="inlineStr">
        <is>
          <t>NB-0034</t>
        </is>
      </c>
      <c r="C3497" s="14" t="n">
        <v>20</v>
      </c>
      <c r="D3497" s="14">
        <f>IF(A3497&gt;LastWeek-364,1,0)</f>
        <v/>
      </c>
      <c r="E3497" s="14">
        <f>C3497^2*D3497</f>
        <v/>
      </c>
    </row>
    <row r="3498">
      <c r="A3498" s="26" t="n">
        <v>45740</v>
      </c>
      <c r="B3498" s="14" t="inlineStr">
        <is>
          <t>NB-0034</t>
        </is>
      </c>
      <c r="C3498" s="14" t="n">
        <v>40</v>
      </c>
      <c r="D3498" s="14">
        <f>IF(A3498&gt;LastWeek-364,1,0)</f>
        <v/>
      </c>
      <c r="E3498" s="14">
        <f>C3498^2*D3498</f>
        <v/>
      </c>
    </row>
    <row r="3499">
      <c r="A3499" s="26" t="n">
        <v>45747</v>
      </c>
      <c r="B3499" s="14" t="inlineStr">
        <is>
          <t>NB-0034</t>
        </is>
      </c>
      <c r="C3499" s="14" t="n">
        <v>58</v>
      </c>
      <c r="D3499" s="14">
        <f>IF(A3499&gt;LastWeek-364,1,0)</f>
        <v/>
      </c>
      <c r="E3499" s="14">
        <f>C3499^2*D3499</f>
        <v/>
      </c>
    </row>
    <row r="3500">
      <c r="A3500" s="26" t="n">
        <v>45754</v>
      </c>
      <c r="B3500" s="14" t="inlineStr">
        <is>
          <t>NB-0034</t>
        </is>
      </c>
      <c r="C3500" s="14" t="n">
        <v>51</v>
      </c>
      <c r="D3500" s="14">
        <f>IF(A3500&gt;LastWeek-364,1,0)</f>
        <v/>
      </c>
      <c r="E3500" s="14">
        <f>C3500^2*D3500</f>
        <v/>
      </c>
    </row>
    <row r="3501">
      <c r="A3501" s="26" t="n">
        <v>45761</v>
      </c>
      <c r="B3501" s="14" t="inlineStr">
        <is>
          <t>NB-0034</t>
        </is>
      </c>
      <c r="C3501" s="14" t="n">
        <v>55</v>
      </c>
      <c r="D3501" s="14">
        <f>IF(A3501&gt;LastWeek-364,1,0)</f>
        <v/>
      </c>
      <c r="E3501" s="14">
        <f>C3501^2*D3501</f>
        <v/>
      </c>
    </row>
    <row r="3502">
      <c r="A3502" s="26" t="n">
        <v>45768</v>
      </c>
      <c r="B3502" s="14" t="inlineStr">
        <is>
          <t>NB-0034</t>
        </is>
      </c>
      <c r="C3502" s="14" t="n">
        <v>45</v>
      </c>
      <c r="D3502" s="14">
        <f>IF(A3502&gt;LastWeek-364,1,0)</f>
        <v/>
      </c>
      <c r="E3502" s="14">
        <f>C3502^2*D3502</f>
        <v/>
      </c>
    </row>
    <row r="3503">
      <c r="A3503" s="26" t="n">
        <v>45775</v>
      </c>
      <c r="B3503" s="14" t="inlineStr">
        <is>
          <t>NB-0034</t>
        </is>
      </c>
      <c r="C3503" s="14" t="n">
        <v>64</v>
      </c>
      <c r="D3503" s="14">
        <f>IF(A3503&gt;LastWeek-364,1,0)</f>
        <v/>
      </c>
      <c r="E3503" s="14">
        <f>C3503^2*D3503</f>
        <v/>
      </c>
    </row>
    <row r="3504">
      <c r="A3504" s="26" t="n">
        <v>45782</v>
      </c>
      <c r="B3504" s="14" t="inlineStr">
        <is>
          <t>NB-0034</t>
        </is>
      </c>
      <c r="C3504" s="14" t="n">
        <v>60</v>
      </c>
      <c r="D3504" s="14">
        <f>IF(A3504&gt;LastWeek-364,1,0)</f>
        <v/>
      </c>
      <c r="E3504" s="14">
        <f>C3504^2*D3504</f>
        <v/>
      </c>
    </row>
    <row r="3505">
      <c r="A3505" s="26" t="n">
        <v>45789</v>
      </c>
      <c r="B3505" s="14" t="inlineStr">
        <is>
          <t>NB-0034</t>
        </is>
      </c>
      <c r="C3505" s="14" t="n">
        <v>53</v>
      </c>
      <c r="D3505" s="14">
        <f>IF(A3505&gt;LastWeek-364,1,0)</f>
        <v/>
      </c>
      <c r="E3505" s="14">
        <f>C3505^2*D3505</f>
        <v/>
      </c>
    </row>
    <row r="3506">
      <c r="A3506" s="26" t="n">
        <v>45796</v>
      </c>
      <c r="B3506" s="14" t="inlineStr">
        <is>
          <t>NB-0034</t>
        </is>
      </c>
      <c r="C3506" s="14" t="n">
        <v>60</v>
      </c>
      <c r="D3506" s="14">
        <f>IF(A3506&gt;LastWeek-364,1,0)</f>
        <v/>
      </c>
      <c r="E3506" s="14">
        <f>C3506^2*D3506</f>
        <v/>
      </c>
    </row>
    <row r="3507">
      <c r="A3507" s="26" t="n">
        <v>45803</v>
      </c>
      <c r="B3507" s="14" t="inlineStr">
        <is>
          <t>NB-0034</t>
        </is>
      </c>
      <c r="C3507" s="14" t="n">
        <v>57</v>
      </c>
      <c r="D3507" s="14">
        <f>IF(A3507&gt;LastWeek-364,1,0)</f>
        <v/>
      </c>
      <c r="E3507" s="14">
        <f>C3507^2*D3507</f>
        <v/>
      </c>
    </row>
    <row r="3508">
      <c r="A3508" s="26" t="n">
        <v>45810</v>
      </c>
      <c r="B3508" s="14" t="inlineStr">
        <is>
          <t>NB-0034</t>
        </is>
      </c>
      <c r="C3508" s="14" t="n">
        <v>39</v>
      </c>
      <c r="D3508" s="14">
        <f>IF(A3508&gt;LastWeek-364,1,0)</f>
        <v/>
      </c>
      <c r="E3508" s="14">
        <f>C3508^2*D3508</f>
        <v/>
      </c>
    </row>
    <row r="3509">
      <c r="A3509" s="26" t="n">
        <v>45817</v>
      </c>
      <c r="B3509" s="14" t="inlineStr">
        <is>
          <t>NB-0034</t>
        </is>
      </c>
      <c r="C3509" s="14" t="n">
        <v>26</v>
      </c>
      <c r="D3509" s="14">
        <f>IF(A3509&gt;LastWeek-364,1,0)</f>
        <v/>
      </c>
      <c r="E3509" s="14">
        <f>C3509^2*D3509</f>
        <v/>
      </c>
    </row>
    <row r="3510">
      <c r="A3510" s="26" t="n">
        <v>45824</v>
      </c>
      <c r="B3510" s="14" t="inlineStr">
        <is>
          <t>NB-0034</t>
        </is>
      </c>
      <c r="C3510" s="14" t="n">
        <v>52</v>
      </c>
      <c r="D3510" s="14">
        <f>IF(A3510&gt;LastWeek-364,1,0)</f>
        <v/>
      </c>
      <c r="E3510" s="14">
        <f>C3510^2*D3510</f>
        <v/>
      </c>
    </row>
    <row r="3511">
      <c r="A3511" s="26" t="n">
        <v>45831</v>
      </c>
      <c r="B3511" s="14" t="inlineStr">
        <is>
          <t>NB-0034</t>
        </is>
      </c>
      <c r="C3511" s="14" t="n">
        <v>54</v>
      </c>
      <c r="D3511" s="14">
        <f>IF(A3511&gt;LastWeek-364,1,0)</f>
        <v/>
      </c>
      <c r="E3511" s="14">
        <f>C3511^2*D3511</f>
        <v/>
      </c>
    </row>
    <row r="3512">
      <c r="A3512" s="26" t="n">
        <v>45838</v>
      </c>
      <c r="B3512" s="14" t="inlineStr">
        <is>
          <t>NB-0034</t>
        </is>
      </c>
      <c r="C3512" s="14" t="n">
        <v>62</v>
      </c>
      <c r="D3512" s="14">
        <f>IF(A3512&gt;LastWeek-364,1,0)</f>
        <v/>
      </c>
      <c r="E3512" s="14">
        <f>C3512^2*D3512</f>
        <v/>
      </c>
    </row>
    <row r="3513">
      <c r="A3513" s="26" t="n">
        <v>45845</v>
      </c>
      <c r="B3513" s="14" t="inlineStr">
        <is>
          <t>NB-0034</t>
        </is>
      </c>
      <c r="C3513" s="14" t="n">
        <v>32</v>
      </c>
      <c r="D3513" s="14">
        <f>IF(A3513&gt;LastWeek-364,1,0)</f>
        <v/>
      </c>
      <c r="E3513" s="14">
        <f>C3513^2*D3513</f>
        <v/>
      </c>
    </row>
    <row r="3514">
      <c r="A3514" s="26" t="n">
        <v>45852</v>
      </c>
      <c r="B3514" s="14" t="inlineStr">
        <is>
          <t>NB-0034</t>
        </is>
      </c>
      <c r="C3514" s="14" t="n">
        <v>33</v>
      </c>
      <c r="D3514" s="14">
        <f>IF(A3514&gt;LastWeek-364,1,0)</f>
        <v/>
      </c>
      <c r="E3514" s="14">
        <f>C3514^2*D3514</f>
        <v/>
      </c>
    </row>
    <row r="3515">
      <c r="A3515" s="26" t="n">
        <v>45859</v>
      </c>
      <c r="B3515" s="14" t="inlineStr">
        <is>
          <t>NB-0034</t>
        </is>
      </c>
      <c r="C3515" s="14" t="n">
        <v>53</v>
      </c>
      <c r="D3515" s="14">
        <f>IF(A3515&gt;LastWeek-364,1,0)</f>
        <v/>
      </c>
      <c r="E3515" s="14">
        <f>C3515^2*D3515</f>
        <v/>
      </c>
    </row>
    <row r="3516">
      <c r="A3516" s="26" t="n">
        <v>45866</v>
      </c>
      <c r="B3516" s="14" t="inlineStr">
        <is>
          <t>NB-0034</t>
        </is>
      </c>
      <c r="C3516" s="14" t="n">
        <v>45</v>
      </c>
      <c r="D3516" s="14">
        <f>IF(A3516&gt;LastWeek-364,1,0)</f>
        <v/>
      </c>
      <c r="E3516" s="14">
        <f>C3516^2*D3516</f>
        <v/>
      </c>
    </row>
    <row r="3517">
      <c r="A3517" s="26" t="n">
        <v>45873</v>
      </c>
      <c r="B3517" s="14" t="inlineStr">
        <is>
          <t>NB-0034</t>
        </is>
      </c>
      <c r="C3517" s="14" t="n">
        <v>18</v>
      </c>
      <c r="D3517" s="14">
        <f>IF(A3517&gt;LastWeek-364,1,0)</f>
        <v/>
      </c>
      <c r="E3517" s="14">
        <f>C3517^2*D3517</f>
        <v/>
      </c>
    </row>
    <row r="3518">
      <c r="A3518" s="26" t="n">
        <v>45880</v>
      </c>
      <c r="B3518" s="14" t="inlineStr">
        <is>
          <t>NB-0034</t>
        </is>
      </c>
      <c r="C3518" s="14" t="n">
        <v>53</v>
      </c>
      <c r="D3518" s="14">
        <f>IF(A3518&gt;LastWeek-364,1,0)</f>
        <v/>
      </c>
      <c r="E3518" s="14">
        <f>C3518^2*D3518</f>
        <v/>
      </c>
    </row>
    <row r="3519">
      <c r="A3519" s="26" t="n">
        <v>45887</v>
      </c>
      <c r="B3519" s="14" t="inlineStr">
        <is>
          <t>NB-0034</t>
        </is>
      </c>
      <c r="C3519" s="14" t="n">
        <v>19</v>
      </c>
      <c r="D3519" s="14">
        <f>IF(A3519&gt;LastWeek-364,1,0)</f>
        <v/>
      </c>
      <c r="E3519" s="14">
        <f>C3519^2*D3519</f>
        <v/>
      </c>
    </row>
    <row r="3520">
      <c r="A3520" s="26" t="n">
        <v>45894</v>
      </c>
      <c r="B3520" s="14" t="inlineStr">
        <is>
          <t>NB-0034</t>
        </is>
      </c>
      <c r="C3520" s="14" t="n">
        <v>33</v>
      </c>
      <c r="D3520" s="14">
        <f>IF(A3520&gt;LastWeek-364,1,0)</f>
        <v/>
      </c>
      <c r="E3520" s="14">
        <f>C3520^2*D3520</f>
        <v/>
      </c>
    </row>
    <row r="3521">
      <c r="A3521" s="26" t="n">
        <v>45901</v>
      </c>
      <c r="B3521" s="14" t="inlineStr">
        <is>
          <t>NB-0034</t>
        </is>
      </c>
      <c r="C3521" s="14" t="n">
        <v>69</v>
      </c>
      <c r="D3521" s="14">
        <f>IF(A3521&gt;LastWeek-364,1,0)</f>
        <v/>
      </c>
      <c r="E3521" s="14">
        <f>C3521^2*D3521</f>
        <v/>
      </c>
    </row>
    <row r="3522">
      <c r="A3522" s="26" t="n">
        <v>45908</v>
      </c>
      <c r="B3522" s="14" t="inlineStr">
        <is>
          <t>NB-0034</t>
        </is>
      </c>
      <c r="C3522" s="14" t="n">
        <v>77</v>
      </c>
      <c r="D3522" s="14">
        <f>IF(A3522&gt;LastWeek-364,1,0)</f>
        <v/>
      </c>
      <c r="E3522" s="14">
        <f>C3522^2*D3522</f>
        <v/>
      </c>
    </row>
    <row r="3523">
      <c r="A3523" s="26" t="n">
        <v>45915</v>
      </c>
      <c r="B3523" s="14" t="inlineStr">
        <is>
          <t>NB-0034</t>
        </is>
      </c>
      <c r="C3523" s="14" t="n">
        <v>29</v>
      </c>
      <c r="D3523" s="14">
        <f>IF(A3523&gt;LastWeek-364,1,0)</f>
        <v/>
      </c>
      <c r="E3523" s="14">
        <f>C3523^2*D3523</f>
        <v/>
      </c>
    </row>
    <row r="3524">
      <c r="A3524" s="26" t="n">
        <v>45922</v>
      </c>
      <c r="B3524" s="14" t="inlineStr">
        <is>
          <t>NB-0034</t>
        </is>
      </c>
      <c r="C3524" s="14" t="n">
        <v>44</v>
      </c>
      <c r="D3524" s="14">
        <f>IF(A3524&gt;LastWeek-364,1,0)</f>
        <v/>
      </c>
      <c r="E3524" s="14">
        <f>C3524^2*D3524</f>
        <v/>
      </c>
    </row>
    <row r="3525">
      <c r="A3525" s="26" t="n">
        <v>45929</v>
      </c>
      <c r="B3525" s="14" t="inlineStr">
        <is>
          <t>NB-0034</t>
        </is>
      </c>
      <c r="C3525" s="14" t="n">
        <v>50</v>
      </c>
      <c r="D3525" s="14">
        <f>IF(A3525&gt;LastWeek-364,1,0)</f>
        <v/>
      </c>
      <c r="E3525" s="14">
        <f>C3525^2*D3525</f>
        <v/>
      </c>
    </row>
    <row r="3526">
      <c r="A3526" s="26" t="n">
        <v>45936</v>
      </c>
      <c r="B3526" s="14" t="inlineStr">
        <is>
          <t>NB-0034</t>
        </is>
      </c>
      <c r="C3526" s="14" t="n">
        <v>78</v>
      </c>
      <c r="D3526" s="14">
        <f>IF(A3526&gt;LastWeek-364,1,0)</f>
        <v/>
      </c>
      <c r="E3526" s="14">
        <f>C3526^2*D3526</f>
        <v/>
      </c>
    </row>
    <row r="3527">
      <c r="A3527" s="26" t="n">
        <v>45943</v>
      </c>
      <c r="B3527" s="14" t="inlineStr">
        <is>
          <t>NB-0034</t>
        </is>
      </c>
      <c r="C3527" s="14" t="n">
        <v>42</v>
      </c>
      <c r="D3527" s="14">
        <f>IF(A3527&gt;LastWeek-364,1,0)</f>
        <v/>
      </c>
      <c r="E3527" s="14">
        <f>C3527^2*D3527</f>
        <v/>
      </c>
    </row>
    <row r="3528">
      <c r="A3528" s="26" t="n">
        <v>45950</v>
      </c>
      <c r="B3528" s="14" t="inlineStr">
        <is>
          <t>NB-0034</t>
        </is>
      </c>
      <c r="C3528" s="14" t="n">
        <v>42</v>
      </c>
      <c r="D3528" s="14">
        <f>IF(A3528&gt;LastWeek-364,1,0)</f>
        <v/>
      </c>
      <c r="E3528" s="14">
        <f>C3528^2*D3528</f>
        <v/>
      </c>
    </row>
    <row r="3529">
      <c r="A3529" s="26" t="n">
        <v>45957</v>
      </c>
      <c r="B3529" s="14" t="inlineStr">
        <is>
          <t>NB-0034</t>
        </is>
      </c>
      <c r="C3529" s="14" t="n">
        <v>76</v>
      </c>
      <c r="D3529" s="14">
        <f>IF(A3529&gt;LastWeek-364,1,0)</f>
        <v/>
      </c>
      <c r="E3529" s="14">
        <f>C3529^2*D3529</f>
        <v/>
      </c>
    </row>
    <row r="3530">
      <c r="A3530" s="26" t="n">
        <v>45964</v>
      </c>
      <c r="B3530" s="14" t="inlineStr">
        <is>
          <t>NB-0034</t>
        </is>
      </c>
      <c r="C3530" s="14" t="n">
        <v>45</v>
      </c>
      <c r="D3530" s="14">
        <f>IF(A3530&gt;LastWeek-364,1,0)</f>
        <v/>
      </c>
      <c r="E3530" s="14">
        <f>C3530^2*D3530</f>
        <v/>
      </c>
    </row>
    <row r="3531">
      <c r="A3531" s="26" t="n">
        <v>45971</v>
      </c>
      <c r="B3531" s="14" t="inlineStr">
        <is>
          <t>NB-0034</t>
        </is>
      </c>
      <c r="C3531" s="14" t="n">
        <v>63</v>
      </c>
      <c r="D3531" s="14">
        <f>IF(A3531&gt;LastWeek-364,1,0)</f>
        <v/>
      </c>
      <c r="E3531" s="14">
        <f>C3531^2*D3531</f>
        <v/>
      </c>
    </row>
    <row r="3532">
      <c r="A3532" s="26" t="n">
        <v>45978</v>
      </c>
      <c r="B3532" s="14" t="inlineStr">
        <is>
          <t>NB-0034</t>
        </is>
      </c>
      <c r="C3532" s="14" t="n">
        <v>27</v>
      </c>
      <c r="D3532" s="14">
        <f>IF(A3532&gt;LastWeek-364,1,0)</f>
        <v/>
      </c>
      <c r="E3532" s="14">
        <f>C3532^2*D3532</f>
        <v/>
      </c>
    </row>
    <row r="3533">
      <c r="A3533" s="26" t="n">
        <v>45985</v>
      </c>
      <c r="B3533" s="14" t="inlineStr">
        <is>
          <t>NB-0034</t>
        </is>
      </c>
      <c r="C3533" s="14" t="n">
        <v>49</v>
      </c>
      <c r="D3533" s="14">
        <f>IF(A3533&gt;LastWeek-364,1,0)</f>
        <v/>
      </c>
      <c r="E3533" s="14">
        <f>C3533^2*D3533</f>
        <v/>
      </c>
    </row>
    <row r="3534">
      <c r="A3534" s="26" t="n">
        <v>45992</v>
      </c>
      <c r="B3534" s="14" t="inlineStr">
        <is>
          <t>NB-0034</t>
        </is>
      </c>
      <c r="C3534" s="14" t="n">
        <v>24</v>
      </c>
      <c r="D3534" s="14">
        <f>IF(A3534&gt;LastWeek-364,1,0)</f>
        <v/>
      </c>
      <c r="E3534" s="14">
        <f>C3534^2*D3534</f>
        <v/>
      </c>
    </row>
    <row r="3535">
      <c r="A3535" s="26" t="n">
        <v>45999</v>
      </c>
      <c r="B3535" s="14" t="inlineStr">
        <is>
          <t>NB-0034</t>
        </is>
      </c>
      <c r="C3535" s="14" t="n">
        <v>34</v>
      </c>
      <c r="D3535" s="14">
        <f>IF(A3535&gt;LastWeek-364,1,0)</f>
        <v/>
      </c>
      <c r="E3535" s="14">
        <f>C3535^2*D3535</f>
        <v/>
      </c>
    </row>
    <row r="3536">
      <c r="A3536" s="26" t="n">
        <v>46006</v>
      </c>
      <c r="B3536" s="14" t="inlineStr">
        <is>
          <t>NB-0034</t>
        </is>
      </c>
      <c r="C3536" s="14" t="n">
        <v>67</v>
      </c>
      <c r="D3536" s="14">
        <f>IF(A3536&gt;LastWeek-364,1,0)</f>
        <v/>
      </c>
      <c r="E3536" s="14">
        <f>C3536^2*D3536</f>
        <v/>
      </c>
    </row>
    <row r="3537">
      <c r="A3537" s="26" t="n">
        <v>46013</v>
      </c>
      <c r="B3537" s="14" t="inlineStr">
        <is>
          <t>NB-0034</t>
        </is>
      </c>
      <c r="C3537" s="14" t="n">
        <v>52</v>
      </c>
      <c r="D3537" s="14">
        <f>IF(A3537&gt;LastWeek-364,1,0)</f>
        <v/>
      </c>
      <c r="E3537" s="14">
        <f>C3537^2*D3537</f>
        <v/>
      </c>
    </row>
    <row r="3538">
      <c r="A3538" s="26" t="n">
        <v>45292</v>
      </c>
      <c r="B3538" s="14" t="inlineStr">
        <is>
          <t>NB-0035</t>
        </is>
      </c>
      <c r="C3538" s="14" t="n">
        <v>6</v>
      </c>
      <c r="D3538" s="14">
        <f>IF(A3538&gt;LastWeek-364,1,0)</f>
        <v/>
      </c>
      <c r="E3538" s="14">
        <f>C3538^2*D3538</f>
        <v/>
      </c>
    </row>
    <row r="3539">
      <c r="A3539" s="26" t="n">
        <v>45299</v>
      </c>
      <c r="B3539" s="14" t="inlineStr">
        <is>
          <t>NB-0035</t>
        </is>
      </c>
      <c r="C3539" s="14" t="n">
        <v>6</v>
      </c>
      <c r="D3539" s="14">
        <f>IF(A3539&gt;LastWeek-364,1,0)</f>
        <v/>
      </c>
      <c r="E3539" s="14">
        <f>C3539^2*D3539</f>
        <v/>
      </c>
    </row>
    <row r="3540">
      <c r="A3540" s="26" t="n">
        <v>45306</v>
      </c>
      <c r="B3540" s="14" t="inlineStr">
        <is>
          <t>NB-0035</t>
        </is>
      </c>
      <c r="C3540" s="14" t="n">
        <v>6</v>
      </c>
      <c r="D3540" s="14">
        <f>IF(A3540&gt;LastWeek-364,1,0)</f>
        <v/>
      </c>
      <c r="E3540" s="14">
        <f>C3540^2*D3540</f>
        <v/>
      </c>
    </row>
    <row r="3541">
      <c r="A3541" s="26" t="n">
        <v>45313</v>
      </c>
      <c r="B3541" s="14" t="inlineStr">
        <is>
          <t>NB-0035</t>
        </is>
      </c>
      <c r="C3541" s="14" t="n">
        <v>7</v>
      </c>
      <c r="D3541" s="14">
        <f>IF(A3541&gt;LastWeek-364,1,0)</f>
        <v/>
      </c>
      <c r="E3541" s="14">
        <f>C3541^2*D3541</f>
        <v/>
      </c>
    </row>
    <row r="3542">
      <c r="A3542" s="26" t="n">
        <v>45320</v>
      </c>
      <c r="B3542" s="14" t="inlineStr">
        <is>
          <t>NB-0035</t>
        </is>
      </c>
      <c r="C3542" s="14" t="n">
        <v>7</v>
      </c>
      <c r="D3542" s="14">
        <f>IF(A3542&gt;LastWeek-364,1,0)</f>
        <v/>
      </c>
      <c r="E3542" s="14">
        <f>C3542^2*D3542</f>
        <v/>
      </c>
    </row>
    <row r="3543">
      <c r="A3543" s="26" t="n">
        <v>45327</v>
      </c>
      <c r="B3543" s="14" t="inlineStr">
        <is>
          <t>NB-0035</t>
        </is>
      </c>
      <c r="C3543" s="14" t="n">
        <v>4</v>
      </c>
      <c r="D3543" s="14">
        <f>IF(A3543&gt;LastWeek-364,1,0)</f>
        <v/>
      </c>
      <c r="E3543" s="14">
        <f>C3543^2*D3543</f>
        <v/>
      </c>
    </row>
    <row r="3544">
      <c r="A3544" s="26" t="n">
        <v>45334</v>
      </c>
      <c r="B3544" s="14" t="inlineStr">
        <is>
          <t>NB-0035</t>
        </is>
      </c>
      <c r="C3544" s="14" t="n">
        <v>6</v>
      </c>
      <c r="D3544" s="14">
        <f>IF(A3544&gt;LastWeek-364,1,0)</f>
        <v/>
      </c>
      <c r="E3544" s="14">
        <f>C3544^2*D3544</f>
        <v/>
      </c>
    </row>
    <row r="3545">
      <c r="A3545" s="26" t="n">
        <v>45341</v>
      </c>
      <c r="B3545" s="14" t="inlineStr">
        <is>
          <t>NB-0035</t>
        </is>
      </c>
      <c r="C3545" s="14" t="n">
        <v>7</v>
      </c>
      <c r="D3545" s="14">
        <f>IF(A3545&gt;LastWeek-364,1,0)</f>
        <v/>
      </c>
      <c r="E3545" s="14">
        <f>C3545^2*D3545</f>
        <v/>
      </c>
    </row>
    <row r="3546">
      <c r="A3546" s="26" t="n">
        <v>45348</v>
      </c>
      <c r="B3546" s="14" t="inlineStr">
        <is>
          <t>NB-0035</t>
        </is>
      </c>
      <c r="C3546" s="14" t="n">
        <v>6</v>
      </c>
      <c r="D3546" s="14">
        <f>IF(A3546&gt;LastWeek-364,1,0)</f>
        <v/>
      </c>
      <c r="E3546" s="14">
        <f>C3546^2*D3546</f>
        <v/>
      </c>
    </row>
    <row r="3547">
      <c r="A3547" s="26" t="n">
        <v>45355</v>
      </c>
      <c r="B3547" s="14" t="inlineStr">
        <is>
          <t>NB-0035</t>
        </is>
      </c>
      <c r="C3547" s="14" t="n">
        <v>7</v>
      </c>
      <c r="D3547" s="14">
        <f>IF(A3547&gt;LastWeek-364,1,0)</f>
        <v/>
      </c>
      <c r="E3547" s="14">
        <f>C3547^2*D3547</f>
        <v/>
      </c>
    </row>
    <row r="3548">
      <c r="A3548" s="26" t="n">
        <v>45362</v>
      </c>
      <c r="B3548" s="14" t="inlineStr">
        <is>
          <t>NB-0035</t>
        </is>
      </c>
      <c r="C3548" s="14" t="n">
        <v>7</v>
      </c>
      <c r="D3548" s="14">
        <f>IF(A3548&gt;LastWeek-364,1,0)</f>
        <v/>
      </c>
      <c r="E3548" s="14">
        <f>C3548^2*D3548</f>
        <v/>
      </c>
    </row>
    <row r="3549">
      <c r="A3549" s="26" t="n">
        <v>45369</v>
      </c>
      <c r="B3549" s="14" t="inlineStr">
        <is>
          <t>NB-0035</t>
        </is>
      </c>
      <c r="C3549" s="14" t="n">
        <v>6</v>
      </c>
      <c r="D3549" s="14">
        <f>IF(A3549&gt;LastWeek-364,1,0)</f>
        <v/>
      </c>
      <c r="E3549" s="14">
        <f>C3549^2*D3549</f>
        <v/>
      </c>
    </row>
    <row r="3550">
      <c r="A3550" s="26" t="n">
        <v>45376</v>
      </c>
      <c r="B3550" s="14" t="inlineStr">
        <is>
          <t>NB-0035</t>
        </is>
      </c>
      <c r="C3550" s="14" t="n">
        <v>6</v>
      </c>
      <c r="D3550" s="14">
        <f>IF(A3550&gt;LastWeek-364,1,0)</f>
        <v/>
      </c>
      <c r="E3550" s="14">
        <f>C3550^2*D3550</f>
        <v/>
      </c>
    </row>
    <row r="3551">
      <c r="A3551" s="26" t="n">
        <v>45383</v>
      </c>
      <c r="B3551" s="14" t="inlineStr">
        <is>
          <t>NB-0035</t>
        </is>
      </c>
      <c r="C3551" s="14" t="n">
        <v>6</v>
      </c>
      <c r="D3551" s="14">
        <f>IF(A3551&gt;LastWeek-364,1,0)</f>
        <v/>
      </c>
      <c r="E3551" s="14">
        <f>C3551^2*D3551</f>
        <v/>
      </c>
    </row>
    <row r="3552">
      <c r="A3552" s="26" t="n">
        <v>45390</v>
      </c>
      <c r="B3552" s="14" t="inlineStr">
        <is>
          <t>NB-0035</t>
        </is>
      </c>
      <c r="C3552" s="14" t="n">
        <v>8</v>
      </c>
      <c r="D3552" s="14">
        <f>IF(A3552&gt;LastWeek-364,1,0)</f>
        <v/>
      </c>
      <c r="E3552" s="14">
        <f>C3552^2*D3552</f>
        <v/>
      </c>
    </row>
    <row r="3553">
      <c r="A3553" s="26" t="n">
        <v>45397</v>
      </c>
      <c r="B3553" s="14" t="inlineStr">
        <is>
          <t>NB-0035</t>
        </is>
      </c>
      <c r="C3553" s="14" t="n">
        <v>6</v>
      </c>
      <c r="D3553" s="14">
        <f>IF(A3553&gt;LastWeek-364,1,0)</f>
        <v/>
      </c>
      <c r="E3553" s="14">
        <f>C3553^2*D3553</f>
        <v/>
      </c>
    </row>
    <row r="3554">
      <c r="A3554" s="26" t="n">
        <v>45404</v>
      </c>
      <c r="B3554" s="14" t="inlineStr">
        <is>
          <t>NB-0035</t>
        </is>
      </c>
      <c r="C3554" s="14" t="n">
        <v>6</v>
      </c>
      <c r="D3554" s="14">
        <f>IF(A3554&gt;LastWeek-364,1,0)</f>
        <v/>
      </c>
      <c r="E3554" s="14">
        <f>C3554^2*D3554</f>
        <v/>
      </c>
    </row>
    <row r="3555">
      <c r="A3555" s="26" t="n">
        <v>45411</v>
      </c>
      <c r="B3555" s="14" t="inlineStr">
        <is>
          <t>NB-0035</t>
        </is>
      </c>
      <c r="C3555" s="14" t="n">
        <v>7</v>
      </c>
      <c r="D3555" s="14">
        <f>IF(A3555&gt;LastWeek-364,1,0)</f>
        <v/>
      </c>
      <c r="E3555" s="14">
        <f>C3555^2*D3555</f>
        <v/>
      </c>
    </row>
    <row r="3556">
      <c r="A3556" s="26" t="n">
        <v>45418</v>
      </c>
      <c r="B3556" s="14" t="inlineStr">
        <is>
          <t>NB-0035</t>
        </is>
      </c>
      <c r="C3556" s="14" t="n">
        <v>8</v>
      </c>
      <c r="D3556" s="14">
        <f>IF(A3556&gt;LastWeek-364,1,0)</f>
        <v/>
      </c>
      <c r="E3556" s="14">
        <f>C3556^2*D3556</f>
        <v/>
      </c>
    </row>
    <row r="3557">
      <c r="A3557" s="26" t="n">
        <v>45425</v>
      </c>
      <c r="B3557" s="14" t="inlineStr">
        <is>
          <t>NB-0035</t>
        </is>
      </c>
      <c r="C3557" s="14" t="n">
        <v>6</v>
      </c>
      <c r="D3557" s="14">
        <f>IF(A3557&gt;LastWeek-364,1,0)</f>
        <v/>
      </c>
      <c r="E3557" s="14">
        <f>C3557^2*D3557</f>
        <v/>
      </c>
    </row>
    <row r="3558">
      <c r="A3558" s="26" t="n">
        <v>45432</v>
      </c>
      <c r="B3558" s="14" t="inlineStr">
        <is>
          <t>NB-0035</t>
        </is>
      </c>
      <c r="C3558" s="14" t="n">
        <v>8</v>
      </c>
      <c r="D3558" s="14">
        <f>IF(A3558&gt;LastWeek-364,1,0)</f>
        <v/>
      </c>
      <c r="E3558" s="14">
        <f>C3558^2*D3558</f>
        <v/>
      </c>
    </row>
    <row r="3559">
      <c r="A3559" s="26" t="n">
        <v>45439</v>
      </c>
      <c r="B3559" s="14" t="inlineStr">
        <is>
          <t>NB-0035</t>
        </is>
      </c>
      <c r="C3559" s="14" t="n">
        <v>8</v>
      </c>
      <c r="D3559" s="14">
        <f>IF(A3559&gt;LastWeek-364,1,0)</f>
        <v/>
      </c>
      <c r="E3559" s="14">
        <f>C3559^2*D3559</f>
        <v/>
      </c>
    </row>
    <row r="3560">
      <c r="A3560" s="26" t="n">
        <v>45446</v>
      </c>
      <c r="B3560" s="14" t="inlineStr">
        <is>
          <t>NB-0035</t>
        </is>
      </c>
      <c r="C3560" s="14" t="n">
        <v>7</v>
      </c>
      <c r="D3560" s="14">
        <f>IF(A3560&gt;LastWeek-364,1,0)</f>
        <v/>
      </c>
      <c r="E3560" s="14">
        <f>C3560^2*D3560</f>
        <v/>
      </c>
    </row>
    <row r="3561">
      <c r="A3561" s="26" t="n">
        <v>45453</v>
      </c>
      <c r="B3561" s="14" t="inlineStr">
        <is>
          <t>NB-0035</t>
        </is>
      </c>
      <c r="C3561" s="14" t="n">
        <v>6</v>
      </c>
      <c r="D3561" s="14">
        <f>IF(A3561&gt;LastWeek-364,1,0)</f>
        <v/>
      </c>
      <c r="E3561" s="14">
        <f>C3561^2*D3561</f>
        <v/>
      </c>
    </row>
    <row r="3562">
      <c r="A3562" s="26" t="n">
        <v>45460</v>
      </c>
      <c r="B3562" s="14" t="inlineStr">
        <is>
          <t>NB-0035</t>
        </is>
      </c>
      <c r="C3562" s="14" t="n">
        <v>6</v>
      </c>
      <c r="D3562" s="14">
        <f>IF(A3562&gt;LastWeek-364,1,0)</f>
        <v/>
      </c>
      <c r="E3562" s="14">
        <f>C3562^2*D3562</f>
        <v/>
      </c>
    </row>
    <row r="3563">
      <c r="A3563" s="26" t="n">
        <v>45467</v>
      </c>
      <c r="B3563" s="14" t="inlineStr">
        <is>
          <t>NB-0035</t>
        </is>
      </c>
      <c r="C3563" s="14" t="n">
        <v>6</v>
      </c>
      <c r="D3563" s="14">
        <f>IF(A3563&gt;LastWeek-364,1,0)</f>
        <v/>
      </c>
      <c r="E3563" s="14">
        <f>C3563^2*D3563</f>
        <v/>
      </c>
    </row>
    <row r="3564">
      <c r="A3564" s="26" t="n">
        <v>45474</v>
      </c>
      <c r="B3564" s="14" t="inlineStr">
        <is>
          <t>NB-0035</t>
        </is>
      </c>
      <c r="C3564" s="14" t="n">
        <v>8</v>
      </c>
      <c r="D3564" s="14">
        <f>IF(A3564&gt;LastWeek-364,1,0)</f>
        <v/>
      </c>
      <c r="E3564" s="14">
        <f>C3564^2*D3564</f>
        <v/>
      </c>
    </row>
    <row r="3565">
      <c r="A3565" s="26" t="n">
        <v>45481</v>
      </c>
      <c r="B3565" s="14" t="inlineStr">
        <is>
          <t>NB-0035</t>
        </is>
      </c>
      <c r="C3565" s="14" t="n">
        <v>7</v>
      </c>
      <c r="D3565" s="14">
        <f>IF(A3565&gt;LastWeek-364,1,0)</f>
        <v/>
      </c>
      <c r="E3565" s="14">
        <f>C3565^2*D3565</f>
        <v/>
      </c>
    </row>
    <row r="3566">
      <c r="A3566" s="26" t="n">
        <v>45488</v>
      </c>
      <c r="B3566" s="14" t="inlineStr">
        <is>
          <t>NB-0035</t>
        </is>
      </c>
      <c r="C3566" s="14" t="n">
        <v>7</v>
      </c>
      <c r="D3566" s="14">
        <f>IF(A3566&gt;LastWeek-364,1,0)</f>
        <v/>
      </c>
      <c r="E3566" s="14">
        <f>C3566^2*D3566</f>
        <v/>
      </c>
    </row>
    <row r="3567">
      <c r="A3567" s="26" t="n">
        <v>45495</v>
      </c>
      <c r="B3567" s="14" t="inlineStr">
        <is>
          <t>NB-0035</t>
        </is>
      </c>
      <c r="C3567" s="14" t="n">
        <v>6</v>
      </c>
      <c r="D3567" s="14">
        <f>IF(A3567&gt;LastWeek-364,1,0)</f>
        <v/>
      </c>
      <c r="E3567" s="14">
        <f>C3567^2*D3567</f>
        <v/>
      </c>
    </row>
    <row r="3568">
      <c r="A3568" s="26" t="n">
        <v>45502</v>
      </c>
      <c r="B3568" s="14" t="inlineStr">
        <is>
          <t>NB-0035</t>
        </is>
      </c>
      <c r="C3568" s="14" t="n">
        <v>6</v>
      </c>
      <c r="D3568" s="14">
        <f>IF(A3568&gt;LastWeek-364,1,0)</f>
        <v/>
      </c>
      <c r="E3568" s="14">
        <f>C3568^2*D3568</f>
        <v/>
      </c>
    </row>
    <row r="3569">
      <c r="A3569" s="26" t="n">
        <v>45509</v>
      </c>
      <c r="B3569" s="14" t="inlineStr">
        <is>
          <t>NB-0035</t>
        </is>
      </c>
      <c r="C3569" s="14" t="n">
        <v>9</v>
      </c>
      <c r="D3569" s="14">
        <f>IF(A3569&gt;LastWeek-364,1,0)</f>
        <v/>
      </c>
      <c r="E3569" s="14">
        <f>C3569^2*D3569</f>
        <v/>
      </c>
    </row>
    <row r="3570">
      <c r="A3570" s="26" t="n">
        <v>45516</v>
      </c>
      <c r="B3570" s="14" t="inlineStr">
        <is>
          <t>NB-0035</t>
        </is>
      </c>
      <c r="C3570" s="14" t="n">
        <v>7</v>
      </c>
      <c r="D3570" s="14">
        <f>IF(A3570&gt;LastWeek-364,1,0)</f>
        <v/>
      </c>
      <c r="E3570" s="14">
        <f>C3570^2*D3570</f>
        <v/>
      </c>
    </row>
    <row r="3571">
      <c r="A3571" s="26" t="n">
        <v>45523</v>
      </c>
      <c r="B3571" s="14" t="inlineStr">
        <is>
          <t>NB-0035</t>
        </is>
      </c>
      <c r="C3571" s="14" t="n">
        <v>6</v>
      </c>
      <c r="D3571" s="14">
        <f>IF(A3571&gt;LastWeek-364,1,0)</f>
        <v/>
      </c>
      <c r="E3571" s="14">
        <f>C3571^2*D3571</f>
        <v/>
      </c>
    </row>
    <row r="3572">
      <c r="A3572" s="26" t="n">
        <v>45530</v>
      </c>
      <c r="B3572" s="14" t="inlineStr">
        <is>
          <t>NB-0035</t>
        </is>
      </c>
      <c r="C3572" s="14" t="n">
        <v>9</v>
      </c>
      <c r="D3572" s="14">
        <f>IF(A3572&gt;LastWeek-364,1,0)</f>
        <v/>
      </c>
      <c r="E3572" s="14">
        <f>C3572^2*D3572</f>
        <v/>
      </c>
    </row>
    <row r="3573">
      <c r="A3573" s="26" t="n">
        <v>45537</v>
      </c>
      <c r="B3573" s="14" t="inlineStr">
        <is>
          <t>NB-0035</t>
        </is>
      </c>
      <c r="C3573" s="14" t="n">
        <v>7</v>
      </c>
      <c r="D3573" s="14">
        <f>IF(A3573&gt;LastWeek-364,1,0)</f>
        <v/>
      </c>
      <c r="E3573" s="14">
        <f>C3573^2*D3573</f>
        <v/>
      </c>
    </row>
    <row r="3574">
      <c r="A3574" s="26" t="n">
        <v>45544</v>
      </c>
      <c r="B3574" s="14" t="inlineStr">
        <is>
          <t>NB-0035</t>
        </is>
      </c>
      <c r="C3574" s="14" t="n">
        <v>8</v>
      </c>
      <c r="D3574" s="14">
        <f>IF(A3574&gt;LastWeek-364,1,0)</f>
        <v/>
      </c>
      <c r="E3574" s="14">
        <f>C3574^2*D3574</f>
        <v/>
      </c>
    </row>
    <row r="3575">
      <c r="A3575" s="26" t="n">
        <v>45551</v>
      </c>
      <c r="B3575" s="14" t="inlineStr">
        <is>
          <t>NB-0035</t>
        </is>
      </c>
      <c r="C3575" s="14" t="n">
        <v>7</v>
      </c>
      <c r="D3575" s="14">
        <f>IF(A3575&gt;LastWeek-364,1,0)</f>
        <v/>
      </c>
      <c r="E3575" s="14">
        <f>C3575^2*D3575</f>
        <v/>
      </c>
    </row>
    <row r="3576">
      <c r="A3576" s="26" t="n">
        <v>45558</v>
      </c>
      <c r="B3576" s="14" t="inlineStr">
        <is>
          <t>NB-0035</t>
        </is>
      </c>
      <c r="C3576" s="14" t="n">
        <v>7</v>
      </c>
      <c r="D3576" s="14">
        <f>IF(A3576&gt;LastWeek-364,1,0)</f>
        <v/>
      </c>
      <c r="E3576" s="14">
        <f>C3576^2*D3576</f>
        <v/>
      </c>
    </row>
    <row r="3577">
      <c r="A3577" s="26" t="n">
        <v>45565</v>
      </c>
      <c r="B3577" s="14" t="inlineStr">
        <is>
          <t>NB-0035</t>
        </is>
      </c>
      <c r="C3577" s="14" t="n">
        <v>7</v>
      </c>
      <c r="D3577" s="14">
        <f>IF(A3577&gt;LastWeek-364,1,0)</f>
        <v/>
      </c>
      <c r="E3577" s="14">
        <f>C3577^2*D3577</f>
        <v/>
      </c>
    </row>
    <row r="3578">
      <c r="A3578" s="26" t="n">
        <v>45572</v>
      </c>
      <c r="B3578" s="14" t="inlineStr">
        <is>
          <t>NB-0035</t>
        </is>
      </c>
      <c r="C3578" s="14" t="n">
        <v>6</v>
      </c>
      <c r="D3578" s="14">
        <f>IF(A3578&gt;LastWeek-364,1,0)</f>
        <v/>
      </c>
      <c r="E3578" s="14">
        <f>C3578^2*D3578</f>
        <v/>
      </c>
    </row>
    <row r="3579">
      <c r="A3579" s="26" t="n">
        <v>45579</v>
      </c>
      <c r="B3579" s="14" t="inlineStr">
        <is>
          <t>NB-0035</t>
        </is>
      </c>
      <c r="C3579" s="14" t="n">
        <v>7</v>
      </c>
      <c r="D3579" s="14">
        <f>IF(A3579&gt;LastWeek-364,1,0)</f>
        <v/>
      </c>
      <c r="E3579" s="14">
        <f>C3579^2*D3579</f>
        <v/>
      </c>
    </row>
    <row r="3580">
      <c r="A3580" s="26" t="n">
        <v>45586</v>
      </c>
      <c r="B3580" s="14" t="inlineStr">
        <is>
          <t>NB-0035</t>
        </is>
      </c>
      <c r="C3580" s="14" t="n">
        <v>8</v>
      </c>
      <c r="D3580" s="14">
        <f>IF(A3580&gt;LastWeek-364,1,0)</f>
        <v/>
      </c>
      <c r="E3580" s="14">
        <f>C3580^2*D3580</f>
        <v/>
      </c>
    </row>
    <row r="3581">
      <c r="A3581" s="26" t="n">
        <v>45593</v>
      </c>
      <c r="B3581" s="14" t="inlineStr">
        <is>
          <t>NB-0035</t>
        </is>
      </c>
      <c r="C3581" s="14" t="n">
        <v>10</v>
      </c>
      <c r="D3581" s="14">
        <f>IF(A3581&gt;LastWeek-364,1,0)</f>
        <v/>
      </c>
      <c r="E3581" s="14">
        <f>C3581^2*D3581</f>
        <v/>
      </c>
    </row>
    <row r="3582">
      <c r="A3582" s="26" t="n">
        <v>45600</v>
      </c>
      <c r="B3582" s="14" t="inlineStr">
        <is>
          <t>NB-0035</t>
        </is>
      </c>
      <c r="C3582" s="14" t="n">
        <v>8</v>
      </c>
      <c r="D3582" s="14">
        <f>IF(A3582&gt;LastWeek-364,1,0)</f>
        <v/>
      </c>
      <c r="E3582" s="14">
        <f>C3582^2*D3582</f>
        <v/>
      </c>
    </row>
    <row r="3583">
      <c r="A3583" s="26" t="n">
        <v>45607</v>
      </c>
      <c r="B3583" s="14" t="inlineStr">
        <is>
          <t>NB-0035</t>
        </is>
      </c>
      <c r="C3583" s="14" t="n">
        <v>5</v>
      </c>
      <c r="D3583" s="14">
        <f>IF(A3583&gt;LastWeek-364,1,0)</f>
        <v/>
      </c>
      <c r="E3583" s="14">
        <f>C3583^2*D3583</f>
        <v/>
      </c>
    </row>
    <row r="3584">
      <c r="A3584" s="26" t="n">
        <v>45614</v>
      </c>
      <c r="B3584" s="14" t="inlineStr">
        <is>
          <t>NB-0035</t>
        </is>
      </c>
      <c r="C3584" s="14" t="n">
        <v>8</v>
      </c>
      <c r="D3584" s="14">
        <f>IF(A3584&gt;LastWeek-364,1,0)</f>
        <v/>
      </c>
      <c r="E3584" s="14">
        <f>C3584^2*D3584</f>
        <v/>
      </c>
    </row>
    <row r="3585">
      <c r="A3585" s="26" t="n">
        <v>45621</v>
      </c>
      <c r="B3585" s="14" t="inlineStr">
        <is>
          <t>NB-0035</t>
        </is>
      </c>
      <c r="C3585" s="14" t="n">
        <v>12</v>
      </c>
      <c r="D3585" s="14">
        <f>IF(A3585&gt;LastWeek-364,1,0)</f>
        <v/>
      </c>
      <c r="E3585" s="14">
        <f>C3585^2*D3585</f>
        <v/>
      </c>
    </row>
    <row r="3586">
      <c r="A3586" s="26" t="n">
        <v>45628</v>
      </c>
      <c r="B3586" s="14" t="inlineStr">
        <is>
          <t>NB-0035</t>
        </is>
      </c>
      <c r="C3586" s="14" t="n">
        <v>9</v>
      </c>
      <c r="D3586" s="14">
        <f>IF(A3586&gt;LastWeek-364,1,0)</f>
        <v/>
      </c>
      <c r="E3586" s="14">
        <f>C3586^2*D3586</f>
        <v/>
      </c>
    </row>
    <row r="3587">
      <c r="A3587" s="26" t="n">
        <v>45635</v>
      </c>
      <c r="B3587" s="14" t="inlineStr">
        <is>
          <t>NB-0035</t>
        </is>
      </c>
      <c r="C3587" s="14" t="n">
        <v>7</v>
      </c>
      <c r="D3587" s="14">
        <f>IF(A3587&gt;LastWeek-364,1,0)</f>
        <v/>
      </c>
      <c r="E3587" s="14">
        <f>C3587^2*D3587</f>
        <v/>
      </c>
    </row>
    <row r="3588">
      <c r="A3588" s="26" t="n">
        <v>45642</v>
      </c>
      <c r="B3588" s="14" t="inlineStr">
        <is>
          <t>NB-0035</t>
        </is>
      </c>
      <c r="C3588" s="14" t="n">
        <v>9</v>
      </c>
      <c r="D3588" s="14">
        <f>IF(A3588&gt;LastWeek-364,1,0)</f>
        <v/>
      </c>
      <c r="E3588" s="14">
        <f>C3588^2*D3588</f>
        <v/>
      </c>
    </row>
    <row r="3589">
      <c r="A3589" s="26" t="n">
        <v>45649</v>
      </c>
      <c r="B3589" s="14" t="inlineStr">
        <is>
          <t>NB-0035</t>
        </is>
      </c>
      <c r="C3589" s="14" t="n">
        <v>7</v>
      </c>
      <c r="D3589" s="14">
        <f>IF(A3589&gt;LastWeek-364,1,0)</f>
        <v/>
      </c>
      <c r="E3589" s="14">
        <f>C3589^2*D3589</f>
        <v/>
      </c>
    </row>
    <row r="3590">
      <c r="A3590" s="26" t="n">
        <v>45656</v>
      </c>
      <c r="B3590" s="14" t="inlineStr">
        <is>
          <t>NB-0035</t>
        </is>
      </c>
      <c r="C3590" s="14" t="n">
        <v>6</v>
      </c>
      <c r="D3590" s="14">
        <f>IF(A3590&gt;LastWeek-364,1,0)</f>
        <v/>
      </c>
      <c r="E3590" s="14">
        <f>C3590^2*D3590</f>
        <v/>
      </c>
    </row>
    <row r="3591">
      <c r="A3591" s="26" t="n">
        <v>45663</v>
      </c>
      <c r="B3591" s="14" t="inlineStr">
        <is>
          <t>NB-0035</t>
        </is>
      </c>
      <c r="C3591" s="14" t="n">
        <v>8</v>
      </c>
      <c r="D3591" s="14">
        <f>IF(A3591&gt;LastWeek-364,1,0)</f>
        <v/>
      </c>
      <c r="E3591" s="14">
        <f>C3591^2*D3591</f>
        <v/>
      </c>
    </row>
    <row r="3592">
      <c r="A3592" s="26" t="n">
        <v>45670</v>
      </c>
      <c r="B3592" s="14" t="inlineStr">
        <is>
          <t>NB-0035</t>
        </is>
      </c>
      <c r="C3592" s="14" t="n">
        <v>8</v>
      </c>
      <c r="D3592" s="14">
        <f>IF(A3592&gt;LastWeek-364,1,0)</f>
        <v/>
      </c>
      <c r="E3592" s="14">
        <f>C3592^2*D3592</f>
        <v/>
      </c>
    </row>
    <row r="3593">
      <c r="A3593" s="26" t="n">
        <v>45677</v>
      </c>
      <c r="B3593" s="14" t="inlineStr">
        <is>
          <t>NB-0035</t>
        </is>
      </c>
      <c r="C3593" s="14" t="n">
        <v>6</v>
      </c>
      <c r="D3593" s="14">
        <f>IF(A3593&gt;LastWeek-364,1,0)</f>
        <v/>
      </c>
      <c r="E3593" s="14">
        <f>C3593^2*D3593</f>
        <v/>
      </c>
    </row>
    <row r="3594">
      <c r="A3594" s="26" t="n">
        <v>45684</v>
      </c>
      <c r="B3594" s="14" t="inlineStr">
        <is>
          <t>NB-0035</t>
        </is>
      </c>
      <c r="C3594" s="14" t="n">
        <v>7</v>
      </c>
      <c r="D3594" s="14">
        <f>IF(A3594&gt;LastWeek-364,1,0)</f>
        <v/>
      </c>
      <c r="E3594" s="14">
        <f>C3594^2*D3594</f>
        <v/>
      </c>
    </row>
    <row r="3595">
      <c r="A3595" s="26" t="n">
        <v>45691</v>
      </c>
      <c r="B3595" s="14" t="inlineStr">
        <is>
          <t>NB-0035</t>
        </is>
      </c>
      <c r="C3595" s="14" t="n">
        <v>8</v>
      </c>
      <c r="D3595" s="14">
        <f>IF(A3595&gt;LastWeek-364,1,0)</f>
        <v/>
      </c>
      <c r="E3595" s="14">
        <f>C3595^2*D3595</f>
        <v/>
      </c>
    </row>
    <row r="3596">
      <c r="A3596" s="26" t="n">
        <v>45698</v>
      </c>
      <c r="B3596" s="14" t="inlineStr">
        <is>
          <t>NB-0035</t>
        </is>
      </c>
      <c r="C3596" s="14" t="n">
        <v>8</v>
      </c>
      <c r="D3596" s="14">
        <f>IF(A3596&gt;LastWeek-364,1,0)</f>
        <v/>
      </c>
      <c r="E3596" s="14">
        <f>C3596^2*D3596</f>
        <v/>
      </c>
    </row>
    <row r="3597">
      <c r="A3597" s="26" t="n">
        <v>45705</v>
      </c>
      <c r="B3597" s="14" t="inlineStr">
        <is>
          <t>NB-0035</t>
        </is>
      </c>
      <c r="C3597" s="14" t="n">
        <v>9</v>
      </c>
      <c r="D3597" s="14">
        <f>IF(A3597&gt;LastWeek-364,1,0)</f>
        <v/>
      </c>
      <c r="E3597" s="14">
        <f>C3597^2*D3597</f>
        <v/>
      </c>
    </row>
    <row r="3598">
      <c r="A3598" s="26" t="n">
        <v>45712</v>
      </c>
      <c r="B3598" s="14" t="inlineStr">
        <is>
          <t>NB-0035</t>
        </is>
      </c>
      <c r="C3598" s="14" t="n">
        <v>7</v>
      </c>
      <c r="D3598" s="14">
        <f>IF(A3598&gt;LastWeek-364,1,0)</f>
        <v/>
      </c>
      <c r="E3598" s="14">
        <f>C3598^2*D3598</f>
        <v/>
      </c>
    </row>
    <row r="3599">
      <c r="A3599" s="26" t="n">
        <v>45719</v>
      </c>
      <c r="B3599" s="14" t="inlineStr">
        <is>
          <t>NB-0035</t>
        </is>
      </c>
      <c r="C3599" s="14" t="n">
        <v>9</v>
      </c>
      <c r="D3599" s="14">
        <f>IF(A3599&gt;LastWeek-364,1,0)</f>
        <v/>
      </c>
      <c r="E3599" s="14">
        <f>C3599^2*D3599</f>
        <v/>
      </c>
    </row>
    <row r="3600">
      <c r="A3600" s="26" t="n">
        <v>45726</v>
      </c>
      <c r="B3600" s="14" t="inlineStr">
        <is>
          <t>NB-0035</t>
        </is>
      </c>
      <c r="C3600" s="14" t="n">
        <v>7</v>
      </c>
      <c r="D3600" s="14">
        <f>IF(A3600&gt;LastWeek-364,1,0)</f>
        <v/>
      </c>
      <c r="E3600" s="14">
        <f>C3600^2*D3600</f>
        <v/>
      </c>
    </row>
    <row r="3601">
      <c r="A3601" s="26" t="n">
        <v>45733</v>
      </c>
      <c r="B3601" s="14" t="inlineStr">
        <is>
          <t>NB-0035</t>
        </is>
      </c>
      <c r="C3601" s="14" t="n">
        <v>11</v>
      </c>
      <c r="D3601" s="14">
        <f>IF(A3601&gt;LastWeek-364,1,0)</f>
        <v/>
      </c>
      <c r="E3601" s="14">
        <f>C3601^2*D3601</f>
        <v/>
      </c>
    </row>
    <row r="3602">
      <c r="A3602" s="26" t="n">
        <v>45740</v>
      </c>
      <c r="B3602" s="14" t="inlineStr">
        <is>
          <t>NB-0035</t>
        </is>
      </c>
      <c r="C3602" s="14" t="n">
        <v>6</v>
      </c>
      <c r="D3602" s="14">
        <f>IF(A3602&gt;LastWeek-364,1,0)</f>
        <v/>
      </c>
      <c r="E3602" s="14">
        <f>C3602^2*D3602</f>
        <v/>
      </c>
    </row>
    <row r="3603">
      <c r="A3603" s="26" t="n">
        <v>45747</v>
      </c>
      <c r="B3603" s="14" t="inlineStr">
        <is>
          <t>NB-0035</t>
        </is>
      </c>
      <c r="C3603" s="14" t="n">
        <v>7</v>
      </c>
      <c r="D3603" s="14">
        <f>IF(A3603&gt;LastWeek-364,1,0)</f>
        <v/>
      </c>
      <c r="E3603" s="14">
        <f>C3603^2*D3603</f>
        <v/>
      </c>
    </row>
    <row r="3604">
      <c r="A3604" s="26" t="n">
        <v>45754</v>
      </c>
      <c r="B3604" s="14" t="inlineStr">
        <is>
          <t>NB-0035</t>
        </is>
      </c>
      <c r="C3604" s="14" t="n">
        <v>9</v>
      </c>
      <c r="D3604" s="14">
        <f>IF(A3604&gt;LastWeek-364,1,0)</f>
        <v/>
      </c>
      <c r="E3604" s="14">
        <f>C3604^2*D3604</f>
        <v/>
      </c>
    </row>
    <row r="3605">
      <c r="A3605" s="26" t="n">
        <v>45761</v>
      </c>
      <c r="B3605" s="14" t="inlineStr">
        <is>
          <t>NB-0035</t>
        </is>
      </c>
      <c r="C3605" s="14" t="n">
        <v>11</v>
      </c>
      <c r="D3605" s="14">
        <f>IF(A3605&gt;LastWeek-364,1,0)</f>
        <v/>
      </c>
      <c r="E3605" s="14">
        <f>C3605^2*D3605</f>
        <v/>
      </c>
    </row>
    <row r="3606">
      <c r="A3606" s="26" t="n">
        <v>45768</v>
      </c>
      <c r="B3606" s="14" t="inlineStr">
        <is>
          <t>NB-0035</t>
        </is>
      </c>
      <c r="C3606" s="14" t="n">
        <v>9</v>
      </c>
      <c r="D3606" s="14">
        <f>IF(A3606&gt;LastWeek-364,1,0)</f>
        <v/>
      </c>
      <c r="E3606" s="14">
        <f>C3606^2*D3606</f>
        <v/>
      </c>
    </row>
    <row r="3607">
      <c r="A3607" s="26" t="n">
        <v>45775</v>
      </c>
      <c r="B3607" s="14" t="inlineStr">
        <is>
          <t>NB-0035</t>
        </is>
      </c>
      <c r="C3607" s="14" t="n">
        <v>9</v>
      </c>
      <c r="D3607" s="14">
        <f>IF(A3607&gt;LastWeek-364,1,0)</f>
        <v/>
      </c>
      <c r="E3607" s="14">
        <f>C3607^2*D3607</f>
        <v/>
      </c>
    </row>
    <row r="3608">
      <c r="A3608" s="26" t="n">
        <v>45782</v>
      </c>
      <c r="B3608" s="14" t="inlineStr">
        <is>
          <t>NB-0035</t>
        </is>
      </c>
      <c r="C3608" s="14" t="n">
        <v>9</v>
      </c>
      <c r="D3608" s="14">
        <f>IF(A3608&gt;LastWeek-364,1,0)</f>
        <v/>
      </c>
      <c r="E3608" s="14">
        <f>C3608^2*D3608</f>
        <v/>
      </c>
    </row>
    <row r="3609">
      <c r="A3609" s="26" t="n">
        <v>45789</v>
      </c>
      <c r="B3609" s="14" t="inlineStr">
        <is>
          <t>NB-0035</t>
        </is>
      </c>
      <c r="C3609" s="14" t="n">
        <v>7</v>
      </c>
      <c r="D3609" s="14">
        <f>IF(A3609&gt;LastWeek-364,1,0)</f>
        <v/>
      </c>
      <c r="E3609" s="14">
        <f>C3609^2*D3609</f>
        <v/>
      </c>
    </row>
    <row r="3610">
      <c r="A3610" s="26" t="n">
        <v>45796</v>
      </c>
      <c r="B3610" s="14" t="inlineStr">
        <is>
          <t>NB-0035</t>
        </is>
      </c>
      <c r="C3610" s="14" t="n">
        <v>8</v>
      </c>
      <c r="D3610" s="14">
        <f>IF(A3610&gt;LastWeek-364,1,0)</f>
        <v/>
      </c>
      <c r="E3610" s="14">
        <f>C3610^2*D3610</f>
        <v/>
      </c>
    </row>
    <row r="3611">
      <c r="A3611" s="26" t="n">
        <v>45803</v>
      </c>
      <c r="B3611" s="14" t="inlineStr">
        <is>
          <t>NB-0035</t>
        </is>
      </c>
      <c r="C3611" s="14" t="n">
        <v>7</v>
      </c>
      <c r="D3611" s="14">
        <f>IF(A3611&gt;LastWeek-364,1,0)</f>
        <v/>
      </c>
      <c r="E3611" s="14">
        <f>C3611^2*D3611</f>
        <v/>
      </c>
    </row>
    <row r="3612">
      <c r="A3612" s="26" t="n">
        <v>45810</v>
      </c>
      <c r="B3612" s="14" t="inlineStr">
        <is>
          <t>NB-0035</t>
        </is>
      </c>
      <c r="C3612" s="14" t="n">
        <v>7</v>
      </c>
      <c r="D3612" s="14">
        <f>IF(A3612&gt;LastWeek-364,1,0)</f>
        <v/>
      </c>
      <c r="E3612" s="14">
        <f>C3612^2*D3612</f>
        <v/>
      </c>
    </row>
    <row r="3613">
      <c r="A3613" s="26" t="n">
        <v>45817</v>
      </c>
      <c r="B3613" s="14" t="inlineStr">
        <is>
          <t>NB-0035</t>
        </is>
      </c>
      <c r="C3613" s="14" t="n">
        <v>9</v>
      </c>
      <c r="D3613" s="14">
        <f>IF(A3613&gt;LastWeek-364,1,0)</f>
        <v/>
      </c>
      <c r="E3613" s="14">
        <f>C3613^2*D3613</f>
        <v/>
      </c>
    </row>
    <row r="3614">
      <c r="A3614" s="26" t="n">
        <v>45824</v>
      </c>
      <c r="B3614" s="14" t="inlineStr">
        <is>
          <t>NB-0035</t>
        </is>
      </c>
      <c r="C3614" s="14" t="n">
        <v>7</v>
      </c>
      <c r="D3614" s="14">
        <f>IF(A3614&gt;LastWeek-364,1,0)</f>
        <v/>
      </c>
      <c r="E3614" s="14">
        <f>C3614^2*D3614</f>
        <v/>
      </c>
    </row>
    <row r="3615">
      <c r="A3615" s="26" t="n">
        <v>45831</v>
      </c>
      <c r="B3615" s="14" t="inlineStr">
        <is>
          <t>NB-0035</t>
        </is>
      </c>
      <c r="C3615" s="14" t="n">
        <v>9</v>
      </c>
      <c r="D3615" s="14">
        <f>IF(A3615&gt;LastWeek-364,1,0)</f>
        <v/>
      </c>
      <c r="E3615" s="14">
        <f>C3615^2*D3615</f>
        <v/>
      </c>
    </row>
    <row r="3616">
      <c r="A3616" s="26" t="n">
        <v>45838</v>
      </c>
      <c r="B3616" s="14" t="inlineStr">
        <is>
          <t>NB-0035</t>
        </is>
      </c>
      <c r="C3616" s="14" t="n">
        <v>7</v>
      </c>
      <c r="D3616" s="14">
        <f>IF(A3616&gt;LastWeek-364,1,0)</f>
        <v/>
      </c>
      <c r="E3616" s="14">
        <f>C3616^2*D3616</f>
        <v/>
      </c>
    </row>
    <row r="3617">
      <c r="A3617" s="26" t="n">
        <v>45845</v>
      </c>
      <c r="B3617" s="14" t="inlineStr">
        <is>
          <t>NB-0035</t>
        </is>
      </c>
      <c r="C3617" s="14" t="n">
        <v>9</v>
      </c>
      <c r="D3617" s="14">
        <f>IF(A3617&gt;LastWeek-364,1,0)</f>
        <v/>
      </c>
      <c r="E3617" s="14">
        <f>C3617^2*D3617</f>
        <v/>
      </c>
    </row>
    <row r="3618">
      <c r="A3618" s="26" t="n">
        <v>45852</v>
      </c>
      <c r="B3618" s="14" t="inlineStr">
        <is>
          <t>NB-0035</t>
        </is>
      </c>
      <c r="C3618" s="14" t="n">
        <v>8</v>
      </c>
      <c r="D3618" s="14">
        <f>IF(A3618&gt;LastWeek-364,1,0)</f>
        <v/>
      </c>
      <c r="E3618" s="14">
        <f>C3618^2*D3618</f>
        <v/>
      </c>
    </row>
    <row r="3619">
      <c r="A3619" s="26" t="n">
        <v>45859</v>
      </c>
      <c r="B3619" s="14" t="inlineStr">
        <is>
          <t>NB-0035</t>
        </is>
      </c>
      <c r="C3619" s="14" t="n">
        <v>11</v>
      </c>
      <c r="D3619" s="14">
        <f>IF(A3619&gt;LastWeek-364,1,0)</f>
        <v/>
      </c>
      <c r="E3619" s="14">
        <f>C3619^2*D3619</f>
        <v/>
      </c>
    </row>
    <row r="3620">
      <c r="A3620" s="26" t="n">
        <v>45866</v>
      </c>
      <c r="B3620" s="14" t="inlineStr">
        <is>
          <t>NB-0035</t>
        </is>
      </c>
      <c r="C3620" s="14" t="n">
        <v>9</v>
      </c>
      <c r="D3620" s="14">
        <f>IF(A3620&gt;LastWeek-364,1,0)</f>
        <v/>
      </c>
      <c r="E3620" s="14">
        <f>C3620^2*D3620</f>
        <v/>
      </c>
    </row>
    <row r="3621">
      <c r="A3621" s="26" t="n">
        <v>45873</v>
      </c>
      <c r="B3621" s="14" t="inlineStr">
        <is>
          <t>NB-0035</t>
        </is>
      </c>
      <c r="C3621" s="14" t="n">
        <v>11</v>
      </c>
      <c r="D3621" s="14">
        <f>IF(A3621&gt;LastWeek-364,1,0)</f>
        <v/>
      </c>
      <c r="E3621" s="14">
        <f>C3621^2*D3621</f>
        <v/>
      </c>
    </row>
    <row r="3622">
      <c r="A3622" s="26" t="n">
        <v>45880</v>
      </c>
      <c r="B3622" s="14" t="inlineStr">
        <is>
          <t>NB-0035</t>
        </is>
      </c>
      <c r="C3622" s="14" t="n">
        <v>8</v>
      </c>
      <c r="D3622" s="14">
        <f>IF(A3622&gt;LastWeek-364,1,0)</f>
        <v/>
      </c>
      <c r="E3622" s="14">
        <f>C3622^2*D3622</f>
        <v/>
      </c>
    </row>
    <row r="3623">
      <c r="A3623" s="26" t="n">
        <v>45887</v>
      </c>
      <c r="B3623" s="14" t="inlineStr">
        <is>
          <t>NB-0035</t>
        </is>
      </c>
      <c r="C3623" s="14" t="n">
        <v>9</v>
      </c>
      <c r="D3623" s="14">
        <f>IF(A3623&gt;LastWeek-364,1,0)</f>
        <v/>
      </c>
      <c r="E3623" s="14">
        <f>C3623^2*D3623</f>
        <v/>
      </c>
    </row>
    <row r="3624">
      <c r="A3624" s="26" t="n">
        <v>45894</v>
      </c>
      <c r="B3624" s="14" t="inlineStr">
        <is>
          <t>NB-0035</t>
        </is>
      </c>
      <c r="C3624" s="14" t="n">
        <v>8</v>
      </c>
      <c r="D3624" s="14">
        <f>IF(A3624&gt;LastWeek-364,1,0)</f>
        <v/>
      </c>
      <c r="E3624" s="14">
        <f>C3624^2*D3624</f>
        <v/>
      </c>
    </row>
    <row r="3625">
      <c r="A3625" s="26" t="n">
        <v>45901</v>
      </c>
      <c r="B3625" s="14" t="inlineStr">
        <is>
          <t>NB-0035</t>
        </is>
      </c>
      <c r="C3625" s="14" t="n">
        <v>9</v>
      </c>
      <c r="D3625" s="14">
        <f>IF(A3625&gt;LastWeek-364,1,0)</f>
        <v/>
      </c>
      <c r="E3625" s="14">
        <f>C3625^2*D3625</f>
        <v/>
      </c>
    </row>
    <row r="3626">
      <c r="A3626" s="26" t="n">
        <v>45908</v>
      </c>
      <c r="B3626" s="14" t="inlineStr">
        <is>
          <t>NB-0035</t>
        </is>
      </c>
      <c r="C3626" s="14" t="n">
        <v>9</v>
      </c>
      <c r="D3626" s="14">
        <f>IF(A3626&gt;LastWeek-364,1,0)</f>
        <v/>
      </c>
      <c r="E3626" s="14">
        <f>C3626^2*D3626</f>
        <v/>
      </c>
    </row>
    <row r="3627">
      <c r="A3627" s="26" t="n">
        <v>45915</v>
      </c>
      <c r="B3627" s="14" t="inlineStr">
        <is>
          <t>NB-0035</t>
        </is>
      </c>
      <c r="C3627" s="14" t="n">
        <v>8</v>
      </c>
      <c r="D3627" s="14">
        <f>IF(A3627&gt;LastWeek-364,1,0)</f>
        <v/>
      </c>
      <c r="E3627" s="14">
        <f>C3627^2*D3627</f>
        <v/>
      </c>
    </row>
    <row r="3628">
      <c r="A3628" s="26" t="n">
        <v>45922</v>
      </c>
      <c r="B3628" s="14" t="inlineStr">
        <is>
          <t>NB-0035</t>
        </is>
      </c>
      <c r="C3628" s="14" t="n">
        <v>7</v>
      </c>
      <c r="D3628" s="14">
        <f>IF(A3628&gt;LastWeek-364,1,0)</f>
        <v/>
      </c>
      <c r="E3628" s="14">
        <f>C3628^2*D3628</f>
        <v/>
      </c>
    </row>
    <row r="3629">
      <c r="A3629" s="26" t="n">
        <v>45929</v>
      </c>
      <c r="B3629" s="14" t="inlineStr">
        <is>
          <t>NB-0035</t>
        </is>
      </c>
      <c r="C3629" s="14" t="n">
        <v>7</v>
      </c>
      <c r="D3629" s="14">
        <f>IF(A3629&gt;LastWeek-364,1,0)</f>
        <v/>
      </c>
      <c r="E3629" s="14">
        <f>C3629^2*D3629</f>
        <v/>
      </c>
    </row>
    <row r="3630">
      <c r="A3630" s="26" t="n">
        <v>45936</v>
      </c>
      <c r="B3630" s="14" t="inlineStr">
        <is>
          <t>NB-0035</t>
        </is>
      </c>
      <c r="C3630" s="14" t="n">
        <v>6</v>
      </c>
      <c r="D3630" s="14">
        <f>IF(A3630&gt;LastWeek-364,1,0)</f>
        <v/>
      </c>
      <c r="E3630" s="14">
        <f>C3630^2*D3630</f>
        <v/>
      </c>
    </row>
    <row r="3631">
      <c r="A3631" s="26" t="n">
        <v>45943</v>
      </c>
      <c r="B3631" s="14" t="inlineStr">
        <is>
          <t>NB-0035</t>
        </is>
      </c>
      <c r="C3631" s="14" t="n">
        <v>8</v>
      </c>
      <c r="D3631" s="14">
        <f>IF(A3631&gt;LastWeek-364,1,0)</f>
        <v/>
      </c>
      <c r="E3631" s="14">
        <f>C3631^2*D3631</f>
        <v/>
      </c>
    </row>
    <row r="3632">
      <c r="A3632" s="26" t="n">
        <v>45950</v>
      </c>
      <c r="B3632" s="14" t="inlineStr">
        <is>
          <t>NB-0035</t>
        </is>
      </c>
      <c r="C3632" s="14" t="n">
        <v>11</v>
      </c>
      <c r="D3632" s="14">
        <f>IF(A3632&gt;LastWeek-364,1,0)</f>
        <v/>
      </c>
      <c r="E3632" s="14">
        <f>C3632^2*D3632</f>
        <v/>
      </c>
    </row>
    <row r="3633">
      <c r="A3633" s="26" t="n">
        <v>45957</v>
      </c>
      <c r="B3633" s="14" t="inlineStr">
        <is>
          <t>NB-0035</t>
        </is>
      </c>
      <c r="C3633" s="14" t="n">
        <v>7</v>
      </c>
      <c r="D3633" s="14">
        <f>IF(A3633&gt;LastWeek-364,1,0)</f>
        <v/>
      </c>
      <c r="E3633" s="14">
        <f>C3633^2*D3633</f>
        <v/>
      </c>
    </row>
    <row r="3634">
      <c r="A3634" s="26" t="n">
        <v>45964</v>
      </c>
      <c r="B3634" s="14" t="inlineStr">
        <is>
          <t>NB-0035</t>
        </is>
      </c>
      <c r="C3634" s="14" t="n">
        <v>8</v>
      </c>
      <c r="D3634" s="14">
        <f>IF(A3634&gt;LastWeek-364,1,0)</f>
        <v/>
      </c>
      <c r="E3634" s="14">
        <f>C3634^2*D3634</f>
        <v/>
      </c>
    </row>
    <row r="3635">
      <c r="A3635" s="26" t="n">
        <v>45971</v>
      </c>
      <c r="B3635" s="14" t="inlineStr">
        <is>
          <t>NB-0035</t>
        </is>
      </c>
      <c r="C3635" s="14" t="n">
        <v>13</v>
      </c>
      <c r="D3635" s="14">
        <f>IF(A3635&gt;LastWeek-364,1,0)</f>
        <v/>
      </c>
      <c r="E3635" s="14">
        <f>C3635^2*D3635</f>
        <v/>
      </c>
    </row>
    <row r="3636">
      <c r="A3636" s="26" t="n">
        <v>45978</v>
      </c>
      <c r="B3636" s="14" t="inlineStr">
        <is>
          <t>NB-0035</t>
        </is>
      </c>
      <c r="C3636" s="14" t="n">
        <v>9</v>
      </c>
      <c r="D3636" s="14">
        <f>IF(A3636&gt;LastWeek-364,1,0)</f>
        <v/>
      </c>
      <c r="E3636" s="14">
        <f>C3636^2*D3636</f>
        <v/>
      </c>
    </row>
    <row r="3637">
      <c r="A3637" s="26" t="n">
        <v>45985</v>
      </c>
      <c r="B3637" s="14" t="inlineStr">
        <is>
          <t>NB-0035</t>
        </is>
      </c>
      <c r="C3637" s="14" t="n">
        <v>11</v>
      </c>
      <c r="D3637" s="14">
        <f>IF(A3637&gt;LastWeek-364,1,0)</f>
        <v/>
      </c>
      <c r="E3637" s="14">
        <f>C3637^2*D3637</f>
        <v/>
      </c>
    </row>
    <row r="3638">
      <c r="A3638" s="26" t="n">
        <v>45992</v>
      </c>
      <c r="B3638" s="14" t="inlineStr">
        <is>
          <t>NB-0035</t>
        </is>
      </c>
      <c r="C3638" s="14" t="n">
        <v>11</v>
      </c>
      <c r="D3638" s="14">
        <f>IF(A3638&gt;LastWeek-364,1,0)</f>
        <v/>
      </c>
      <c r="E3638" s="14">
        <f>C3638^2*D3638</f>
        <v/>
      </c>
    </row>
    <row r="3639">
      <c r="A3639" s="26" t="n">
        <v>45999</v>
      </c>
      <c r="B3639" s="14" t="inlineStr">
        <is>
          <t>NB-0035</t>
        </is>
      </c>
      <c r="C3639" s="14" t="n">
        <v>11</v>
      </c>
      <c r="D3639" s="14">
        <f>IF(A3639&gt;LastWeek-364,1,0)</f>
        <v/>
      </c>
      <c r="E3639" s="14">
        <f>C3639^2*D3639</f>
        <v/>
      </c>
    </row>
    <row r="3640">
      <c r="A3640" s="26" t="n">
        <v>46006</v>
      </c>
      <c r="B3640" s="14" t="inlineStr">
        <is>
          <t>NB-0035</t>
        </is>
      </c>
      <c r="C3640" s="14" t="n">
        <v>8</v>
      </c>
      <c r="D3640" s="14">
        <f>IF(A3640&gt;LastWeek-364,1,0)</f>
        <v/>
      </c>
      <c r="E3640" s="14">
        <f>C3640^2*D3640</f>
        <v/>
      </c>
    </row>
    <row r="3641">
      <c r="A3641" s="26" t="n">
        <v>46013</v>
      </c>
      <c r="B3641" s="14" t="inlineStr">
        <is>
          <t>NB-0035</t>
        </is>
      </c>
      <c r="C3641" s="14" t="n">
        <v>10</v>
      </c>
      <c r="D3641" s="14">
        <f>IF(A3641&gt;LastWeek-364,1,0)</f>
        <v/>
      </c>
      <c r="E3641" s="14">
        <f>C3641^2*D3641</f>
        <v/>
      </c>
    </row>
    <row r="3642">
      <c r="A3642" s="26" t="n">
        <v>45292</v>
      </c>
      <c r="B3642" s="14" t="inlineStr">
        <is>
          <t>NB-0036</t>
        </is>
      </c>
      <c r="C3642" s="14" t="n">
        <v>10</v>
      </c>
      <c r="D3642" s="14">
        <f>IF(A3642&gt;LastWeek-364,1,0)</f>
        <v/>
      </c>
      <c r="E3642" s="14">
        <f>C3642^2*D3642</f>
        <v/>
      </c>
    </row>
    <row r="3643">
      <c r="A3643" s="26" t="n">
        <v>45299</v>
      </c>
      <c r="B3643" s="14" t="inlineStr">
        <is>
          <t>NB-0036</t>
        </is>
      </c>
      <c r="C3643" s="14" t="n">
        <v>34</v>
      </c>
      <c r="D3643" s="14">
        <f>IF(A3643&gt;LastWeek-364,1,0)</f>
        <v/>
      </c>
      <c r="E3643" s="14">
        <f>C3643^2*D3643</f>
        <v/>
      </c>
    </row>
    <row r="3644">
      <c r="A3644" s="26" t="n">
        <v>45306</v>
      </c>
      <c r="B3644" s="14" t="inlineStr">
        <is>
          <t>NB-0036</t>
        </is>
      </c>
      <c r="C3644" s="14" t="n">
        <v>10</v>
      </c>
      <c r="D3644" s="14">
        <f>IF(A3644&gt;LastWeek-364,1,0)</f>
        <v/>
      </c>
      <c r="E3644" s="14">
        <f>C3644^2*D3644</f>
        <v/>
      </c>
    </row>
    <row r="3645">
      <c r="A3645" s="26" t="n">
        <v>45313</v>
      </c>
      <c r="B3645" s="14" t="inlineStr">
        <is>
          <t>NB-0036</t>
        </is>
      </c>
      <c r="C3645" s="14" t="n">
        <v>13</v>
      </c>
      <c r="D3645" s="14">
        <f>IF(A3645&gt;LastWeek-364,1,0)</f>
        <v/>
      </c>
      <c r="E3645" s="14">
        <f>C3645^2*D3645</f>
        <v/>
      </c>
    </row>
    <row r="3646">
      <c r="A3646" s="26" t="n">
        <v>45320</v>
      </c>
      <c r="B3646" s="14" t="inlineStr">
        <is>
          <t>NB-0036</t>
        </is>
      </c>
      <c r="C3646" s="14" t="n">
        <v>13</v>
      </c>
      <c r="D3646" s="14">
        <f>IF(A3646&gt;LastWeek-364,1,0)</f>
        <v/>
      </c>
      <c r="E3646" s="14">
        <f>C3646^2*D3646</f>
        <v/>
      </c>
    </row>
    <row r="3647">
      <c r="A3647" s="26" t="n">
        <v>45327</v>
      </c>
      <c r="B3647" s="14" t="inlineStr">
        <is>
          <t>NB-0036</t>
        </is>
      </c>
      <c r="C3647" s="14" t="n">
        <v>11</v>
      </c>
      <c r="D3647" s="14">
        <f>IF(A3647&gt;LastWeek-364,1,0)</f>
        <v/>
      </c>
      <c r="E3647" s="14">
        <f>C3647^2*D3647</f>
        <v/>
      </c>
    </row>
    <row r="3648">
      <c r="A3648" s="26" t="n">
        <v>45334</v>
      </c>
      <c r="B3648" s="14" t="inlineStr">
        <is>
          <t>NB-0036</t>
        </is>
      </c>
      <c r="C3648" s="14" t="n">
        <v>28</v>
      </c>
      <c r="D3648" s="14">
        <f>IF(A3648&gt;LastWeek-364,1,0)</f>
        <v/>
      </c>
      <c r="E3648" s="14">
        <f>C3648^2*D3648</f>
        <v/>
      </c>
    </row>
    <row r="3649">
      <c r="A3649" s="26" t="n">
        <v>45341</v>
      </c>
      <c r="B3649" s="14" t="inlineStr">
        <is>
          <t>NB-0036</t>
        </is>
      </c>
      <c r="C3649" s="14" t="n">
        <v>34</v>
      </c>
      <c r="D3649" s="14">
        <f>IF(A3649&gt;LastWeek-364,1,0)</f>
        <v/>
      </c>
      <c r="E3649" s="14">
        <f>C3649^2*D3649</f>
        <v/>
      </c>
    </row>
    <row r="3650">
      <c r="A3650" s="26" t="n">
        <v>45348</v>
      </c>
      <c r="B3650" s="14" t="inlineStr">
        <is>
          <t>NB-0036</t>
        </is>
      </c>
      <c r="C3650" s="14" t="n">
        <v>17</v>
      </c>
      <c r="D3650" s="14">
        <f>IF(A3650&gt;LastWeek-364,1,0)</f>
        <v/>
      </c>
      <c r="E3650" s="14">
        <f>C3650^2*D3650</f>
        <v/>
      </c>
    </row>
    <row r="3651">
      <c r="A3651" s="26" t="n">
        <v>45355</v>
      </c>
      <c r="B3651" s="14" t="inlineStr">
        <is>
          <t>NB-0036</t>
        </is>
      </c>
      <c r="C3651" s="14" t="n">
        <v>12</v>
      </c>
      <c r="D3651" s="14">
        <f>IF(A3651&gt;LastWeek-364,1,0)</f>
        <v/>
      </c>
      <c r="E3651" s="14">
        <f>C3651^2*D3651</f>
        <v/>
      </c>
    </row>
    <row r="3652">
      <c r="A3652" s="26" t="n">
        <v>45362</v>
      </c>
      <c r="B3652" s="14" t="inlineStr">
        <is>
          <t>NB-0036</t>
        </is>
      </c>
      <c r="C3652" s="14" t="n">
        <v>6</v>
      </c>
      <c r="D3652" s="14">
        <f>IF(A3652&gt;LastWeek-364,1,0)</f>
        <v/>
      </c>
      <c r="E3652" s="14">
        <f>C3652^2*D3652</f>
        <v/>
      </c>
    </row>
    <row r="3653">
      <c r="A3653" s="26" t="n">
        <v>45369</v>
      </c>
      <c r="B3653" s="14" t="inlineStr">
        <is>
          <t>NB-0036</t>
        </is>
      </c>
      <c r="C3653" s="14" t="n">
        <v>18</v>
      </c>
      <c r="D3653" s="14">
        <f>IF(A3653&gt;LastWeek-364,1,0)</f>
        <v/>
      </c>
      <c r="E3653" s="14">
        <f>C3653^2*D3653</f>
        <v/>
      </c>
    </row>
    <row r="3654">
      <c r="A3654" s="26" t="n">
        <v>45376</v>
      </c>
      <c r="B3654" s="14" t="inlineStr">
        <is>
          <t>NB-0036</t>
        </is>
      </c>
      <c r="C3654" s="14" t="n">
        <v>18</v>
      </c>
      <c r="D3654" s="14">
        <f>IF(A3654&gt;LastWeek-364,1,0)</f>
        <v/>
      </c>
      <c r="E3654" s="14">
        <f>C3654^2*D3654</f>
        <v/>
      </c>
    </row>
    <row r="3655">
      <c r="A3655" s="26" t="n">
        <v>45383</v>
      </c>
      <c r="B3655" s="14" t="inlineStr">
        <is>
          <t>NB-0036</t>
        </is>
      </c>
      <c r="C3655" s="14" t="n">
        <v>16</v>
      </c>
      <c r="D3655" s="14">
        <f>IF(A3655&gt;LastWeek-364,1,0)</f>
        <v/>
      </c>
      <c r="E3655" s="14">
        <f>C3655^2*D3655</f>
        <v/>
      </c>
    </row>
    <row r="3656">
      <c r="A3656" s="26" t="n">
        <v>45390</v>
      </c>
      <c r="B3656" s="14" t="inlineStr">
        <is>
          <t>NB-0036</t>
        </is>
      </c>
      <c r="C3656" s="14" t="n">
        <v>21</v>
      </c>
      <c r="D3656" s="14">
        <f>IF(A3656&gt;LastWeek-364,1,0)</f>
        <v/>
      </c>
      <c r="E3656" s="14">
        <f>C3656^2*D3656</f>
        <v/>
      </c>
    </row>
    <row r="3657">
      <c r="A3657" s="26" t="n">
        <v>45397</v>
      </c>
      <c r="B3657" s="14" t="inlineStr">
        <is>
          <t>NB-0036</t>
        </is>
      </c>
      <c r="C3657" s="14" t="n">
        <v>22</v>
      </c>
      <c r="D3657" s="14">
        <f>IF(A3657&gt;LastWeek-364,1,0)</f>
        <v/>
      </c>
      <c r="E3657" s="14">
        <f>C3657^2*D3657</f>
        <v/>
      </c>
    </row>
    <row r="3658">
      <c r="A3658" s="26" t="n">
        <v>45404</v>
      </c>
      <c r="B3658" s="14" t="inlineStr">
        <is>
          <t>NB-0036</t>
        </is>
      </c>
      <c r="C3658" s="14" t="n">
        <v>21</v>
      </c>
      <c r="D3658" s="14">
        <f>IF(A3658&gt;LastWeek-364,1,0)</f>
        <v/>
      </c>
      <c r="E3658" s="14">
        <f>C3658^2*D3658</f>
        <v/>
      </c>
    </row>
    <row r="3659">
      <c r="A3659" s="26" t="n">
        <v>45411</v>
      </c>
      <c r="B3659" s="14" t="inlineStr">
        <is>
          <t>NB-0036</t>
        </is>
      </c>
      <c r="C3659" s="14" t="n">
        <v>17</v>
      </c>
      <c r="D3659" s="14">
        <f>IF(A3659&gt;LastWeek-364,1,0)</f>
        <v/>
      </c>
      <c r="E3659" s="14">
        <f>C3659^2*D3659</f>
        <v/>
      </c>
    </row>
    <row r="3660">
      <c r="A3660" s="26" t="n">
        <v>45418</v>
      </c>
      <c r="B3660" s="14" t="inlineStr">
        <is>
          <t>NB-0036</t>
        </is>
      </c>
      <c r="C3660" s="14" t="n">
        <v>13</v>
      </c>
      <c r="D3660" s="14">
        <f>IF(A3660&gt;LastWeek-364,1,0)</f>
        <v/>
      </c>
      <c r="E3660" s="14">
        <f>C3660^2*D3660</f>
        <v/>
      </c>
    </row>
    <row r="3661">
      <c r="A3661" s="26" t="n">
        <v>45425</v>
      </c>
      <c r="B3661" s="14" t="inlineStr">
        <is>
          <t>NB-0036</t>
        </is>
      </c>
      <c r="C3661" s="14" t="n">
        <v>23</v>
      </c>
      <c r="D3661" s="14">
        <f>IF(A3661&gt;LastWeek-364,1,0)</f>
        <v/>
      </c>
      <c r="E3661" s="14">
        <f>C3661^2*D3661</f>
        <v/>
      </c>
    </row>
    <row r="3662">
      <c r="A3662" s="26" t="n">
        <v>45432</v>
      </c>
      <c r="B3662" s="14" t="inlineStr">
        <is>
          <t>NB-0036</t>
        </is>
      </c>
      <c r="C3662" s="14" t="n">
        <v>19</v>
      </c>
      <c r="D3662" s="14">
        <f>IF(A3662&gt;LastWeek-364,1,0)</f>
        <v/>
      </c>
      <c r="E3662" s="14">
        <f>C3662^2*D3662</f>
        <v/>
      </c>
    </row>
    <row r="3663">
      <c r="A3663" s="26" t="n">
        <v>45439</v>
      </c>
      <c r="B3663" s="14" t="inlineStr">
        <is>
          <t>NB-0036</t>
        </is>
      </c>
      <c r="C3663" s="14" t="n">
        <v>24</v>
      </c>
      <c r="D3663" s="14">
        <f>IF(A3663&gt;LastWeek-364,1,0)</f>
        <v/>
      </c>
      <c r="E3663" s="14">
        <f>C3663^2*D3663</f>
        <v/>
      </c>
    </row>
    <row r="3664">
      <c r="A3664" s="26" t="n">
        <v>45446</v>
      </c>
      <c r="B3664" s="14" t="inlineStr">
        <is>
          <t>NB-0036</t>
        </is>
      </c>
      <c r="C3664" s="14" t="n">
        <v>24</v>
      </c>
      <c r="D3664" s="14">
        <f>IF(A3664&gt;LastWeek-364,1,0)</f>
        <v/>
      </c>
      <c r="E3664" s="14">
        <f>C3664^2*D3664</f>
        <v/>
      </c>
    </row>
    <row r="3665">
      <c r="A3665" s="26" t="n">
        <v>45453</v>
      </c>
      <c r="B3665" s="14" t="inlineStr">
        <is>
          <t>NB-0036</t>
        </is>
      </c>
      <c r="C3665" s="14" t="n">
        <v>11</v>
      </c>
      <c r="D3665" s="14">
        <f>IF(A3665&gt;LastWeek-364,1,0)</f>
        <v/>
      </c>
      <c r="E3665" s="14">
        <f>C3665^2*D3665</f>
        <v/>
      </c>
    </row>
    <row r="3666">
      <c r="A3666" s="26" t="n">
        <v>45460</v>
      </c>
      <c r="B3666" s="14" t="inlineStr">
        <is>
          <t>NB-0036</t>
        </is>
      </c>
      <c r="C3666" s="14" t="n">
        <v>11</v>
      </c>
      <c r="D3666" s="14">
        <f>IF(A3666&gt;LastWeek-364,1,0)</f>
        <v/>
      </c>
      <c r="E3666" s="14">
        <f>C3666^2*D3666</f>
        <v/>
      </c>
    </row>
    <row r="3667">
      <c r="A3667" s="26" t="n">
        <v>45467</v>
      </c>
      <c r="B3667" s="14" t="inlineStr">
        <is>
          <t>NB-0036</t>
        </is>
      </c>
      <c r="C3667" s="14" t="n">
        <v>15</v>
      </c>
      <c r="D3667" s="14">
        <f>IF(A3667&gt;LastWeek-364,1,0)</f>
        <v/>
      </c>
      <c r="E3667" s="14">
        <f>C3667^2*D3667</f>
        <v/>
      </c>
    </row>
    <row r="3668">
      <c r="A3668" s="26" t="n">
        <v>45474</v>
      </c>
      <c r="B3668" s="14" t="inlineStr">
        <is>
          <t>NB-0036</t>
        </is>
      </c>
      <c r="C3668" s="14" t="n">
        <v>13</v>
      </c>
      <c r="D3668" s="14">
        <f>IF(A3668&gt;LastWeek-364,1,0)</f>
        <v/>
      </c>
      <c r="E3668" s="14">
        <f>C3668^2*D3668</f>
        <v/>
      </c>
    </row>
    <row r="3669">
      <c r="A3669" s="26" t="n">
        <v>45481</v>
      </c>
      <c r="B3669" s="14" t="inlineStr">
        <is>
          <t>NB-0036</t>
        </is>
      </c>
      <c r="C3669" s="14" t="n">
        <v>24</v>
      </c>
      <c r="D3669" s="14">
        <f>IF(A3669&gt;LastWeek-364,1,0)</f>
        <v/>
      </c>
      <c r="E3669" s="14">
        <f>C3669^2*D3669</f>
        <v/>
      </c>
    </row>
    <row r="3670">
      <c r="A3670" s="26" t="n">
        <v>45488</v>
      </c>
      <c r="B3670" s="14" t="inlineStr">
        <is>
          <t>NB-0036</t>
        </is>
      </c>
      <c r="C3670" s="14" t="n">
        <v>21</v>
      </c>
      <c r="D3670" s="14">
        <f>IF(A3670&gt;LastWeek-364,1,0)</f>
        <v/>
      </c>
      <c r="E3670" s="14">
        <f>C3670^2*D3670</f>
        <v/>
      </c>
    </row>
    <row r="3671">
      <c r="A3671" s="26" t="n">
        <v>45495</v>
      </c>
      <c r="B3671" s="14" t="inlineStr">
        <is>
          <t>NB-0036</t>
        </is>
      </c>
      <c r="C3671" s="14" t="n">
        <v>26</v>
      </c>
      <c r="D3671" s="14">
        <f>IF(A3671&gt;LastWeek-364,1,0)</f>
        <v/>
      </c>
      <c r="E3671" s="14">
        <f>C3671^2*D3671</f>
        <v/>
      </c>
    </row>
    <row r="3672">
      <c r="A3672" s="26" t="n">
        <v>45502</v>
      </c>
      <c r="B3672" s="14" t="inlineStr">
        <is>
          <t>NB-0036</t>
        </is>
      </c>
      <c r="C3672" s="14" t="n">
        <v>22</v>
      </c>
      <c r="D3672" s="14">
        <f>IF(A3672&gt;LastWeek-364,1,0)</f>
        <v/>
      </c>
      <c r="E3672" s="14">
        <f>C3672^2*D3672</f>
        <v/>
      </c>
    </row>
    <row r="3673">
      <c r="A3673" s="26" t="n">
        <v>45509</v>
      </c>
      <c r="B3673" s="14" t="inlineStr">
        <is>
          <t>NB-0036</t>
        </is>
      </c>
      <c r="C3673" s="14" t="n">
        <v>21</v>
      </c>
      <c r="D3673" s="14">
        <f>IF(A3673&gt;LastWeek-364,1,0)</f>
        <v/>
      </c>
      <c r="E3673" s="14">
        <f>C3673^2*D3673</f>
        <v/>
      </c>
    </row>
    <row r="3674">
      <c r="A3674" s="26" t="n">
        <v>45516</v>
      </c>
      <c r="B3674" s="14" t="inlineStr">
        <is>
          <t>NB-0036</t>
        </is>
      </c>
      <c r="C3674" s="14" t="n">
        <v>27</v>
      </c>
      <c r="D3674" s="14">
        <f>IF(A3674&gt;LastWeek-364,1,0)</f>
        <v/>
      </c>
      <c r="E3674" s="14">
        <f>C3674^2*D3674</f>
        <v/>
      </c>
    </row>
    <row r="3675">
      <c r="A3675" s="26" t="n">
        <v>45523</v>
      </c>
      <c r="B3675" s="14" t="inlineStr">
        <is>
          <t>NB-0036</t>
        </is>
      </c>
      <c r="C3675" s="14" t="n">
        <v>23</v>
      </c>
      <c r="D3675" s="14">
        <f>IF(A3675&gt;LastWeek-364,1,0)</f>
        <v/>
      </c>
      <c r="E3675" s="14">
        <f>C3675^2*D3675</f>
        <v/>
      </c>
    </row>
    <row r="3676">
      <c r="A3676" s="26" t="n">
        <v>45530</v>
      </c>
      <c r="B3676" s="14" t="inlineStr">
        <is>
          <t>NB-0036</t>
        </is>
      </c>
      <c r="C3676" s="14" t="n">
        <v>21</v>
      </c>
      <c r="D3676" s="14">
        <f>IF(A3676&gt;LastWeek-364,1,0)</f>
        <v/>
      </c>
      <c r="E3676" s="14">
        <f>C3676^2*D3676</f>
        <v/>
      </c>
    </row>
    <row r="3677">
      <c r="A3677" s="26" t="n">
        <v>45537</v>
      </c>
      <c r="B3677" s="14" t="inlineStr">
        <is>
          <t>NB-0036</t>
        </is>
      </c>
      <c r="C3677" s="14" t="n">
        <v>30</v>
      </c>
      <c r="D3677" s="14">
        <f>IF(A3677&gt;LastWeek-364,1,0)</f>
        <v/>
      </c>
      <c r="E3677" s="14">
        <f>C3677^2*D3677</f>
        <v/>
      </c>
    </row>
    <row r="3678">
      <c r="A3678" s="26" t="n">
        <v>45544</v>
      </c>
      <c r="B3678" s="14" t="inlineStr">
        <is>
          <t>NB-0036</t>
        </is>
      </c>
      <c r="C3678" s="14" t="n">
        <v>21</v>
      </c>
      <c r="D3678" s="14">
        <f>IF(A3678&gt;LastWeek-364,1,0)</f>
        <v/>
      </c>
      <c r="E3678" s="14">
        <f>C3678^2*D3678</f>
        <v/>
      </c>
    </row>
    <row r="3679">
      <c r="A3679" s="26" t="n">
        <v>45551</v>
      </c>
      <c r="B3679" s="14" t="inlineStr">
        <is>
          <t>NB-0036</t>
        </is>
      </c>
      <c r="C3679" s="14" t="n">
        <v>19</v>
      </c>
      <c r="D3679" s="14">
        <f>IF(A3679&gt;LastWeek-364,1,0)</f>
        <v/>
      </c>
      <c r="E3679" s="14">
        <f>C3679^2*D3679</f>
        <v/>
      </c>
    </row>
    <row r="3680">
      <c r="A3680" s="26" t="n">
        <v>45558</v>
      </c>
      <c r="B3680" s="14" t="inlineStr">
        <is>
          <t>NB-0036</t>
        </is>
      </c>
      <c r="C3680" s="14" t="n">
        <v>16</v>
      </c>
      <c r="D3680" s="14">
        <f>IF(A3680&gt;LastWeek-364,1,0)</f>
        <v/>
      </c>
      <c r="E3680" s="14">
        <f>C3680^2*D3680</f>
        <v/>
      </c>
    </row>
    <row r="3681">
      <c r="A3681" s="26" t="n">
        <v>45565</v>
      </c>
      <c r="B3681" s="14" t="inlineStr">
        <is>
          <t>NB-0036</t>
        </is>
      </c>
      <c r="C3681" s="14" t="n">
        <v>26</v>
      </c>
      <c r="D3681" s="14">
        <f>IF(A3681&gt;LastWeek-364,1,0)</f>
        <v/>
      </c>
      <c r="E3681" s="14">
        <f>C3681^2*D3681</f>
        <v/>
      </c>
    </row>
    <row r="3682">
      <c r="A3682" s="26" t="n">
        <v>45572</v>
      </c>
      <c r="B3682" s="14" t="inlineStr">
        <is>
          <t>NB-0036</t>
        </is>
      </c>
      <c r="C3682" s="14" t="n">
        <v>30</v>
      </c>
      <c r="D3682" s="14">
        <f>IF(A3682&gt;LastWeek-364,1,0)</f>
        <v/>
      </c>
      <c r="E3682" s="14">
        <f>C3682^2*D3682</f>
        <v/>
      </c>
    </row>
    <row r="3683">
      <c r="A3683" s="26" t="n">
        <v>45579</v>
      </c>
      <c r="B3683" s="14" t="inlineStr">
        <is>
          <t>NB-0036</t>
        </is>
      </c>
      <c r="C3683" s="14" t="n">
        <v>22</v>
      </c>
      <c r="D3683" s="14">
        <f>IF(A3683&gt;LastWeek-364,1,0)</f>
        <v/>
      </c>
      <c r="E3683" s="14">
        <f>C3683^2*D3683</f>
        <v/>
      </c>
    </row>
    <row r="3684">
      <c r="A3684" s="26" t="n">
        <v>45586</v>
      </c>
      <c r="B3684" s="14" t="inlineStr">
        <is>
          <t>NB-0036</t>
        </is>
      </c>
      <c r="C3684" s="14" t="n">
        <v>31</v>
      </c>
      <c r="D3684" s="14">
        <f>IF(A3684&gt;LastWeek-364,1,0)</f>
        <v/>
      </c>
      <c r="E3684" s="14">
        <f>C3684^2*D3684</f>
        <v/>
      </c>
    </row>
    <row r="3685">
      <c r="A3685" s="26" t="n">
        <v>45593</v>
      </c>
      <c r="B3685" s="14" t="inlineStr">
        <is>
          <t>NB-0036</t>
        </is>
      </c>
      <c r="C3685" s="14" t="n">
        <v>9</v>
      </c>
      <c r="D3685" s="14">
        <f>IF(A3685&gt;LastWeek-364,1,0)</f>
        <v/>
      </c>
      <c r="E3685" s="14">
        <f>C3685^2*D3685</f>
        <v/>
      </c>
    </row>
    <row r="3686">
      <c r="A3686" s="26" t="n">
        <v>45600</v>
      </c>
      <c r="B3686" s="14" t="inlineStr">
        <is>
          <t>NB-0036</t>
        </is>
      </c>
      <c r="C3686" s="14" t="n">
        <v>22</v>
      </c>
      <c r="D3686" s="14">
        <f>IF(A3686&gt;LastWeek-364,1,0)</f>
        <v/>
      </c>
      <c r="E3686" s="14">
        <f>C3686^2*D3686</f>
        <v/>
      </c>
    </row>
    <row r="3687">
      <c r="A3687" s="26" t="n">
        <v>45607</v>
      </c>
      <c r="B3687" s="14" t="inlineStr">
        <is>
          <t>NB-0036</t>
        </is>
      </c>
      <c r="C3687" s="14" t="n">
        <v>23</v>
      </c>
      <c r="D3687" s="14">
        <f>IF(A3687&gt;LastWeek-364,1,0)</f>
        <v/>
      </c>
      <c r="E3687" s="14">
        <f>C3687^2*D3687</f>
        <v/>
      </c>
    </row>
    <row r="3688">
      <c r="A3688" s="26" t="n">
        <v>45614</v>
      </c>
      <c r="B3688" s="14" t="inlineStr">
        <is>
          <t>NB-0036</t>
        </is>
      </c>
      <c r="C3688" s="14" t="n">
        <v>18</v>
      </c>
      <c r="D3688" s="14">
        <f>IF(A3688&gt;LastWeek-364,1,0)</f>
        <v/>
      </c>
      <c r="E3688" s="14">
        <f>C3688^2*D3688</f>
        <v/>
      </c>
    </row>
    <row r="3689">
      <c r="A3689" s="26" t="n">
        <v>45621</v>
      </c>
      <c r="B3689" s="14" t="inlineStr">
        <is>
          <t>NB-0036</t>
        </is>
      </c>
      <c r="C3689" s="14" t="n">
        <v>40</v>
      </c>
      <c r="D3689" s="14">
        <f>IF(A3689&gt;LastWeek-364,1,0)</f>
        <v/>
      </c>
      <c r="E3689" s="14">
        <f>C3689^2*D3689</f>
        <v/>
      </c>
    </row>
    <row r="3690">
      <c r="A3690" s="26" t="n">
        <v>45628</v>
      </c>
      <c r="B3690" s="14" t="inlineStr">
        <is>
          <t>NB-0036</t>
        </is>
      </c>
      <c r="C3690" s="14" t="n">
        <v>23</v>
      </c>
      <c r="D3690" s="14">
        <f>IF(A3690&gt;LastWeek-364,1,0)</f>
        <v/>
      </c>
      <c r="E3690" s="14">
        <f>C3690^2*D3690</f>
        <v/>
      </c>
    </row>
    <row r="3691">
      <c r="A3691" s="26" t="n">
        <v>45635</v>
      </c>
      <c r="B3691" s="14" t="inlineStr">
        <is>
          <t>NB-0036</t>
        </is>
      </c>
      <c r="C3691" s="14" t="n">
        <v>21</v>
      </c>
      <c r="D3691" s="14">
        <f>IF(A3691&gt;LastWeek-364,1,0)</f>
        <v/>
      </c>
      <c r="E3691" s="14">
        <f>C3691^2*D3691</f>
        <v/>
      </c>
    </row>
    <row r="3692">
      <c r="A3692" s="26" t="n">
        <v>45642</v>
      </c>
      <c r="B3692" s="14" t="inlineStr">
        <is>
          <t>NB-0036</t>
        </is>
      </c>
      <c r="C3692" s="14" t="n">
        <v>24</v>
      </c>
      <c r="D3692" s="14">
        <f>IF(A3692&gt;LastWeek-364,1,0)</f>
        <v/>
      </c>
      <c r="E3692" s="14">
        <f>C3692^2*D3692</f>
        <v/>
      </c>
    </row>
    <row r="3693">
      <c r="A3693" s="26" t="n">
        <v>45649</v>
      </c>
      <c r="B3693" s="14" t="inlineStr">
        <is>
          <t>NB-0036</t>
        </is>
      </c>
      <c r="C3693" s="14" t="n">
        <v>9</v>
      </c>
      <c r="D3693" s="14">
        <f>IF(A3693&gt;LastWeek-364,1,0)</f>
        <v/>
      </c>
      <c r="E3693" s="14">
        <f>C3693^2*D3693</f>
        <v/>
      </c>
    </row>
    <row r="3694">
      <c r="A3694" s="26" t="n">
        <v>45656</v>
      </c>
      <c r="B3694" s="14" t="inlineStr">
        <is>
          <t>NB-0036</t>
        </is>
      </c>
      <c r="C3694" s="14" t="n">
        <v>19</v>
      </c>
      <c r="D3694" s="14">
        <f>IF(A3694&gt;LastWeek-364,1,0)</f>
        <v/>
      </c>
      <c r="E3694" s="14">
        <f>C3694^2*D3694</f>
        <v/>
      </c>
    </row>
    <row r="3695">
      <c r="A3695" s="26" t="n">
        <v>45663</v>
      </c>
      <c r="B3695" s="14" t="inlineStr">
        <is>
          <t>NB-0036</t>
        </is>
      </c>
      <c r="C3695" s="14" t="n">
        <v>31</v>
      </c>
      <c r="D3695" s="14">
        <f>IF(A3695&gt;LastWeek-364,1,0)</f>
        <v/>
      </c>
      <c r="E3695" s="14">
        <f>C3695^2*D3695</f>
        <v/>
      </c>
    </row>
    <row r="3696">
      <c r="A3696" s="26" t="n">
        <v>45670</v>
      </c>
      <c r="B3696" s="14" t="inlineStr">
        <is>
          <t>NB-0036</t>
        </is>
      </c>
      <c r="C3696" s="14" t="n">
        <v>20</v>
      </c>
      <c r="D3696" s="14">
        <f>IF(A3696&gt;LastWeek-364,1,0)</f>
        <v/>
      </c>
      <c r="E3696" s="14">
        <f>C3696^2*D3696</f>
        <v/>
      </c>
    </row>
    <row r="3697">
      <c r="A3697" s="26" t="n">
        <v>45677</v>
      </c>
      <c r="B3697" s="14" t="inlineStr">
        <is>
          <t>NB-0036</t>
        </is>
      </c>
      <c r="C3697" s="14" t="n">
        <v>18</v>
      </c>
      <c r="D3697" s="14">
        <f>IF(A3697&gt;LastWeek-364,1,0)</f>
        <v/>
      </c>
      <c r="E3697" s="14">
        <f>C3697^2*D3697</f>
        <v/>
      </c>
    </row>
    <row r="3698">
      <c r="A3698" s="26" t="n">
        <v>45684</v>
      </c>
      <c r="B3698" s="14" t="inlineStr">
        <is>
          <t>NB-0036</t>
        </is>
      </c>
      <c r="C3698" s="14" t="n">
        <v>34</v>
      </c>
      <c r="D3698" s="14">
        <f>IF(A3698&gt;LastWeek-364,1,0)</f>
        <v/>
      </c>
      <c r="E3698" s="14">
        <f>C3698^2*D3698</f>
        <v/>
      </c>
    </row>
    <row r="3699">
      <c r="A3699" s="26" t="n">
        <v>45691</v>
      </c>
      <c r="B3699" s="14" t="inlineStr">
        <is>
          <t>NB-0036</t>
        </is>
      </c>
      <c r="C3699" s="14" t="n">
        <v>34</v>
      </c>
      <c r="D3699" s="14">
        <f>IF(A3699&gt;LastWeek-364,1,0)</f>
        <v/>
      </c>
      <c r="E3699" s="14">
        <f>C3699^2*D3699</f>
        <v/>
      </c>
    </row>
    <row r="3700">
      <c r="A3700" s="26" t="n">
        <v>45698</v>
      </c>
      <c r="B3700" s="14" t="inlineStr">
        <is>
          <t>NB-0036</t>
        </is>
      </c>
      <c r="C3700" s="14" t="n">
        <v>28</v>
      </c>
      <c r="D3700" s="14">
        <f>IF(A3700&gt;LastWeek-364,1,0)</f>
        <v/>
      </c>
      <c r="E3700" s="14">
        <f>C3700^2*D3700</f>
        <v/>
      </c>
    </row>
    <row r="3701">
      <c r="A3701" s="26" t="n">
        <v>45705</v>
      </c>
      <c r="B3701" s="14" t="inlineStr">
        <is>
          <t>NB-0036</t>
        </is>
      </c>
      <c r="C3701" s="14" t="n">
        <v>21</v>
      </c>
      <c r="D3701" s="14">
        <f>IF(A3701&gt;LastWeek-364,1,0)</f>
        <v/>
      </c>
      <c r="E3701" s="14">
        <f>C3701^2*D3701</f>
        <v/>
      </c>
    </row>
    <row r="3702">
      <c r="A3702" s="26" t="n">
        <v>45712</v>
      </c>
      <c r="B3702" s="14" t="inlineStr">
        <is>
          <t>NB-0036</t>
        </is>
      </c>
      <c r="C3702" s="14" t="n">
        <v>23</v>
      </c>
      <c r="D3702" s="14">
        <f>IF(A3702&gt;LastWeek-364,1,0)</f>
        <v/>
      </c>
      <c r="E3702" s="14">
        <f>C3702^2*D3702</f>
        <v/>
      </c>
    </row>
    <row r="3703">
      <c r="A3703" s="26" t="n">
        <v>45719</v>
      </c>
      <c r="B3703" s="14" t="inlineStr">
        <is>
          <t>NB-0036</t>
        </is>
      </c>
      <c r="C3703" s="14" t="n">
        <v>18</v>
      </c>
      <c r="D3703" s="14">
        <f>IF(A3703&gt;LastWeek-364,1,0)</f>
        <v/>
      </c>
      <c r="E3703" s="14">
        <f>C3703^2*D3703</f>
        <v/>
      </c>
    </row>
    <row r="3704">
      <c r="A3704" s="26" t="n">
        <v>45726</v>
      </c>
      <c r="B3704" s="14" t="inlineStr">
        <is>
          <t>NB-0036</t>
        </is>
      </c>
      <c r="C3704" s="14" t="n">
        <v>17</v>
      </c>
      <c r="D3704" s="14">
        <f>IF(A3704&gt;LastWeek-364,1,0)</f>
        <v/>
      </c>
      <c r="E3704" s="14">
        <f>C3704^2*D3704</f>
        <v/>
      </c>
    </row>
    <row r="3705">
      <c r="A3705" s="26" t="n">
        <v>45733</v>
      </c>
      <c r="B3705" s="14" t="inlineStr">
        <is>
          <t>NB-0036</t>
        </is>
      </c>
      <c r="C3705" s="14" t="n">
        <v>17</v>
      </c>
      <c r="D3705" s="14">
        <f>IF(A3705&gt;LastWeek-364,1,0)</f>
        <v/>
      </c>
      <c r="E3705" s="14">
        <f>C3705^2*D3705</f>
        <v/>
      </c>
    </row>
    <row r="3706">
      <c r="A3706" s="26" t="n">
        <v>45740</v>
      </c>
      <c r="B3706" s="14" t="inlineStr">
        <is>
          <t>NB-0036</t>
        </is>
      </c>
      <c r="C3706" s="14" t="n">
        <v>20</v>
      </c>
      <c r="D3706" s="14">
        <f>IF(A3706&gt;LastWeek-364,1,0)</f>
        <v/>
      </c>
      <c r="E3706" s="14">
        <f>C3706^2*D3706</f>
        <v/>
      </c>
    </row>
    <row r="3707">
      <c r="A3707" s="26" t="n">
        <v>45747</v>
      </c>
      <c r="B3707" s="14" t="inlineStr">
        <is>
          <t>NB-0036</t>
        </is>
      </c>
      <c r="C3707" s="14" t="n">
        <v>17</v>
      </c>
      <c r="D3707" s="14">
        <f>IF(A3707&gt;LastWeek-364,1,0)</f>
        <v/>
      </c>
      <c r="E3707" s="14">
        <f>C3707^2*D3707</f>
        <v/>
      </c>
    </row>
    <row r="3708">
      <c r="A3708" s="26" t="n">
        <v>45754</v>
      </c>
      <c r="B3708" s="14" t="inlineStr">
        <is>
          <t>NB-0036</t>
        </is>
      </c>
      <c r="C3708" s="14" t="n">
        <v>13</v>
      </c>
      <c r="D3708" s="14">
        <f>IF(A3708&gt;LastWeek-364,1,0)</f>
        <v/>
      </c>
      <c r="E3708" s="14">
        <f>C3708^2*D3708</f>
        <v/>
      </c>
    </row>
    <row r="3709">
      <c r="A3709" s="26" t="n">
        <v>45761</v>
      </c>
      <c r="B3709" s="14" t="inlineStr">
        <is>
          <t>NB-0036</t>
        </is>
      </c>
      <c r="C3709" s="14" t="n">
        <v>26</v>
      </c>
      <c r="D3709" s="14">
        <f>IF(A3709&gt;LastWeek-364,1,0)</f>
        <v/>
      </c>
      <c r="E3709" s="14">
        <f>C3709^2*D3709</f>
        <v/>
      </c>
    </row>
    <row r="3710">
      <c r="A3710" s="26" t="n">
        <v>45768</v>
      </c>
      <c r="B3710" s="14" t="inlineStr">
        <is>
          <t>NB-0036</t>
        </is>
      </c>
      <c r="C3710" s="14" t="n">
        <v>26</v>
      </c>
      <c r="D3710" s="14">
        <f>IF(A3710&gt;LastWeek-364,1,0)</f>
        <v/>
      </c>
      <c r="E3710" s="14">
        <f>C3710^2*D3710</f>
        <v/>
      </c>
    </row>
    <row r="3711">
      <c r="A3711" s="26" t="n">
        <v>45775</v>
      </c>
      <c r="B3711" s="14" t="inlineStr">
        <is>
          <t>NB-0036</t>
        </is>
      </c>
      <c r="C3711" s="14" t="n">
        <v>36</v>
      </c>
      <c r="D3711" s="14">
        <f>IF(A3711&gt;LastWeek-364,1,0)</f>
        <v/>
      </c>
      <c r="E3711" s="14">
        <f>C3711^2*D3711</f>
        <v/>
      </c>
    </row>
    <row r="3712">
      <c r="A3712" s="26" t="n">
        <v>45782</v>
      </c>
      <c r="B3712" s="14" t="inlineStr">
        <is>
          <t>NB-0036</t>
        </is>
      </c>
      <c r="C3712" s="14" t="n">
        <v>19</v>
      </c>
      <c r="D3712" s="14">
        <f>IF(A3712&gt;LastWeek-364,1,0)</f>
        <v/>
      </c>
      <c r="E3712" s="14">
        <f>C3712^2*D3712</f>
        <v/>
      </c>
    </row>
    <row r="3713">
      <c r="A3713" s="26" t="n">
        <v>45789</v>
      </c>
      <c r="B3713" s="14" t="inlineStr">
        <is>
          <t>NB-0036</t>
        </is>
      </c>
      <c r="C3713" s="14" t="n">
        <v>26</v>
      </c>
      <c r="D3713" s="14">
        <f>IF(A3713&gt;LastWeek-364,1,0)</f>
        <v/>
      </c>
      <c r="E3713" s="14">
        <f>C3713^2*D3713</f>
        <v/>
      </c>
    </row>
    <row r="3714">
      <c r="A3714" s="26" t="n">
        <v>45796</v>
      </c>
      <c r="B3714" s="14" t="inlineStr">
        <is>
          <t>NB-0036</t>
        </is>
      </c>
      <c r="C3714" s="14" t="n">
        <v>26</v>
      </c>
      <c r="D3714" s="14">
        <f>IF(A3714&gt;LastWeek-364,1,0)</f>
        <v/>
      </c>
      <c r="E3714" s="14">
        <f>C3714^2*D3714</f>
        <v/>
      </c>
    </row>
    <row r="3715">
      <c r="A3715" s="26" t="n">
        <v>45803</v>
      </c>
      <c r="B3715" s="14" t="inlineStr">
        <is>
          <t>NB-0036</t>
        </is>
      </c>
      <c r="C3715" s="14" t="n">
        <v>22</v>
      </c>
      <c r="D3715" s="14">
        <f>IF(A3715&gt;LastWeek-364,1,0)</f>
        <v/>
      </c>
      <c r="E3715" s="14">
        <f>C3715^2*D3715</f>
        <v/>
      </c>
    </row>
    <row r="3716">
      <c r="A3716" s="26" t="n">
        <v>45810</v>
      </c>
      <c r="B3716" s="14" t="inlineStr">
        <is>
          <t>NB-0036</t>
        </is>
      </c>
      <c r="C3716" s="14" t="n">
        <v>29</v>
      </c>
      <c r="D3716" s="14">
        <f>IF(A3716&gt;LastWeek-364,1,0)</f>
        <v/>
      </c>
      <c r="E3716" s="14">
        <f>C3716^2*D3716</f>
        <v/>
      </c>
    </row>
    <row r="3717">
      <c r="A3717" s="26" t="n">
        <v>45817</v>
      </c>
      <c r="B3717" s="14" t="inlineStr">
        <is>
          <t>NB-0036</t>
        </is>
      </c>
      <c r="C3717" s="14" t="n">
        <v>29</v>
      </c>
      <c r="D3717" s="14">
        <f>IF(A3717&gt;LastWeek-364,1,0)</f>
        <v/>
      </c>
      <c r="E3717" s="14">
        <f>C3717^2*D3717</f>
        <v/>
      </c>
    </row>
    <row r="3718">
      <c r="A3718" s="26" t="n">
        <v>45824</v>
      </c>
      <c r="B3718" s="14" t="inlineStr">
        <is>
          <t>NB-0036</t>
        </is>
      </c>
      <c r="C3718" s="14" t="n">
        <v>26</v>
      </c>
      <c r="D3718" s="14">
        <f>IF(A3718&gt;LastWeek-364,1,0)</f>
        <v/>
      </c>
      <c r="E3718" s="14">
        <f>C3718^2*D3718</f>
        <v/>
      </c>
    </row>
    <row r="3719">
      <c r="A3719" s="26" t="n">
        <v>45831</v>
      </c>
      <c r="B3719" s="14" t="inlineStr">
        <is>
          <t>NB-0036</t>
        </is>
      </c>
      <c r="C3719" s="14" t="n">
        <v>22</v>
      </c>
      <c r="D3719" s="14">
        <f>IF(A3719&gt;LastWeek-364,1,0)</f>
        <v/>
      </c>
      <c r="E3719" s="14">
        <f>C3719^2*D3719</f>
        <v/>
      </c>
    </row>
    <row r="3720">
      <c r="A3720" s="26" t="n">
        <v>45838</v>
      </c>
      <c r="B3720" s="14" t="inlineStr">
        <is>
          <t>NB-0036</t>
        </is>
      </c>
      <c r="C3720" s="14" t="n">
        <v>21</v>
      </c>
      <c r="D3720" s="14">
        <f>IF(A3720&gt;LastWeek-364,1,0)</f>
        <v/>
      </c>
      <c r="E3720" s="14">
        <f>C3720^2*D3720</f>
        <v/>
      </c>
    </row>
    <row r="3721">
      <c r="A3721" s="26" t="n">
        <v>45845</v>
      </c>
      <c r="B3721" s="14" t="inlineStr">
        <is>
          <t>NB-0036</t>
        </is>
      </c>
      <c r="C3721" s="14" t="n">
        <v>14</v>
      </c>
      <c r="D3721" s="14">
        <f>IF(A3721&gt;LastWeek-364,1,0)</f>
        <v/>
      </c>
      <c r="E3721" s="14">
        <f>C3721^2*D3721</f>
        <v/>
      </c>
    </row>
    <row r="3722">
      <c r="A3722" s="26" t="n">
        <v>45852</v>
      </c>
      <c r="B3722" s="14" t="inlineStr">
        <is>
          <t>NB-0036</t>
        </is>
      </c>
      <c r="C3722" s="14" t="n">
        <v>18</v>
      </c>
      <c r="D3722" s="14">
        <f>IF(A3722&gt;LastWeek-364,1,0)</f>
        <v/>
      </c>
      <c r="E3722" s="14">
        <f>C3722^2*D3722</f>
        <v/>
      </c>
    </row>
    <row r="3723">
      <c r="A3723" s="26" t="n">
        <v>45859</v>
      </c>
      <c r="B3723" s="14" t="inlineStr">
        <is>
          <t>NB-0036</t>
        </is>
      </c>
      <c r="C3723" s="14" t="n">
        <v>20</v>
      </c>
      <c r="D3723" s="14">
        <f>IF(A3723&gt;LastWeek-364,1,0)</f>
        <v/>
      </c>
      <c r="E3723" s="14">
        <f>C3723^2*D3723</f>
        <v/>
      </c>
    </row>
    <row r="3724">
      <c r="A3724" s="26" t="n">
        <v>45866</v>
      </c>
      <c r="B3724" s="14" t="inlineStr">
        <is>
          <t>NB-0036</t>
        </is>
      </c>
      <c r="C3724" s="14" t="n">
        <v>16</v>
      </c>
      <c r="D3724" s="14">
        <f>IF(A3724&gt;LastWeek-364,1,0)</f>
        <v/>
      </c>
      <c r="E3724" s="14">
        <f>C3724^2*D3724</f>
        <v/>
      </c>
    </row>
    <row r="3725">
      <c r="A3725" s="26" t="n">
        <v>45873</v>
      </c>
      <c r="B3725" s="14" t="inlineStr">
        <is>
          <t>NB-0036</t>
        </is>
      </c>
      <c r="C3725" s="14" t="n">
        <v>28</v>
      </c>
      <c r="D3725" s="14">
        <f>IF(A3725&gt;LastWeek-364,1,0)</f>
        <v/>
      </c>
      <c r="E3725" s="14">
        <f>C3725^2*D3725</f>
        <v/>
      </c>
    </row>
    <row r="3726">
      <c r="A3726" s="26" t="n">
        <v>45880</v>
      </c>
      <c r="B3726" s="14" t="inlineStr">
        <is>
          <t>NB-0036</t>
        </is>
      </c>
      <c r="C3726" s="14" t="n">
        <v>34</v>
      </c>
      <c r="D3726" s="14">
        <f>IF(A3726&gt;LastWeek-364,1,0)</f>
        <v/>
      </c>
      <c r="E3726" s="14">
        <f>C3726^2*D3726</f>
        <v/>
      </c>
    </row>
    <row r="3727">
      <c r="A3727" s="26" t="n">
        <v>45887</v>
      </c>
      <c r="B3727" s="14" t="inlineStr">
        <is>
          <t>NB-0036</t>
        </is>
      </c>
      <c r="C3727" s="14" t="n">
        <v>18</v>
      </c>
      <c r="D3727" s="14">
        <f>IF(A3727&gt;LastWeek-364,1,0)</f>
        <v/>
      </c>
      <c r="E3727" s="14">
        <f>C3727^2*D3727</f>
        <v/>
      </c>
    </row>
    <row r="3728">
      <c r="A3728" s="26" t="n">
        <v>45894</v>
      </c>
      <c r="B3728" s="14" t="inlineStr">
        <is>
          <t>NB-0036</t>
        </is>
      </c>
      <c r="C3728" s="14" t="n">
        <v>28</v>
      </c>
      <c r="D3728" s="14">
        <f>IF(A3728&gt;LastWeek-364,1,0)</f>
        <v/>
      </c>
      <c r="E3728" s="14">
        <f>C3728^2*D3728</f>
        <v/>
      </c>
    </row>
    <row r="3729">
      <c r="A3729" s="26" t="n">
        <v>45901</v>
      </c>
      <c r="B3729" s="14" t="inlineStr">
        <is>
          <t>NB-0036</t>
        </is>
      </c>
      <c r="C3729" s="14" t="n">
        <v>18</v>
      </c>
      <c r="D3729" s="14">
        <f>IF(A3729&gt;LastWeek-364,1,0)</f>
        <v/>
      </c>
      <c r="E3729" s="14">
        <f>C3729^2*D3729</f>
        <v/>
      </c>
    </row>
    <row r="3730">
      <c r="A3730" s="26" t="n">
        <v>45908</v>
      </c>
      <c r="B3730" s="14" t="inlineStr">
        <is>
          <t>NB-0036</t>
        </is>
      </c>
      <c r="C3730" s="14" t="n">
        <v>24</v>
      </c>
      <c r="D3730" s="14">
        <f>IF(A3730&gt;LastWeek-364,1,0)</f>
        <v/>
      </c>
      <c r="E3730" s="14">
        <f>C3730^2*D3730</f>
        <v/>
      </c>
    </row>
    <row r="3731">
      <c r="A3731" s="26" t="n">
        <v>45915</v>
      </c>
      <c r="B3731" s="14" t="inlineStr">
        <is>
          <t>NB-0036</t>
        </is>
      </c>
      <c r="C3731" s="14" t="n">
        <v>21</v>
      </c>
      <c r="D3731" s="14">
        <f>IF(A3731&gt;LastWeek-364,1,0)</f>
        <v/>
      </c>
      <c r="E3731" s="14">
        <f>C3731^2*D3731</f>
        <v/>
      </c>
    </row>
    <row r="3732">
      <c r="A3732" s="26" t="n">
        <v>45922</v>
      </c>
      <c r="B3732" s="14" t="inlineStr">
        <is>
          <t>NB-0036</t>
        </is>
      </c>
      <c r="C3732" s="14" t="n">
        <v>31</v>
      </c>
      <c r="D3732" s="14">
        <f>IF(A3732&gt;LastWeek-364,1,0)</f>
        <v/>
      </c>
      <c r="E3732" s="14">
        <f>C3732^2*D3732</f>
        <v/>
      </c>
    </row>
    <row r="3733">
      <c r="A3733" s="26" t="n">
        <v>45929</v>
      </c>
      <c r="B3733" s="14" t="inlineStr">
        <is>
          <t>NB-0036</t>
        </is>
      </c>
      <c r="C3733" s="14" t="n">
        <v>21</v>
      </c>
      <c r="D3733" s="14">
        <f>IF(A3733&gt;LastWeek-364,1,0)</f>
        <v/>
      </c>
      <c r="E3733" s="14">
        <f>C3733^2*D3733</f>
        <v/>
      </c>
    </row>
    <row r="3734">
      <c r="A3734" s="26" t="n">
        <v>45936</v>
      </c>
      <c r="B3734" s="14" t="inlineStr">
        <is>
          <t>NB-0036</t>
        </is>
      </c>
      <c r="C3734" s="14" t="n">
        <v>35</v>
      </c>
      <c r="D3734" s="14">
        <f>IF(A3734&gt;LastWeek-364,1,0)</f>
        <v/>
      </c>
      <c r="E3734" s="14">
        <f>C3734^2*D3734</f>
        <v/>
      </c>
    </row>
    <row r="3735">
      <c r="A3735" s="26" t="n">
        <v>45943</v>
      </c>
      <c r="B3735" s="14" t="inlineStr">
        <is>
          <t>NB-0036</t>
        </is>
      </c>
      <c r="C3735" s="14" t="n">
        <v>25</v>
      </c>
      <c r="D3735" s="14">
        <f>IF(A3735&gt;LastWeek-364,1,0)</f>
        <v/>
      </c>
      <c r="E3735" s="14">
        <f>C3735^2*D3735</f>
        <v/>
      </c>
    </row>
    <row r="3736">
      <c r="A3736" s="26" t="n">
        <v>45950</v>
      </c>
      <c r="B3736" s="14" t="inlineStr">
        <is>
          <t>NB-0036</t>
        </is>
      </c>
      <c r="C3736" s="14" t="n">
        <v>22</v>
      </c>
      <c r="D3736" s="14">
        <f>IF(A3736&gt;LastWeek-364,1,0)</f>
        <v/>
      </c>
      <c r="E3736" s="14">
        <f>C3736^2*D3736</f>
        <v/>
      </c>
    </row>
    <row r="3737">
      <c r="A3737" s="26" t="n">
        <v>45957</v>
      </c>
      <c r="B3737" s="14" t="inlineStr">
        <is>
          <t>NB-0036</t>
        </is>
      </c>
      <c r="C3737" s="14" t="n">
        <v>17</v>
      </c>
      <c r="D3737" s="14">
        <f>IF(A3737&gt;LastWeek-364,1,0)</f>
        <v/>
      </c>
      <c r="E3737" s="14">
        <f>C3737^2*D3737</f>
        <v/>
      </c>
    </row>
    <row r="3738">
      <c r="A3738" s="26" t="n">
        <v>45964</v>
      </c>
      <c r="B3738" s="14" t="inlineStr">
        <is>
          <t>NB-0036</t>
        </is>
      </c>
      <c r="C3738" s="14" t="n">
        <v>30</v>
      </c>
      <c r="D3738" s="14">
        <f>IF(A3738&gt;LastWeek-364,1,0)</f>
        <v/>
      </c>
      <c r="E3738" s="14">
        <f>C3738^2*D3738</f>
        <v/>
      </c>
    </row>
    <row r="3739">
      <c r="A3739" s="26" t="n">
        <v>45971</v>
      </c>
      <c r="B3739" s="14" t="inlineStr">
        <is>
          <t>NB-0036</t>
        </is>
      </c>
      <c r="C3739" s="14" t="n">
        <v>36</v>
      </c>
      <c r="D3739" s="14">
        <f>IF(A3739&gt;LastWeek-364,1,0)</f>
        <v/>
      </c>
      <c r="E3739" s="14">
        <f>C3739^2*D3739</f>
        <v/>
      </c>
    </row>
    <row r="3740">
      <c r="A3740" s="26" t="n">
        <v>45978</v>
      </c>
      <c r="B3740" s="14" t="inlineStr">
        <is>
          <t>NB-0036</t>
        </is>
      </c>
      <c r="C3740" s="14" t="n">
        <v>31</v>
      </c>
      <c r="D3740" s="14">
        <f>IF(A3740&gt;LastWeek-364,1,0)</f>
        <v/>
      </c>
      <c r="E3740" s="14">
        <f>C3740^2*D3740</f>
        <v/>
      </c>
    </row>
    <row r="3741">
      <c r="A3741" s="26" t="n">
        <v>45985</v>
      </c>
      <c r="B3741" s="14" t="inlineStr">
        <is>
          <t>NB-0036</t>
        </is>
      </c>
      <c r="C3741" s="14" t="n">
        <v>49</v>
      </c>
      <c r="D3741" s="14">
        <f>IF(A3741&gt;LastWeek-364,1,0)</f>
        <v/>
      </c>
      <c r="E3741" s="14">
        <f>C3741^2*D3741</f>
        <v/>
      </c>
    </row>
    <row r="3742">
      <c r="A3742" s="26" t="n">
        <v>45992</v>
      </c>
      <c r="B3742" s="14" t="inlineStr">
        <is>
          <t>NB-0036</t>
        </is>
      </c>
      <c r="C3742" s="14" t="n">
        <v>42</v>
      </c>
      <c r="D3742" s="14">
        <f>IF(A3742&gt;LastWeek-364,1,0)</f>
        <v/>
      </c>
      <c r="E3742" s="14">
        <f>C3742^2*D3742</f>
        <v/>
      </c>
    </row>
    <row r="3743">
      <c r="A3743" s="26" t="n">
        <v>45999</v>
      </c>
      <c r="B3743" s="14" t="inlineStr">
        <is>
          <t>NB-0036</t>
        </is>
      </c>
      <c r="C3743" s="14" t="n">
        <v>27</v>
      </c>
      <c r="D3743" s="14">
        <f>IF(A3743&gt;LastWeek-364,1,0)</f>
        <v/>
      </c>
      <c r="E3743" s="14">
        <f>C3743^2*D3743</f>
        <v/>
      </c>
    </row>
    <row r="3744">
      <c r="A3744" s="26" t="n">
        <v>46006</v>
      </c>
      <c r="B3744" s="14" t="inlineStr">
        <is>
          <t>NB-0036</t>
        </is>
      </c>
      <c r="C3744" s="14" t="n">
        <v>27</v>
      </c>
      <c r="D3744" s="14">
        <f>IF(A3744&gt;LastWeek-364,1,0)</f>
        <v/>
      </c>
      <c r="E3744" s="14">
        <f>C3744^2*D3744</f>
        <v/>
      </c>
    </row>
    <row r="3745">
      <c r="A3745" s="26" t="n">
        <v>46013</v>
      </c>
      <c r="B3745" s="14" t="inlineStr">
        <is>
          <t>NB-0036</t>
        </is>
      </c>
      <c r="C3745" s="14" t="n">
        <v>34</v>
      </c>
      <c r="D3745" s="14">
        <f>IF(A3745&gt;LastWeek-364,1,0)</f>
        <v/>
      </c>
      <c r="E3745" s="14">
        <f>C3745^2*D3745</f>
        <v/>
      </c>
    </row>
    <row r="3746">
      <c r="A3746" s="26" t="n">
        <v>45292</v>
      </c>
      <c r="B3746" s="14" t="inlineStr">
        <is>
          <t>NB-0037</t>
        </is>
      </c>
      <c r="C3746" s="14" t="n">
        <v>15</v>
      </c>
      <c r="D3746" s="14">
        <f>IF(A3746&gt;LastWeek-364,1,0)</f>
        <v/>
      </c>
      <c r="E3746" s="14">
        <f>C3746^2*D3746</f>
        <v/>
      </c>
    </row>
    <row r="3747">
      <c r="A3747" s="26" t="n">
        <v>45299</v>
      </c>
      <c r="B3747" s="14" t="inlineStr">
        <is>
          <t>NB-0037</t>
        </is>
      </c>
      <c r="C3747" s="14" t="n">
        <v>26</v>
      </c>
      <c r="D3747" s="14">
        <f>IF(A3747&gt;LastWeek-364,1,0)</f>
        <v/>
      </c>
      <c r="E3747" s="14">
        <f>C3747^2*D3747</f>
        <v/>
      </c>
    </row>
    <row r="3748">
      <c r="A3748" s="26" t="n">
        <v>45306</v>
      </c>
      <c r="B3748" s="14" t="inlineStr">
        <is>
          <t>NB-0037</t>
        </is>
      </c>
      <c r="C3748" s="14" t="n">
        <v>22</v>
      </c>
      <c r="D3748" s="14">
        <f>IF(A3748&gt;LastWeek-364,1,0)</f>
        <v/>
      </c>
      <c r="E3748" s="14">
        <f>C3748^2*D3748</f>
        <v/>
      </c>
    </row>
    <row r="3749">
      <c r="A3749" s="26" t="n">
        <v>45313</v>
      </c>
      <c r="B3749" s="14" t="inlineStr">
        <is>
          <t>NB-0037</t>
        </is>
      </c>
      <c r="C3749" s="14" t="n">
        <v>21</v>
      </c>
      <c r="D3749" s="14">
        <f>IF(A3749&gt;LastWeek-364,1,0)</f>
        <v/>
      </c>
      <c r="E3749" s="14">
        <f>C3749^2*D3749</f>
        <v/>
      </c>
    </row>
    <row r="3750">
      <c r="A3750" s="26" t="n">
        <v>45320</v>
      </c>
      <c r="B3750" s="14" t="inlineStr">
        <is>
          <t>NB-0037</t>
        </is>
      </c>
      <c r="C3750" s="14" t="n">
        <v>23</v>
      </c>
      <c r="D3750" s="14">
        <f>IF(A3750&gt;LastWeek-364,1,0)</f>
        <v/>
      </c>
      <c r="E3750" s="14">
        <f>C3750^2*D3750</f>
        <v/>
      </c>
    </row>
    <row r="3751">
      <c r="A3751" s="26" t="n">
        <v>45327</v>
      </c>
      <c r="B3751" s="14" t="inlineStr">
        <is>
          <t>NB-0037</t>
        </is>
      </c>
      <c r="C3751" s="14" t="n">
        <v>29</v>
      </c>
      <c r="D3751" s="14">
        <f>IF(A3751&gt;LastWeek-364,1,0)</f>
        <v/>
      </c>
      <c r="E3751" s="14">
        <f>C3751^2*D3751</f>
        <v/>
      </c>
    </row>
    <row r="3752">
      <c r="A3752" s="26" t="n">
        <v>45334</v>
      </c>
      <c r="B3752" s="14" t="inlineStr">
        <is>
          <t>NB-0037</t>
        </is>
      </c>
      <c r="C3752" s="14" t="n">
        <v>21</v>
      </c>
      <c r="D3752" s="14">
        <f>IF(A3752&gt;LastWeek-364,1,0)</f>
        <v/>
      </c>
      <c r="E3752" s="14">
        <f>C3752^2*D3752</f>
        <v/>
      </c>
    </row>
    <row r="3753">
      <c r="A3753" s="26" t="n">
        <v>45341</v>
      </c>
      <c r="B3753" s="14" t="inlineStr">
        <is>
          <t>NB-0037</t>
        </is>
      </c>
      <c r="C3753" s="14" t="n">
        <v>19</v>
      </c>
      <c r="D3753" s="14">
        <f>IF(A3753&gt;LastWeek-364,1,0)</f>
        <v/>
      </c>
      <c r="E3753" s="14">
        <f>C3753^2*D3753</f>
        <v/>
      </c>
    </row>
    <row r="3754">
      <c r="A3754" s="26" t="n">
        <v>45348</v>
      </c>
      <c r="B3754" s="14" t="inlineStr">
        <is>
          <t>NB-0037</t>
        </is>
      </c>
      <c r="C3754" s="14" t="n">
        <v>27</v>
      </c>
      <c r="D3754" s="14">
        <f>IF(A3754&gt;LastWeek-364,1,0)</f>
        <v/>
      </c>
      <c r="E3754" s="14">
        <f>C3754^2*D3754</f>
        <v/>
      </c>
    </row>
    <row r="3755">
      <c r="A3755" s="26" t="n">
        <v>45355</v>
      </c>
      <c r="B3755" s="14" t="inlineStr">
        <is>
          <t>NB-0037</t>
        </is>
      </c>
      <c r="C3755" s="14" t="n">
        <v>24</v>
      </c>
      <c r="D3755" s="14">
        <f>IF(A3755&gt;LastWeek-364,1,0)</f>
        <v/>
      </c>
      <c r="E3755" s="14">
        <f>C3755^2*D3755</f>
        <v/>
      </c>
    </row>
    <row r="3756">
      <c r="A3756" s="26" t="n">
        <v>45362</v>
      </c>
      <c r="B3756" s="14" t="inlineStr">
        <is>
          <t>NB-0037</t>
        </is>
      </c>
      <c r="C3756" s="14" t="n">
        <v>18</v>
      </c>
      <c r="D3756" s="14">
        <f>IF(A3756&gt;LastWeek-364,1,0)</f>
        <v/>
      </c>
      <c r="E3756" s="14">
        <f>C3756^2*D3756</f>
        <v/>
      </c>
    </row>
    <row r="3757">
      <c r="A3757" s="26" t="n">
        <v>45369</v>
      </c>
      <c r="B3757" s="14" t="inlineStr">
        <is>
          <t>NB-0037</t>
        </is>
      </c>
      <c r="C3757" s="14" t="n">
        <v>19</v>
      </c>
      <c r="D3757" s="14">
        <f>IF(A3757&gt;LastWeek-364,1,0)</f>
        <v/>
      </c>
      <c r="E3757" s="14">
        <f>C3757^2*D3757</f>
        <v/>
      </c>
    </row>
    <row r="3758">
      <c r="A3758" s="26" t="n">
        <v>45376</v>
      </c>
      <c r="B3758" s="14" t="inlineStr">
        <is>
          <t>NB-0037</t>
        </is>
      </c>
      <c r="C3758" s="14" t="n">
        <v>20</v>
      </c>
      <c r="D3758" s="14">
        <f>IF(A3758&gt;LastWeek-364,1,0)</f>
        <v/>
      </c>
      <c r="E3758" s="14">
        <f>C3758^2*D3758</f>
        <v/>
      </c>
    </row>
    <row r="3759">
      <c r="A3759" s="26" t="n">
        <v>45383</v>
      </c>
      <c r="B3759" s="14" t="inlineStr">
        <is>
          <t>NB-0037</t>
        </is>
      </c>
      <c r="C3759" s="14" t="n">
        <v>20</v>
      </c>
      <c r="D3759" s="14">
        <f>IF(A3759&gt;LastWeek-364,1,0)</f>
        <v/>
      </c>
      <c r="E3759" s="14">
        <f>C3759^2*D3759</f>
        <v/>
      </c>
    </row>
    <row r="3760">
      <c r="A3760" s="26" t="n">
        <v>45390</v>
      </c>
      <c r="B3760" s="14" t="inlineStr">
        <is>
          <t>NB-0037</t>
        </is>
      </c>
      <c r="C3760" s="14" t="n">
        <v>12</v>
      </c>
      <c r="D3760" s="14">
        <f>IF(A3760&gt;LastWeek-364,1,0)</f>
        <v/>
      </c>
      <c r="E3760" s="14">
        <f>C3760^2*D3760</f>
        <v/>
      </c>
    </row>
    <row r="3761">
      <c r="A3761" s="26" t="n">
        <v>45397</v>
      </c>
      <c r="B3761" s="14" t="inlineStr">
        <is>
          <t>NB-0037</t>
        </is>
      </c>
      <c r="C3761" s="14" t="n">
        <v>11</v>
      </c>
      <c r="D3761" s="14">
        <f>IF(A3761&gt;LastWeek-364,1,0)</f>
        <v/>
      </c>
      <c r="E3761" s="14">
        <f>C3761^2*D3761</f>
        <v/>
      </c>
    </row>
    <row r="3762">
      <c r="A3762" s="26" t="n">
        <v>45404</v>
      </c>
      <c r="B3762" s="14" t="inlineStr">
        <is>
          <t>NB-0037</t>
        </is>
      </c>
      <c r="C3762" s="14" t="n">
        <v>14</v>
      </c>
      <c r="D3762" s="14">
        <f>IF(A3762&gt;LastWeek-364,1,0)</f>
        <v/>
      </c>
      <c r="E3762" s="14">
        <f>C3762^2*D3762</f>
        <v/>
      </c>
    </row>
    <row r="3763">
      <c r="A3763" s="26" t="n">
        <v>45411</v>
      </c>
      <c r="B3763" s="14" t="inlineStr">
        <is>
          <t>NB-0037</t>
        </is>
      </c>
      <c r="C3763" s="14" t="n">
        <v>13</v>
      </c>
      <c r="D3763" s="14">
        <f>IF(A3763&gt;LastWeek-364,1,0)</f>
        <v/>
      </c>
      <c r="E3763" s="14">
        <f>C3763^2*D3763</f>
        <v/>
      </c>
    </row>
    <row r="3764">
      <c r="A3764" s="26" t="n">
        <v>45418</v>
      </c>
      <c r="B3764" s="14" t="inlineStr">
        <is>
          <t>NB-0037</t>
        </is>
      </c>
      <c r="C3764" s="14" t="n">
        <v>15</v>
      </c>
      <c r="D3764" s="14">
        <f>IF(A3764&gt;LastWeek-364,1,0)</f>
        <v/>
      </c>
      <c r="E3764" s="14">
        <f>C3764^2*D3764</f>
        <v/>
      </c>
    </row>
    <row r="3765">
      <c r="A3765" s="26" t="n">
        <v>45425</v>
      </c>
      <c r="B3765" s="14" t="inlineStr">
        <is>
          <t>NB-0037</t>
        </is>
      </c>
      <c r="C3765" s="14" t="n">
        <v>21</v>
      </c>
      <c r="D3765" s="14">
        <f>IF(A3765&gt;LastWeek-364,1,0)</f>
        <v/>
      </c>
      <c r="E3765" s="14">
        <f>C3765^2*D3765</f>
        <v/>
      </c>
    </row>
    <row r="3766">
      <c r="A3766" s="26" t="n">
        <v>45432</v>
      </c>
      <c r="B3766" s="14" t="inlineStr">
        <is>
          <t>NB-0037</t>
        </is>
      </c>
      <c r="C3766" s="14" t="n">
        <v>17</v>
      </c>
      <c r="D3766" s="14">
        <f>IF(A3766&gt;LastWeek-364,1,0)</f>
        <v/>
      </c>
      <c r="E3766" s="14">
        <f>C3766^2*D3766</f>
        <v/>
      </c>
    </row>
    <row r="3767">
      <c r="A3767" s="26" t="n">
        <v>45439</v>
      </c>
      <c r="B3767" s="14" t="inlineStr">
        <is>
          <t>NB-0037</t>
        </is>
      </c>
      <c r="C3767" s="14" t="n">
        <v>18</v>
      </c>
      <c r="D3767" s="14">
        <f>IF(A3767&gt;LastWeek-364,1,0)</f>
        <v/>
      </c>
      <c r="E3767" s="14">
        <f>C3767^2*D3767</f>
        <v/>
      </c>
    </row>
    <row r="3768">
      <c r="A3768" s="26" t="n">
        <v>45446</v>
      </c>
      <c r="B3768" s="14" t="inlineStr">
        <is>
          <t>NB-0037</t>
        </is>
      </c>
      <c r="C3768" s="14" t="n">
        <v>12</v>
      </c>
      <c r="D3768" s="14">
        <f>IF(A3768&gt;LastWeek-364,1,0)</f>
        <v/>
      </c>
      <c r="E3768" s="14">
        <f>C3768^2*D3768</f>
        <v/>
      </c>
    </row>
    <row r="3769">
      <c r="A3769" s="26" t="n">
        <v>45453</v>
      </c>
      <c r="B3769" s="14" t="inlineStr">
        <is>
          <t>NB-0037</t>
        </is>
      </c>
      <c r="C3769" s="14" t="n">
        <v>15</v>
      </c>
      <c r="D3769" s="14">
        <f>IF(A3769&gt;LastWeek-364,1,0)</f>
        <v/>
      </c>
      <c r="E3769" s="14">
        <f>C3769^2*D3769</f>
        <v/>
      </c>
    </row>
    <row r="3770">
      <c r="A3770" s="26" t="n">
        <v>45460</v>
      </c>
      <c r="B3770" s="14" t="inlineStr">
        <is>
          <t>NB-0037</t>
        </is>
      </c>
      <c r="C3770" s="14" t="n">
        <v>20</v>
      </c>
      <c r="D3770" s="14">
        <f>IF(A3770&gt;LastWeek-364,1,0)</f>
        <v/>
      </c>
      <c r="E3770" s="14">
        <f>C3770^2*D3770</f>
        <v/>
      </c>
    </row>
    <row r="3771">
      <c r="A3771" s="26" t="n">
        <v>45467</v>
      </c>
      <c r="B3771" s="14" t="inlineStr">
        <is>
          <t>NB-0037</t>
        </is>
      </c>
      <c r="C3771" s="14" t="n">
        <v>20</v>
      </c>
      <c r="D3771" s="14">
        <f>IF(A3771&gt;LastWeek-364,1,0)</f>
        <v/>
      </c>
      <c r="E3771" s="14">
        <f>C3771^2*D3771</f>
        <v/>
      </c>
    </row>
    <row r="3772">
      <c r="A3772" s="26" t="n">
        <v>45474</v>
      </c>
      <c r="B3772" s="14" t="inlineStr">
        <is>
          <t>NB-0037</t>
        </is>
      </c>
      <c r="C3772" s="14" t="n">
        <v>14</v>
      </c>
      <c r="D3772" s="14">
        <f>IF(A3772&gt;LastWeek-364,1,0)</f>
        <v/>
      </c>
      <c r="E3772" s="14">
        <f>C3772^2*D3772</f>
        <v/>
      </c>
    </row>
    <row r="3773">
      <c r="A3773" s="26" t="n">
        <v>45481</v>
      </c>
      <c r="B3773" s="14" t="inlineStr">
        <is>
          <t>NB-0037</t>
        </is>
      </c>
      <c r="C3773" s="14" t="n">
        <v>18</v>
      </c>
      <c r="D3773" s="14">
        <f>IF(A3773&gt;LastWeek-364,1,0)</f>
        <v/>
      </c>
      <c r="E3773" s="14">
        <f>C3773^2*D3773</f>
        <v/>
      </c>
    </row>
    <row r="3774">
      <c r="A3774" s="26" t="n">
        <v>45488</v>
      </c>
      <c r="B3774" s="14" t="inlineStr">
        <is>
          <t>NB-0037</t>
        </is>
      </c>
      <c r="C3774" s="14" t="n">
        <v>27</v>
      </c>
      <c r="D3774" s="14">
        <f>IF(A3774&gt;LastWeek-364,1,0)</f>
        <v/>
      </c>
      <c r="E3774" s="14">
        <f>C3774^2*D3774</f>
        <v/>
      </c>
    </row>
    <row r="3775">
      <c r="A3775" s="26" t="n">
        <v>45495</v>
      </c>
      <c r="B3775" s="14" t="inlineStr">
        <is>
          <t>NB-0037</t>
        </is>
      </c>
      <c r="C3775" s="14" t="n">
        <v>17</v>
      </c>
      <c r="D3775" s="14">
        <f>IF(A3775&gt;LastWeek-364,1,0)</f>
        <v/>
      </c>
      <c r="E3775" s="14">
        <f>C3775^2*D3775</f>
        <v/>
      </c>
    </row>
    <row r="3776">
      <c r="A3776" s="26" t="n">
        <v>45502</v>
      </c>
      <c r="B3776" s="14" t="inlineStr">
        <is>
          <t>NB-0037</t>
        </is>
      </c>
      <c r="C3776" s="14" t="n">
        <v>14</v>
      </c>
      <c r="D3776" s="14">
        <f>IF(A3776&gt;LastWeek-364,1,0)</f>
        <v/>
      </c>
      <c r="E3776" s="14">
        <f>C3776^2*D3776</f>
        <v/>
      </c>
    </row>
    <row r="3777">
      <c r="A3777" s="26" t="n">
        <v>45509</v>
      </c>
      <c r="B3777" s="14" t="inlineStr">
        <is>
          <t>NB-0037</t>
        </is>
      </c>
      <c r="C3777" s="14" t="n">
        <v>17</v>
      </c>
      <c r="D3777" s="14">
        <f>IF(A3777&gt;LastWeek-364,1,0)</f>
        <v/>
      </c>
      <c r="E3777" s="14">
        <f>C3777^2*D3777</f>
        <v/>
      </c>
    </row>
    <row r="3778">
      <c r="A3778" s="26" t="n">
        <v>45516</v>
      </c>
      <c r="B3778" s="14" t="inlineStr">
        <is>
          <t>NB-0037</t>
        </is>
      </c>
      <c r="C3778" s="14" t="n">
        <v>18</v>
      </c>
      <c r="D3778" s="14">
        <f>IF(A3778&gt;LastWeek-364,1,0)</f>
        <v/>
      </c>
      <c r="E3778" s="14">
        <f>C3778^2*D3778</f>
        <v/>
      </c>
    </row>
    <row r="3779">
      <c r="A3779" s="26" t="n">
        <v>45523</v>
      </c>
      <c r="B3779" s="14" t="inlineStr">
        <is>
          <t>NB-0037</t>
        </is>
      </c>
      <c r="C3779" s="14" t="n">
        <v>17</v>
      </c>
      <c r="D3779" s="14">
        <f>IF(A3779&gt;LastWeek-364,1,0)</f>
        <v/>
      </c>
      <c r="E3779" s="14">
        <f>C3779^2*D3779</f>
        <v/>
      </c>
    </row>
    <row r="3780">
      <c r="A3780" s="26" t="n">
        <v>45530</v>
      </c>
      <c r="B3780" s="14" t="inlineStr">
        <is>
          <t>NB-0037</t>
        </is>
      </c>
      <c r="C3780" s="14" t="n">
        <v>18</v>
      </c>
      <c r="D3780" s="14">
        <f>IF(A3780&gt;LastWeek-364,1,0)</f>
        <v/>
      </c>
      <c r="E3780" s="14">
        <f>C3780^2*D3780</f>
        <v/>
      </c>
    </row>
    <row r="3781">
      <c r="A3781" s="26" t="n">
        <v>45537</v>
      </c>
      <c r="B3781" s="14" t="inlineStr">
        <is>
          <t>NB-0037</t>
        </is>
      </c>
      <c r="C3781" s="14" t="n">
        <v>11</v>
      </c>
      <c r="D3781" s="14">
        <f>IF(A3781&gt;LastWeek-364,1,0)</f>
        <v/>
      </c>
      <c r="E3781" s="14">
        <f>C3781^2*D3781</f>
        <v/>
      </c>
    </row>
    <row r="3782">
      <c r="A3782" s="26" t="n">
        <v>45544</v>
      </c>
      <c r="B3782" s="14" t="inlineStr">
        <is>
          <t>NB-0037</t>
        </is>
      </c>
      <c r="C3782" s="14" t="n">
        <v>14</v>
      </c>
      <c r="D3782" s="14">
        <f>IF(A3782&gt;LastWeek-364,1,0)</f>
        <v/>
      </c>
      <c r="E3782" s="14">
        <f>C3782^2*D3782</f>
        <v/>
      </c>
    </row>
    <row r="3783">
      <c r="A3783" s="26" t="n">
        <v>45551</v>
      </c>
      <c r="B3783" s="14" t="inlineStr">
        <is>
          <t>NB-0037</t>
        </is>
      </c>
      <c r="C3783" s="14" t="n">
        <v>18</v>
      </c>
      <c r="D3783" s="14">
        <f>IF(A3783&gt;LastWeek-364,1,0)</f>
        <v/>
      </c>
      <c r="E3783" s="14">
        <f>C3783^2*D3783</f>
        <v/>
      </c>
    </row>
    <row r="3784">
      <c r="A3784" s="26" t="n">
        <v>45558</v>
      </c>
      <c r="B3784" s="14" t="inlineStr">
        <is>
          <t>NB-0037</t>
        </is>
      </c>
      <c r="C3784" s="14" t="n">
        <v>18</v>
      </c>
      <c r="D3784" s="14">
        <f>IF(A3784&gt;LastWeek-364,1,0)</f>
        <v/>
      </c>
      <c r="E3784" s="14">
        <f>C3784^2*D3784</f>
        <v/>
      </c>
    </row>
    <row r="3785">
      <c r="A3785" s="26" t="n">
        <v>45565</v>
      </c>
      <c r="B3785" s="14" t="inlineStr">
        <is>
          <t>NB-0037</t>
        </is>
      </c>
      <c r="C3785" s="14" t="n">
        <v>16</v>
      </c>
      <c r="D3785" s="14">
        <f>IF(A3785&gt;LastWeek-364,1,0)</f>
        <v/>
      </c>
      <c r="E3785" s="14">
        <f>C3785^2*D3785</f>
        <v/>
      </c>
    </row>
    <row r="3786">
      <c r="A3786" s="26" t="n">
        <v>45572</v>
      </c>
      <c r="B3786" s="14" t="inlineStr">
        <is>
          <t>NB-0037</t>
        </is>
      </c>
      <c r="C3786" s="14" t="n">
        <v>19</v>
      </c>
      <c r="D3786" s="14">
        <f>IF(A3786&gt;LastWeek-364,1,0)</f>
        <v/>
      </c>
      <c r="E3786" s="14">
        <f>C3786^2*D3786</f>
        <v/>
      </c>
    </row>
    <row r="3787">
      <c r="A3787" s="26" t="n">
        <v>45579</v>
      </c>
      <c r="B3787" s="14" t="inlineStr">
        <is>
          <t>NB-0037</t>
        </is>
      </c>
      <c r="C3787" s="14" t="n">
        <v>20</v>
      </c>
      <c r="D3787" s="14">
        <f>IF(A3787&gt;LastWeek-364,1,0)</f>
        <v/>
      </c>
      <c r="E3787" s="14">
        <f>C3787^2*D3787</f>
        <v/>
      </c>
    </row>
    <row r="3788">
      <c r="A3788" s="26" t="n">
        <v>45586</v>
      </c>
      <c r="B3788" s="14" t="inlineStr">
        <is>
          <t>NB-0037</t>
        </is>
      </c>
      <c r="C3788" s="14" t="n">
        <v>25</v>
      </c>
      <c r="D3788" s="14">
        <f>IF(A3788&gt;LastWeek-364,1,0)</f>
        <v/>
      </c>
      <c r="E3788" s="14">
        <f>C3788^2*D3788</f>
        <v/>
      </c>
    </row>
    <row r="3789">
      <c r="A3789" s="26" t="n">
        <v>45593</v>
      </c>
      <c r="B3789" s="14" t="inlineStr">
        <is>
          <t>NB-0037</t>
        </is>
      </c>
      <c r="C3789" s="14" t="n">
        <v>20</v>
      </c>
      <c r="D3789" s="14">
        <f>IF(A3789&gt;LastWeek-364,1,0)</f>
        <v/>
      </c>
      <c r="E3789" s="14">
        <f>C3789^2*D3789</f>
        <v/>
      </c>
    </row>
    <row r="3790">
      <c r="A3790" s="26" t="n">
        <v>45600</v>
      </c>
      <c r="B3790" s="14" t="inlineStr">
        <is>
          <t>NB-0037</t>
        </is>
      </c>
      <c r="C3790" s="14" t="n">
        <v>23</v>
      </c>
      <c r="D3790" s="14">
        <f>IF(A3790&gt;LastWeek-364,1,0)</f>
        <v/>
      </c>
      <c r="E3790" s="14">
        <f>C3790^2*D3790</f>
        <v/>
      </c>
    </row>
    <row r="3791">
      <c r="A3791" s="26" t="n">
        <v>45607</v>
      </c>
      <c r="B3791" s="14" t="inlineStr">
        <is>
          <t>NB-0037</t>
        </is>
      </c>
      <c r="C3791" s="14" t="n">
        <v>18</v>
      </c>
      <c r="D3791" s="14">
        <f>IF(A3791&gt;LastWeek-364,1,0)</f>
        <v/>
      </c>
      <c r="E3791" s="14">
        <f>C3791^2*D3791</f>
        <v/>
      </c>
    </row>
    <row r="3792">
      <c r="A3792" s="26" t="n">
        <v>45614</v>
      </c>
      <c r="B3792" s="14" t="inlineStr">
        <is>
          <t>NB-0037</t>
        </is>
      </c>
      <c r="C3792" s="14" t="n">
        <v>24</v>
      </c>
      <c r="D3792" s="14">
        <f>IF(A3792&gt;LastWeek-364,1,0)</f>
        <v/>
      </c>
      <c r="E3792" s="14">
        <f>C3792^2*D3792</f>
        <v/>
      </c>
    </row>
    <row r="3793">
      <c r="A3793" s="26" t="n">
        <v>45621</v>
      </c>
      <c r="B3793" s="14" t="inlineStr">
        <is>
          <t>NB-0037</t>
        </is>
      </c>
      <c r="C3793" s="14" t="n">
        <v>24</v>
      </c>
      <c r="D3793" s="14">
        <f>IF(A3793&gt;LastWeek-364,1,0)</f>
        <v/>
      </c>
      <c r="E3793" s="14">
        <f>C3793^2*D3793</f>
        <v/>
      </c>
    </row>
    <row r="3794">
      <c r="A3794" s="26" t="n">
        <v>45628</v>
      </c>
      <c r="B3794" s="14" t="inlineStr">
        <is>
          <t>NB-0037</t>
        </is>
      </c>
      <c r="C3794" s="14" t="n">
        <v>27</v>
      </c>
      <c r="D3794" s="14">
        <f>IF(A3794&gt;LastWeek-364,1,0)</f>
        <v/>
      </c>
      <c r="E3794" s="14">
        <f>C3794^2*D3794</f>
        <v/>
      </c>
    </row>
    <row r="3795">
      <c r="A3795" s="26" t="n">
        <v>45635</v>
      </c>
      <c r="B3795" s="14" t="inlineStr">
        <is>
          <t>NB-0037</t>
        </is>
      </c>
      <c r="C3795" s="14" t="n">
        <v>26</v>
      </c>
      <c r="D3795" s="14">
        <f>IF(A3795&gt;LastWeek-364,1,0)</f>
        <v/>
      </c>
      <c r="E3795" s="14">
        <f>C3795^2*D3795</f>
        <v/>
      </c>
    </row>
    <row r="3796">
      <c r="A3796" s="26" t="n">
        <v>45642</v>
      </c>
      <c r="B3796" s="14" t="inlineStr">
        <is>
          <t>NB-0037</t>
        </is>
      </c>
      <c r="C3796" s="14" t="n">
        <v>25</v>
      </c>
      <c r="D3796" s="14">
        <f>IF(A3796&gt;LastWeek-364,1,0)</f>
        <v/>
      </c>
      <c r="E3796" s="14">
        <f>C3796^2*D3796</f>
        <v/>
      </c>
    </row>
    <row r="3797">
      <c r="A3797" s="26" t="n">
        <v>45649</v>
      </c>
      <c r="B3797" s="14" t="inlineStr">
        <is>
          <t>NB-0037</t>
        </is>
      </c>
      <c r="C3797" s="14" t="n">
        <v>21</v>
      </c>
      <c r="D3797" s="14">
        <f>IF(A3797&gt;LastWeek-364,1,0)</f>
        <v/>
      </c>
      <c r="E3797" s="14">
        <f>C3797^2*D3797</f>
        <v/>
      </c>
    </row>
    <row r="3798">
      <c r="A3798" s="26" t="n">
        <v>45656</v>
      </c>
      <c r="B3798" s="14" t="inlineStr">
        <is>
          <t>NB-0037</t>
        </is>
      </c>
      <c r="C3798" s="14" t="n">
        <v>24</v>
      </c>
      <c r="D3798" s="14">
        <f>IF(A3798&gt;LastWeek-364,1,0)</f>
        <v/>
      </c>
      <c r="E3798" s="14">
        <f>C3798^2*D3798</f>
        <v/>
      </c>
    </row>
    <row r="3799">
      <c r="A3799" s="26" t="n">
        <v>45663</v>
      </c>
      <c r="B3799" s="14" t="inlineStr">
        <is>
          <t>NB-0037</t>
        </is>
      </c>
      <c r="C3799" s="14" t="n">
        <v>28</v>
      </c>
      <c r="D3799" s="14">
        <f>IF(A3799&gt;LastWeek-364,1,0)</f>
        <v/>
      </c>
      <c r="E3799" s="14">
        <f>C3799^2*D3799</f>
        <v/>
      </c>
    </row>
    <row r="3800">
      <c r="A3800" s="26" t="n">
        <v>45670</v>
      </c>
      <c r="B3800" s="14" t="inlineStr">
        <is>
          <t>NB-0037</t>
        </is>
      </c>
      <c r="C3800" s="14" t="n">
        <v>18</v>
      </c>
      <c r="D3800" s="14">
        <f>IF(A3800&gt;LastWeek-364,1,0)</f>
        <v/>
      </c>
      <c r="E3800" s="14">
        <f>C3800^2*D3800</f>
        <v/>
      </c>
    </row>
    <row r="3801">
      <c r="A3801" s="26" t="n">
        <v>45677</v>
      </c>
      <c r="B3801" s="14" t="inlineStr">
        <is>
          <t>NB-0037</t>
        </is>
      </c>
      <c r="C3801" s="14" t="n">
        <v>19</v>
      </c>
      <c r="D3801" s="14">
        <f>IF(A3801&gt;LastWeek-364,1,0)</f>
        <v/>
      </c>
      <c r="E3801" s="14">
        <f>C3801^2*D3801</f>
        <v/>
      </c>
    </row>
    <row r="3802">
      <c r="A3802" s="26" t="n">
        <v>45684</v>
      </c>
      <c r="B3802" s="14" t="inlineStr">
        <is>
          <t>NB-0037</t>
        </is>
      </c>
      <c r="C3802" s="14" t="n">
        <v>23</v>
      </c>
      <c r="D3802" s="14">
        <f>IF(A3802&gt;LastWeek-364,1,0)</f>
        <v/>
      </c>
      <c r="E3802" s="14">
        <f>C3802^2*D3802</f>
        <v/>
      </c>
    </row>
    <row r="3803">
      <c r="A3803" s="26" t="n">
        <v>45691</v>
      </c>
      <c r="B3803" s="14" t="inlineStr">
        <is>
          <t>NB-0037</t>
        </is>
      </c>
      <c r="C3803" s="14" t="n">
        <v>25</v>
      </c>
      <c r="D3803" s="14">
        <f>IF(A3803&gt;LastWeek-364,1,0)</f>
        <v/>
      </c>
      <c r="E3803" s="14">
        <f>C3803^2*D3803</f>
        <v/>
      </c>
    </row>
    <row r="3804">
      <c r="A3804" s="26" t="n">
        <v>45698</v>
      </c>
      <c r="B3804" s="14" t="inlineStr">
        <is>
          <t>NB-0037</t>
        </is>
      </c>
      <c r="C3804" s="14" t="n">
        <v>17</v>
      </c>
      <c r="D3804" s="14">
        <f>IF(A3804&gt;LastWeek-364,1,0)</f>
        <v/>
      </c>
      <c r="E3804" s="14">
        <f>C3804^2*D3804</f>
        <v/>
      </c>
    </row>
    <row r="3805">
      <c r="A3805" s="26" t="n">
        <v>45705</v>
      </c>
      <c r="B3805" s="14" t="inlineStr">
        <is>
          <t>NB-0037</t>
        </is>
      </c>
      <c r="C3805" s="14" t="n">
        <v>22</v>
      </c>
      <c r="D3805" s="14">
        <f>IF(A3805&gt;LastWeek-364,1,0)</f>
        <v/>
      </c>
      <c r="E3805" s="14">
        <f>C3805^2*D3805</f>
        <v/>
      </c>
    </row>
    <row r="3806">
      <c r="A3806" s="26" t="n">
        <v>45712</v>
      </c>
      <c r="B3806" s="14" t="inlineStr">
        <is>
          <t>NB-0037</t>
        </is>
      </c>
      <c r="C3806" s="14" t="n">
        <v>21</v>
      </c>
      <c r="D3806" s="14">
        <f>IF(A3806&gt;LastWeek-364,1,0)</f>
        <v/>
      </c>
      <c r="E3806" s="14">
        <f>C3806^2*D3806</f>
        <v/>
      </c>
    </row>
    <row r="3807">
      <c r="A3807" s="26" t="n">
        <v>45719</v>
      </c>
      <c r="B3807" s="14" t="inlineStr">
        <is>
          <t>NB-0037</t>
        </is>
      </c>
      <c r="C3807" s="14" t="n">
        <v>9</v>
      </c>
      <c r="D3807" s="14">
        <f>IF(A3807&gt;LastWeek-364,1,0)</f>
        <v/>
      </c>
      <c r="E3807" s="14">
        <f>C3807^2*D3807</f>
        <v/>
      </c>
    </row>
    <row r="3808">
      <c r="A3808" s="26" t="n">
        <v>45726</v>
      </c>
      <c r="B3808" s="14" t="inlineStr">
        <is>
          <t>NB-0037</t>
        </is>
      </c>
      <c r="C3808" s="14" t="n">
        <v>20</v>
      </c>
      <c r="D3808" s="14">
        <f>IF(A3808&gt;LastWeek-364,1,0)</f>
        <v/>
      </c>
      <c r="E3808" s="14">
        <f>C3808^2*D3808</f>
        <v/>
      </c>
    </row>
    <row r="3809">
      <c r="A3809" s="26" t="n">
        <v>45733</v>
      </c>
      <c r="B3809" s="14" t="inlineStr">
        <is>
          <t>NB-0037</t>
        </is>
      </c>
      <c r="C3809" s="14" t="n">
        <v>20</v>
      </c>
      <c r="D3809" s="14">
        <f>IF(A3809&gt;LastWeek-364,1,0)</f>
        <v/>
      </c>
      <c r="E3809" s="14">
        <f>C3809^2*D3809</f>
        <v/>
      </c>
    </row>
    <row r="3810">
      <c r="A3810" s="26" t="n">
        <v>45740</v>
      </c>
      <c r="B3810" s="14" t="inlineStr">
        <is>
          <t>NB-0037</t>
        </is>
      </c>
      <c r="C3810" s="14" t="n">
        <v>20</v>
      </c>
      <c r="D3810" s="14">
        <f>IF(A3810&gt;LastWeek-364,1,0)</f>
        <v/>
      </c>
      <c r="E3810" s="14">
        <f>C3810^2*D3810</f>
        <v/>
      </c>
    </row>
    <row r="3811">
      <c r="A3811" s="26" t="n">
        <v>45747</v>
      </c>
      <c r="B3811" s="14" t="inlineStr">
        <is>
          <t>NB-0037</t>
        </is>
      </c>
      <c r="C3811" s="14" t="n">
        <v>29</v>
      </c>
      <c r="D3811" s="14">
        <f>IF(A3811&gt;LastWeek-364,1,0)</f>
        <v/>
      </c>
      <c r="E3811" s="14">
        <f>C3811^2*D3811</f>
        <v/>
      </c>
    </row>
    <row r="3812">
      <c r="A3812" s="26" t="n">
        <v>45754</v>
      </c>
      <c r="B3812" s="14" t="inlineStr">
        <is>
          <t>NB-0037</t>
        </is>
      </c>
      <c r="C3812" s="14" t="n">
        <v>14</v>
      </c>
      <c r="D3812" s="14">
        <f>IF(A3812&gt;LastWeek-364,1,0)</f>
        <v/>
      </c>
      <c r="E3812" s="14">
        <f>C3812^2*D3812</f>
        <v/>
      </c>
    </row>
    <row r="3813">
      <c r="A3813" s="26" t="n">
        <v>45761</v>
      </c>
      <c r="B3813" s="14" t="inlineStr">
        <is>
          <t>NB-0037</t>
        </is>
      </c>
      <c r="C3813" s="14" t="n">
        <v>16</v>
      </c>
      <c r="D3813" s="14">
        <f>IF(A3813&gt;LastWeek-364,1,0)</f>
        <v/>
      </c>
      <c r="E3813" s="14">
        <f>C3813^2*D3813</f>
        <v/>
      </c>
    </row>
    <row r="3814">
      <c r="A3814" s="26" t="n">
        <v>45768</v>
      </c>
      <c r="B3814" s="14" t="inlineStr">
        <is>
          <t>NB-0037</t>
        </is>
      </c>
      <c r="C3814" s="14" t="n">
        <v>6</v>
      </c>
      <c r="D3814" s="14">
        <f>IF(A3814&gt;LastWeek-364,1,0)</f>
        <v/>
      </c>
      <c r="E3814" s="14">
        <f>C3814^2*D3814</f>
        <v/>
      </c>
    </row>
    <row r="3815">
      <c r="A3815" s="26" t="n">
        <v>45775</v>
      </c>
      <c r="B3815" s="14" t="inlineStr">
        <is>
          <t>NB-0037</t>
        </is>
      </c>
      <c r="C3815" s="14" t="n">
        <v>18</v>
      </c>
      <c r="D3815" s="14">
        <f>IF(A3815&gt;LastWeek-364,1,0)</f>
        <v/>
      </c>
      <c r="E3815" s="14">
        <f>C3815^2*D3815</f>
        <v/>
      </c>
    </row>
    <row r="3816">
      <c r="A3816" s="26" t="n">
        <v>45782</v>
      </c>
      <c r="B3816" s="14" t="inlineStr">
        <is>
          <t>NB-0037</t>
        </is>
      </c>
      <c r="C3816" s="14" t="n">
        <v>18</v>
      </c>
      <c r="D3816" s="14">
        <f>IF(A3816&gt;LastWeek-364,1,0)</f>
        <v/>
      </c>
      <c r="E3816" s="14">
        <f>C3816^2*D3816</f>
        <v/>
      </c>
    </row>
    <row r="3817">
      <c r="A3817" s="26" t="n">
        <v>45789</v>
      </c>
      <c r="B3817" s="14" t="inlineStr">
        <is>
          <t>NB-0037</t>
        </is>
      </c>
      <c r="C3817" s="14" t="n">
        <v>17</v>
      </c>
      <c r="D3817" s="14">
        <f>IF(A3817&gt;LastWeek-364,1,0)</f>
        <v/>
      </c>
      <c r="E3817" s="14">
        <f>C3817^2*D3817</f>
        <v/>
      </c>
    </row>
    <row r="3818">
      <c r="A3818" s="26" t="n">
        <v>45796</v>
      </c>
      <c r="B3818" s="14" t="inlineStr">
        <is>
          <t>NB-0037</t>
        </is>
      </c>
      <c r="C3818" s="14" t="n">
        <v>25</v>
      </c>
      <c r="D3818" s="14">
        <f>IF(A3818&gt;LastWeek-364,1,0)</f>
        <v/>
      </c>
      <c r="E3818" s="14">
        <f>C3818^2*D3818</f>
        <v/>
      </c>
    </row>
    <row r="3819">
      <c r="A3819" s="26" t="n">
        <v>45803</v>
      </c>
      <c r="B3819" s="14" t="inlineStr">
        <is>
          <t>NB-0037</t>
        </is>
      </c>
      <c r="C3819" s="14" t="n">
        <v>24</v>
      </c>
      <c r="D3819" s="14">
        <f>IF(A3819&gt;LastWeek-364,1,0)</f>
        <v/>
      </c>
      <c r="E3819" s="14">
        <f>C3819^2*D3819</f>
        <v/>
      </c>
    </row>
    <row r="3820">
      <c r="A3820" s="26" t="n">
        <v>45810</v>
      </c>
      <c r="B3820" s="14" t="inlineStr">
        <is>
          <t>NB-0037</t>
        </is>
      </c>
      <c r="C3820" s="14" t="n">
        <v>20</v>
      </c>
      <c r="D3820" s="14">
        <f>IF(A3820&gt;LastWeek-364,1,0)</f>
        <v/>
      </c>
      <c r="E3820" s="14">
        <f>C3820^2*D3820</f>
        <v/>
      </c>
    </row>
    <row r="3821">
      <c r="A3821" s="26" t="n">
        <v>45817</v>
      </c>
      <c r="B3821" s="14" t="inlineStr">
        <is>
          <t>NB-0037</t>
        </is>
      </c>
      <c r="C3821" s="14" t="n">
        <v>17</v>
      </c>
      <c r="D3821" s="14">
        <f>IF(A3821&gt;LastWeek-364,1,0)</f>
        <v/>
      </c>
      <c r="E3821" s="14">
        <f>C3821^2*D3821</f>
        <v/>
      </c>
    </row>
    <row r="3822">
      <c r="A3822" s="26" t="n">
        <v>45824</v>
      </c>
      <c r="B3822" s="14" t="inlineStr">
        <is>
          <t>NB-0037</t>
        </is>
      </c>
      <c r="C3822" s="14" t="n">
        <v>24</v>
      </c>
      <c r="D3822" s="14">
        <f>IF(A3822&gt;LastWeek-364,1,0)</f>
        <v/>
      </c>
      <c r="E3822" s="14">
        <f>C3822^2*D3822</f>
        <v/>
      </c>
    </row>
    <row r="3823">
      <c r="A3823" s="26" t="n">
        <v>45831</v>
      </c>
      <c r="B3823" s="14" t="inlineStr">
        <is>
          <t>NB-0037</t>
        </is>
      </c>
      <c r="C3823" s="14" t="n">
        <v>19</v>
      </c>
      <c r="D3823" s="14">
        <f>IF(A3823&gt;LastWeek-364,1,0)</f>
        <v/>
      </c>
      <c r="E3823" s="14">
        <f>C3823^2*D3823</f>
        <v/>
      </c>
    </row>
    <row r="3824">
      <c r="A3824" s="26" t="n">
        <v>45838</v>
      </c>
      <c r="B3824" s="14" t="inlineStr">
        <is>
          <t>NB-0037</t>
        </is>
      </c>
      <c r="C3824" s="14" t="n">
        <v>15</v>
      </c>
      <c r="D3824" s="14">
        <f>IF(A3824&gt;LastWeek-364,1,0)</f>
        <v/>
      </c>
      <c r="E3824" s="14">
        <f>C3824^2*D3824</f>
        <v/>
      </c>
    </row>
    <row r="3825">
      <c r="A3825" s="26" t="n">
        <v>45845</v>
      </c>
      <c r="B3825" s="14" t="inlineStr">
        <is>
          <t>NB-0037</t>
        </is>
      </c>
      <c r="C3825" s="14" t="n">
        <v>10</v>
      </c>
      <c r="D3825" s="14">
        <f>IF(A3825&gt;LastWeek-364,1,0)</f>
        <v/>
      </c>
      <c r="E3825" s="14">
        <f>C3825^2*D3825</f>
        <v/>
      </c>
    </row>
    <row r="3826">
      <c r="A3826" s="26" t="n">
        <v>45852</v>
      </c>
      <c r="B3826" s="14" t="inlineStr">
        <is>
          <t>NB-0037</t>
        </is>
      </c>
      <c r="C3826" s="14" t="n">
        <v>17</v>
      </c>
      <c r="D3826" s="14">
        <f>IF(A3826&gt;LastWeek-364,1,0)</f>
        <v/>
      </c>
      <c r="E3826" s="14">
        <f>C3826^2*D3826</f>
        <v/>
      </c>
    </row>
    <row r="3827">
      <c r="A3827" s="26" t="n">
        <v>45859</v>
      </c>
      <c r="B3827" s="14" t="inlineStr">
        <is>
          <t>NB-0037</t>
        </is>
      </c>
      <c r="C3827" s="14" t="n">
        <v>23</v>
      </c>
      <c r="D3827" s="14">
        <f>IF(A3827&gt;LastWeek-364,1,0)</f>
        <v/>
      </c>
      <c r="E3827" s="14">
        <f>C3827^2*D3827</f>
        <v/>
      </c>
    </row>
    <row r="3828">
      <c r="A3828" s="26" t="n">
        <v>45866</v>
      </c>
      <c r="B3828" s="14" t="inlineStr">
        <is>
          <t>NB-0037</t>
        </is>
      </c>
      <c r="C3828" s="14" t="n">
        <v>31</v>
      </c>
      <c r="D3828" s="14">
        <f>IF(A3828&gt;LastWeek-364,1,0)</f>
        <v/>
      </c>
      <c r="E3828" s="14">
        <f>C3828^2*D3828</f>
        <v/>
      </c>
    </row>
    <row r="3829">
      <c r="A3829" s="26" t="n">
        <v>45873</v>
      </c>
      <c r="B3829" s="14" t="inlineStr">
        <is>
          <t>NB-0037</t>
        </is>
      </c>
      <c r="C3829" s="14" t="n">
        <v>20</v>
      </c>
      <c r="D3829" s="14">
        <f>IF(A3829&gt;LastWeek-364,1,0)</f>
        <v/>
      </c>
      <c r="E3829" s="14">
        <f>C3829^2*D3829</f>
        <v/>
      </c>
    </row>
    <row r="3830">
      <c r="A3830" s="26" t="n">
        <v>45880</v>
      </c>
      <c r="B3830" s="14" t="inlineStr">
        <is>
          <t>NB-0037</t>
        </is>
      </c>
      <c r="C3830" s="14" t="n">
        <v>16</v>
      </c>
      <c r="D3830" s="14">
        <f>IF(A3830&gt;LastWeek-364,1,0)</f>
        <v/>
      </c>
      <c r="E3830" s="14">
        <f>C3830^2*D3830</f>
        <v/>
      </c>
    </row>
    <row r="3831">
      <c r="A3831" s="26" t="n">
        <v>45887</v>
      </c>
      <c r="B3831" s="14" t="inlineStr">
        <is>
          <t>NB-0037</t>
        </is>
      </c>
      <c r="C3831" s="14" t="n">
        <v>14</v>
      </c>
      <c r="D3831" s="14">
        <f>IF(A3831&gt;LastWeek-364,1,0)</f>
        <v/>
      </c>
      <c r="E3831" s="14">
        <f>C3831^2*D3831</f>
        <v/>
      </c>
    </row>
    <row r="3832">
      <c r="A3832" s="26" t="n">
        <v>45894</v>
      </c>
      <c r="B3832" s="14" t="inlineStr">
        <is>
          <t>NB-0037</t>
        </is>
      </c>
      <c r="C3832" s="14" t="n">
        <v>23</v>
      </c>
      <c r="D3832" s="14">
        <f>IF(A3832&gt;LastWeek-364,1,0)</f>
        <v/>
      </c>
      <c r="E3832" s="14">
        <f>C3832^2*D3832</f>
        <v/>
      </c>
    </row>
    <row r="3833">
      <c r="A3833" s="26" t="n">
        <v>45901</v>
      </c>
      <c r="B3833" s="14" t="inlineStr">
        <is>
          <t>NB-0037</t>
        </is>
      </c>
      <c r="C3833" s="14" t="n">
        <v>11</v>
      </c>
      <c r="D3833" s="14">
        <f>IF(A3833&gt;LastWeek-364,1,0)</f>
        <v/>
      </c>
      <c r="E3833" s="14">
        <f>C3833^2*D3833</f>
        <v/>
      </c>
    </row>
    <row r="3834">
      <c r="A3834" s="26" t="n">
        <v>45908</v>
      </c>
      <c r="B3834" s="14" t="inlineStr">
        <is>
          <t>NB-0037</t>
        </is>
      </c>
      <c r="C3834" s="14" t="n">
        <v>24</v>
      </c>
      <c r="D3834" s="14">
        <f>IF(A3834&gt;LastWeek-364,1,0)</f>
        <v/>
      </c>
      <c r="E3834" s="14">
        <f>C3834^2*D3834</f>
        <v/>
      </c>
    </row>
    <row r="3835">
      <c r="A3835" s="26" t="n">
        <v>45915</v>
      </c>
      <c r="B3835" s="14" t="inlineStr">
        <is>
          <t>NB-0037</t>
        </is>
      </c>
      <c r="C3835" s="14" t="n">
        <v>26</v>
      </c>
      <c r="D3835" s="14">
        <f>IF(A3835&gt;LastWeek-364,1,0)</f>
        <v/>
      </c>
      <c r="E3835" s="14">
        <f>C3835^2*D3835</f>
        <v/>
      </c>
    </row>
    <row r="3836">
      <c r="A3836" s="26" t="n">
        <v>45922</v>
      </c>
      <c r="B3836" s="14" t="inlineStr">
        <is>
          <t>NB-0037</t>
        </is>
      </c>
      <c r="C3836" s="14" t="n">
        <v>24</v>
      </c>
      <c r="D3836" s="14">
        <f>IF(A3836&gt;LastWeek-364,1,0)</f>
        <v/>
      </c>
      <c r="E3836" s="14">
        <f>C3836^2*D3836</f>
        <v/>
      </c>
    </row>
    <row r="3837">
      <c r="A3837" s="26" t="n">
        <v>45929</v>
      </c>
      <c r="B3837" s="14" t="inlineStr">
        <is>
          <t>NB-0037</t>
        </is>
      </c>
      <c r="C3837" s="14" t="n">
        <v>20</v>
      </c>
      <c r="D3837" s="14">
        <f>IF(A3837&gt;LastWeek-364,1,0)</f>
        <v/>
      </c>
      <c r="E3837" s="14">
        <f>C3837^2*D3837</f>
        <v/>
      </c>
    </row>
    <row r="3838">
      <c r="A3838" s="26" t="n">
        <v>45936</v>
      </c>
      <c r="B3838" s="14" t="inlineStr">
        <is>
          <t>NB-0037</t>
        </is>
      </c>
      <c r="C3838" s="14" t="n">
        <v>25</v>
      </c>
      <c r="D3838" s="14">
        <f>IF(A3838&gt;LastWeek-364,1,0)</f>
        <v/>
      </c>
      <c r="E3838" s="14">
        <f>C3838^2*D3838</f>
        <v/>
      </c>
    </row>
    <row r="3839">
      <c r="A3839" s="26" t="n">
        <v>45943</v>
      </c>
      <c r="B3839" s="14" t="inlineStr">
        <is>
          <t>NB-0037</t>
        </is>
      </c>
      <c r="C3839" s="14" t="n">
        <v>23</v>
      </c>
      <c r="D3839" s="14">
        <f>IF(A3839&gt;LastWeek-364,1,0)</f>
        <v/>
      </c>
      <c r="E3839" s="14">
        <f>C3839^2*D3839</f>
        <v/>
      </c>
    </row>
    <row r="3840">
      <c r="A3840" s="26" t="n">
        <v>45950</v>
      </c>
      <c r="B3840" s="14" t="inlineStr">
        <is>
          <t>NB-0037</t>
        </is>
      </c>
      <c r="C3840" s="14" t="n">
        <v>18</v>
      </c>
      <c r="D3840" s="14">
        <f>IF(A3840&gt;LastWeek-364,1,0)</f>
        <v/>
      </c>
      <c r="E3840" s="14">
        <f>C3840^2*D3840</f>
        <v/>
      </c>
    </row>
    <row r="3841">
      <c r="A3841" s="26" t="n">
        <v>45957</v>
      </c>
      <c r="B3841" s="14" t="inlineStr">
        <is>
          <t>NB-0037</t>
        </is>
      </c>
      <c r="C3841" s="14" t="n">
        <v>34</v>
      </c>
      <c r="D3841" s="14">
        <f>IF(A3841&gt;LastWeek-364,1,0)</f>
        <v/>
      </c>
      <c r="E3841" s="14">
        <f>C3841^2*D3841</f>
        <v/>
      </c>
    </row>
    <row r="3842">
      <c r="A3842" s="26" t="n">
        <v>45964</v>
      </c>
      <c r="B3842" s="14" t="inlineStr">
        <is>
          <t>NB-0037</t>
        </is>
      </c>
      <c r="C3842" s="14" t="n">
        <v>21</v>
      </c>
      <c r="D3842" s="14">
        <f>IF(A3842&gt;LastWeek-364,1,0)</f>
        <v/>
      </c>
      <c r="E3842" s="14">
        <f>C3842^2*D3842</f>
        <v/>
      </c>
    </row>
    <row r="3843">
      <c r="A3843" s="26" t="n">
        <v>45971</v>
      </c>
      <c r="B3843" s="14" t="inlineStr">
        <is>
          <t>NB-0037</t>
        </is>
      </c>
      <c r="C3843" s="14" t="n">
        <v>28</v>
      </c>
      <c r="D3843" s="14">
        <f>IF(A3843&gt;LastWeek-364,1,0)</f>
        <v/>
      </c>
      <c r="E3843" s="14">
        <f>C3843^2*D3843</f>
        <v/>
      </c>
    </row>
    <row r="3844">
      <c r="A3844" s="26" t="n">
        <v>45978</v>
      </c>
      <c r="B3844" s="14" t="inlineStr">
        <is>
          <t>NB-0037</t>
        </is>
      </c>
      <c r="C3844" s="14" t="n">
        <v>8</v>
      </c>
      <c r="D3844" s="14">
        <f>IF(A3844&gt;LastWeek-364,1,0)</f>
        <v/>
      </c>
      <c r="E3844" s="14">
        <f>C3844^2*D3844</f>
        <v/>
      </c>
    </row>
    <row r="3845">
      <c r="A3845" s="26" t="n">
        <v>45985</v>
      </c>
      <c r="B3845" s="14" t="inlineStr">
        <is>
          <t>NB-0037</t>
        </is>
      </c>
      <c r="C3845" s="14" t="n">
        <v>32</v>
      </c>
      <c r="D3845" s="14">
        <f>IF(A3845&gt;LastWeek-364,1,0)</f>
        <v/>
      </c>
      <c r="E3845" s="14">
        <f>C3845^2*D3845</f>
        <v/>
      </c>
    </row>
    <row r="3846">
      <c r="A3846" s="26" t="n">
        <v>45992</v>
      </c>
      <c r="B3846" s="14" t="inlineStr">
        <is>
          <t>NB-0037</t>
        </is>
      </c>
      <c r="C3846" s="14" t="n">
        <v>34</v>
      </c>
      <c r="D3846" s="14">
        <f>IF(A3846&gt;LastWeek-364,1,0)</f>
        <v/>
      </c>
      <c r="E3846" s="14">
        <f>C3846^2*D3846</f>
        <v/>
      </c>
    </row>
    <row r="3847">
      <c r="A3847" s="26" t="n">
        <v>45999</v>
      </c>
      <c r="B3847" s="14" t="inlineStr">
        <is>
          <t>NB-0037</t>
        </is>
      </c>
      <c r="C3847" s="14" t="n">
        <v>25</v>
      </c>
      <c r="D3847" s="14">
        <f>IF(A3847&gt;LastWeek-364,1,0)</f>
        <v/>
      </c>
      <c r="E3847" s="14">
        <f>C3847^2*D3847</f>
        <v/>
      </c>
    </row>
    <row r="3848">
      <c r="A3848" s="26" t="n">
        <v>46006</v>
      </c>
      <c r="B3848" s="14" t="inlineStr">
        <is>
          <t>NB-0037</t>
        </is>
      </c>
      <c r="C3848" s="14" t="n">
        <v>28</v>
      </c>
      <c r="D3848" s="14">
        <f>IF(A3848&gt;LastWeek-364,1,0)</f>
        <v/>
      </c>
      <c r="E3848" s="14">
        <f>C3848^2*D3848</f>
        <v/>
      </c>
    </row>
    <row r="3849">
      <c r="A3849" s="26" t="n">
        <v>46013</v>
      </c>
      <c r="B3849" s="14" t="inlineStr">
        <is>
          <t>NB-0037</t>
        </is>
      </c>
      <c r="C3849" s="14" t="n">
        <v>28</v>
      </c>
      <c r="D3849" s="14">
        <f>IF(A3849&gt;LastWeek-364,1,0)</f>
        <v/>
      </c>
      <c r="E3849" s="14">
        <f>C3849^2*D3849</f>
        <v/>
      </c>
    </row>
    <row r="3850">
      <c r="A3850" s="26" t="n">
        <v>45292</v>
      </c>
      <c r="B3850" s="14" t="inlineStr">
        <is>
          <t>NB-0038</t>
        </is>
      </c>
      <c r="C3850" s="14" t="n">
        <v>29</v>
      </c>
      <c r="D3850" s="14">
        <f>IF(A3850&gt;LastWeek-364,1,0)</f>
        <v/>
      </c>
      <c r="E3850" s="14">
        <f>C3850^2*D3850</f>
        <v/>
      </c>
    </row>
    <row r="3851">
      <c r="A3851" s="26" t="n">
        <v>45299</v>
      </c>
      <c r="B3851" s="14" t="inlineStr">
        <is>
          <t>NB-0038</t>
        </is>
      </c>
      <c r="C3851" s="14" t="n">
        <v>44</v>
      </c>
      <c r="D3851" s="14">
        <f>IF(A3851&gt;LastWeek-364,1,0)</f>
        <v/>
      </c>
      <c r="E3851" s="14">
        <f>C3851^2*D3851</f>
        <v/>
      </c>
    </row>
    <row r="3852">
      <c r="A3852" s="26" t="n">
        <v>45306</v>
      </c>
      <c r="B3852" s="14" t="inlineStr">
        <is>
          <t>NB-0038</t>
        </is>
      </c>
      <c r="C3852" s="14" t="n">
        <v>27</v>
      </c>
      <c r="D3852" s="14">
        <f>IF(A3852&gt;LastWeek-364,1,0)</f>
        <v/>
      </c>
      <c r="E3852" s="14">
        <f>C3852^2*D3852</f>
        <v/>
      </c>
    </row>
    <row r="3853">
      <c r="A3853" s="26" t="n">
        <v>45313</v>
      </c>
      <c r="B3853" s="14" t="inlineStr">
        <is>
          <t>NB-0038</t>
        </is>
      </c>
      <c r="C3853" s="14" t="n">
        <v>30</v>
      </c>
      <c r="D3853" s="14">
        <f>IF(A3853&gt;LastWeek-364,1,0)</f>
        <v/>
      </c>
      <c r="E3853" s="14">
        <f>C3853^2*D3853</f>
        <v/>
      </c>
    </row>
    <row r="3854">
      <c r="A3854" s="26" t="n">
        <v>45320</v>
      </c>
      <c r="B3854" s="14" t="inlineStr">
        <is>
          <t>NB-0038</t>
        </is>
      </c>
      <c r="C3854" s="14" t="n">
        <v>51</v>
      </c>
      <c r="D3854" s="14">
        <f>IF(A3854&gt;LastWeek-364,1,0)</f>
        <v/>
      </c>
      <c r="E3854" s="14">
        <f>C3854^2*D3854</f>
        <v/>
      </c>
    </row>
    <row r="3855">
      <c r="A3855" s="26" t="n">
        <v>45327</v>
      </c>
      <c r="B3855" s="14" t="inlineStr">
        <is>
          <t>NB-0038</t>
        </is>
      </c>
      <c r="C3855" s="14" t="n">
        <v>49</v>
      </c>
      <c r="D3855" s="14">
        <f>IF(A3855&gt;LastWeek-364,1,0)</f>
        <v/>
      </c>
      <c r="E3855" s="14">
        <f>C3855^2*D3855</f>
        <v/>
      </c>
    </row>
    <row r="3856">
      <c r="A3856" s="26" t="n">
        <v>45334</v>
      </c>
      <c r="B3856" s="14" t="inlineStr">
        <is>
          <t>NB-0038</t>
        </is>
      </c>
      <c r="C3856" s="14" t="n">
        <v>28</v>
      </c>
      <c r="D3856" s="14">
        <f>IF(A3856&gt;LastWeek-364,1,0)</f>
        <v/>
      </c>
      <c r="E3856" s="14">
        <f>C3856^2*D3856</f>
        <v/>
      </c>
    </row>
    <row r="3857">
      <c r="A3857" s="26" t="n">
        <v>45341</v>
      </c>
      <c r="B3857" s="14" t="inlineStr">
        <is>
          <t>NB-0038</t>
        </is>
      </c>
      <c r="C3857" s="14" t="n">
        <v>28</v>
      </c>
      <c r="D3857" s="14">
        <f>IF(A3857&gt;LastWeek-364,1,0)</f>
        <v/>
      </c>
      <c r="E3857" s="14">
        <f>C3857^2*D3857</f>
        <v/>
      </c>
    </row>
    <row r="3858">
      <c r="A3858" s="26" t="n">
        <v>45348</v>
      </c>
      <c r="B3858" s="14" t="inlineStr">
        <is>
          <t>NB-0038</t>
        </is>
      </c>
      <c r="C3858" s="14" t="n">
        <v>29</v>
      </c>
      <c r="D3858" s="14">
        <f>IF(A3858&gt;LastWeek-364,1,0)</f>
        <v/>
      </c>
      <c r="E3858" s="14">
        <f>C3858^2*D3858</f>
        <v/>
      </c>
    </row>
    <row r="3859">
      <c r="A3859" s="26" t="n">
        <v>45355</v>
      </c>
      <c r="B3859" s="14" t="inlineStr">
        <is>
          <t>NB-0038</t>
        </is>
      </c>
      <c r="C3859" s="14" t="n">
        <v>45</v>
      </c>
      <c r="D3859" s="14">
        <f>IF(A3859&gt;LastWeek-364,1,0)</f>
        <v/>
      </c>
      <c r="E3859" s="14">
        <f>C3859^2*D3859</f>
        <v/>
      </c>
    </row>
    <row r="3860">
      <c r="A3860" s="26" t="n">
        <v>45362</v>
      </c>
      <c r="B3860" s="14" t="inlineStr">
        <is>
          <t>NB-0038</t>
        </is>
      </c>
      <c r="C3860" s="14" t="n">
        <v>24</v>
      </c>
      <c r="D3860" s="14">
        <f>IF(A3860&gt;LastWeek-364,1,0)</f>
        <v/>
      </c>
      <c r="E3860" s="14">
        <f>C3860^2*D3860</f>
        <v/>
      </c>
    </row>
    <row r="3861">
      <c r="A3861" s="26" t="n">
        <v>45369</v>
      </c>
      <c r="B3861" s="14" t="inlineStr">
        <is>
          <t>NB-0038</t>
        </is>
      </c>
      <c r="C3861" s="14" t="n">
        <v>40</v>
      </c>
      <c r="D3861" s="14">
        <f>IF(A3861&gt;LastWeek-364,1,0)</f>
        <v/>
      </c>
      <c r="E3861" s="14">
        <f>C3861^2*D3861</f>
        <v/>
      </c>
    </row>
    <row r="3862">
      <c r="A3862" s="26" t="n">
        <v>45376</v>
      </c>
      <c r="B3862" s="14" t="inlineStr">
        <is>
          <t>NB-0038</t>
        </is>
      </c>
      <c r="C3862" s="14" t="n">
        <v>44</v>
      </c>
      <c r="D3862" s="14">
        <f>IF(A3862&gt;LastWeek-364,1,0)</f>
        <v/>
      </c>
      <c r="E3862" s="14">
        <f>C3862^2*D3862</f>
        <v/>
      </c>
    </row>
    <row r="3863">
      <c r="A3863" s="26" t="n">
        <v>45383</v>
      </c>
      <c r="B3863" s="14" t="inlineStr">
        <is>
          <t>NB-0038</t>
        </is>
      </c>
      <c r="C3863" s="14" t="n">
        <v>34</v>
      </c>
      <c r="D3863" s="14">
        <f>IF(A3863&gt;LastWeek-364,1,0)</f>
        <v/>
      </c>
      <c r="E3863" s="14">
        <f>C3863^2*D3863</f>
        <v/>
      </c>
    </row>
    <row r="3864">
      <c r="A3864" s="26" t="n">
        <v>45390</v>
      </c>
      <c r="B3864" s="14" t="inlineStr">
        <is>
          <t>NB-0038</t>
        </is>
      </c>
      <c r="C3864" s="14" t="n">
        <v>46</v>
      </c>
      <c r="D3864" s="14">
        <f>IF(A3864&gt;LastWeek-364,1,0)</f>
        <v/>
      </c>
      <c r="E3864" s="14">
        <f>C3864^2*D3864</f>
        <v/>
      </c>
    </row>
    <row r="3865">
      <c r="A3865" s="26" t="n">
        <v>45397</v>
      </c>
      <c r="B3865" s="14" t="inlineStr">
        <is>
          <t>NB-0038</t>
        </is>
      </c>
      <c r="C3865" s="14" t="n">
        <v>31</v>
      </c>
      <c r="D3865" s="14">
        <f>IF(A3865&gt;LastWeek-364,1,0)</f>
        <v/>
      </c>
      <c r="E3865" s="14">
        <f>C3865^2*D3865</f>
        <v/>
      </c>
    </row>
    <row r="3866">
      <c r="A3866" s="26" t="n">
        <v>45404</v>
      </c>
      <c r="B3866" s="14" t="inlineStr">
        <is>
          <t>NB-0038</t>
        </is>
      </c>
      <c r="C3866" s="14" t="n">
        <v>31</v>
      </c>
      <c r="D3866" s="14">
        <f>IF(A3866&gt;LastWeek-364,1,0)</f>
        <v/>
      </c>
      <c r="E3866" s="14">
        <f>C3866^2*D3866</f>
        <v/>
      </c>
    </row>
    <row r="3867">
      <c r="A3867" s="26" t="n">
        <v>45411</v>
      </c>
      <c r="B3867" s="14" t="inlineStr">
        <is>
          <t>NB-0038</t>
        </is>
      </c>
      <c r="C3867" s="14" t="n">
        <v>23</v>
      </c>
      <c r="D3867" s="14">
        <f>IF(A3867&gt;LastWeek-364,1,0)</f>
        <v/>
      </c>
      <c r="E3867" s="14">
        <f>C3867^2*D3867</f>
        <v/>
      </c>
    </row>
    <row r="3868">
      <c r="A3868" s="26" t="n">
        <v>45418</v>
      </c>
      <c r="B3868" s="14" t="inlineStr">
        <is>
          <t>NB-0038</t>
        </is>
      </c>
      <c r="C3868" s="14" t="n">
        <v>44</v>
      </c>
      <c r="D3868" s="14">
        <f>IF(A3868&gt;LastWeek-364,1,0)</f>
        <v/>
      </c>
      <c r="E3868" s="14">
        <f>C3868^2*D3868</f>
        <v/>
      </c>
    </row>
    <row r="3869">
      <c r="A3869" s="26" t="n">
        <v>45425</v>
      </c>
      <c r="B3869" s="14" t="inlineStr">
        <is>
          <t>NB-0038</t>
        </is>
      </c>
      <c r="C3869" s="14" t="n">
        <v>24</v>
      </c>
      <c r="D3869" s="14">
        <f>IF(A3869&gt;LastWeek-364,1,0)</f>
        <v/>
      </c>
      <c r="E3869" s="14">
        <f>C3869^2*D3869</f>
        <v/>
      </c>
    </row>
    <row r="3870">
      <c r="A3870" s="26" t="n">
        <v>45432</v>
      </c>
      <c r="B3870" s="14" t="inlineStr">
        <is>
          <t>NB-0038</t>
        </is>
      </c>
      <c r="C3870" s="14" t="n">
        <v>36</v>
      </c>
      <c r="D3870" s="14">
        <f>IF(A3870&gt;LastWeek-364,1,0)</f>
        <v/>
      </c>
      <c r="E3870" s="14">
        <f>C3870^2*D3870</f>
        <v/>
      </c>
    </row>
    <row r="3871">
      <c r="A3871" s="26" t="n">
        <v>45439</v>
      </c>
      <c r="B3871" s="14" t="inlineStr">
        <is>
          <t>NB-0038</t>
        </is>
      </c>
      <c r="C3871" s="14" t="n">
        <v>31</v>
      </c>
      <c r="D3871" s="14">
        <f>IF(A3871&gt;LastWeek-364,1,0)</f>
        <v/>
      </c>
      <c r="E3871" s="14">
        <f>C3871^2*D3871</f>
        <v/>
      </c>
    </row>
    <row r="3872">
      <c r="A3872" s="26" t="n">
        <v>45446</v>
      </c>
      <c r="B3872" s="14" t="inlineStr">
        <is>
          <t>NB-0038</t>
        </is>
      </c>
      <c r="C3872" s="14" t="n">
        <v>21</v>
      </c>
      <c r="D3872" s="14">
        <f>IF(A3872&gt;LastWeek-364,1,0)</f>
        <v/>
      </c>
      <c r="E3872" s="14">
        <f>C3872^2*D3872</f>
        <v/>
      </c>
    </row>
    <row r="3873">
      <c r="A3873" s="26" t="n">
        <v>45453</v>
      </c>
      <c r="B3873" s="14" t="inlineStr">
        <is>
          <t>NB-0038</t>
        </is>
      </c>
      <c r="C3873" s="14" t="n">
        <v>25</v>
      </c>
      <c r="D3873" s="14">
        <f>IF(A3873&gt;LastWeek-364,1,0)</f>
        <v/>
      </c>
      <c r="E3873" s="14">
        <f>C3873^2*D3873</f>
        <v/>
      </c>
    </row>
    <row r="3874">
      <c r="A3874" s="26" t="n">
        <v>45460</v>
      </c>
      <c r="B3874" s="14" t="inlineStr">
        <is>
          <t>NB-0038</t>
        </is>
      </c>
      <c r="C3874" s="14" t="n">
        <v>46</v>
      </c>
      <c r="D3874" s="14">
        <f>IF(A3874&gt;LastWeek-364,1,0)</f>
        <v/>
      </c>
      <c r="E3874" s="14">
        <f>C3874^2*D3874</f>
        <v/>
      </c>
    </row>
    <row r="3875">
      <c r="A3875" s="26" t="n">
        <v>45467</v>
      </c>
      <c r="B3875" s="14" t="inlineStr">
        <is>
          <t>NB-0038</t>
        </is>
      </c>
      <c r="C3875" s="14" t="n">
        <v>34</v>
      </c>
      <c r="D3875" s="14">
        <f>IF(A3875&gt;LastWeek-364,1,0)</f>
        <v/>
      </c>
      <c r="E3875" s="14">
        <f>C3875^2*D3875</f>
        <v/>
      </c>
    </row>
    <row r="3876">
      <c r="A3876" s="26" t="n">
        <v>45474</v>
      </c>
      <c r="B3876" s="14" t="inlineStr">
        <is>
          <t>NB-0038</t>
        </is>
      </c>
      <c r="C3876" s="14" t="n">
        <v>21</v>
      </c>
      <c r="D3876" s="14">
        <f>IF(A3876&gt;LastWeek-364,1,0)</f>
        <v/>
      </c>
      <c r="E3876" s="14">
        <f>C3876^2*D3876</f>
        <v/>
      </c>
    </row>
    <row r="3877">
      <c r="A3877" s="26" t="n">
        <v>45481</v>
      </c>
      <c r="B3877" s="14" t="inlineStr">
        <is>
          <t>NB-0038</t>
        </is>
      </c>
      <c r="C3877" s="14" t="n">
        <v>35</v>
      </c>
      <c r="D3877" s="14">
        <f>IF(A3877&gt;LastWeek-364,1,0)</f>
        <v/>
      </c>
      <c r="E3877" s="14">
        <f>C3877^2*D3877</f>
        <v/>
      </c>
    </row>
    <row r="3878">
      <c r="A3878" s="26" t="n">
        <v>45488</v>
      </c>
      <c r="B3878" s="14" t="inlineStr">
        <is>
          <t>NB-0038</t>
        </is>
      </c>
      <c r="C3878" s="14" t="n">
        <v>30</v>
      </c>
      <c r="D3878" s="14">
        <f>IF(A3878&gt;LastWeek-364,1,0)</f>
        <v/>
      </c>
      <c r="E3878" s="14">
        <f>C3878^2*D3878</f>
        <v/>
      </c>
    </row>
    <row r="3879">
      <c r="A3879" s="26" t="n">
        <v>45495</v>
      </c>
      <c r="B3879" s="14" t="inlineStr">
        <is>
          <t>NB-0038</t>
        </is>
      </c>
      <c r="C3879" s="14" t="n">
        <v>68</v>
      </c>
      <c r="D3879" s="14">
        <f>IF(A3879&gt;LastWeek-364,1,0)</f>
        <v/>
      </c>
      <c r="E3879" s="14">
        <f>C3879^2*D3879</f>
        <v/>
      </c>
    </row>
    <row r="3880">
      <c r="A3880" s="26" t="n">
        <v>45502</v>
      </c>
      <c r="B3880" s="14" t="inlineStr">
        <is>
          <t>NB-0038</t>
        </is>
      </c>
      <c r="C3880" s="14" t="n">
        <v>35</v>
      </c>
      <c r="D3880" s="14">
        <f>IF(A3880&gt;LastWeek-364,1,0)</f>
        <v/>
      </c>
      <c r="E3880" s="14">
        <f>C3880^2*D3880</f>
        <v/>
      </c>
    </row>
    <row r="3881">
      <c r="A3881" s="26" t="n">
        <v>45509</v>
      </c>
      <c r="B3881" s="14" t="inlineStr">
        <is>
          <t>NB-0038</t>
        </is>
      </c>
      <c r="C3881" s="14" t="n">
        <v>28</v>
      </c>
      <c r="D3881" s="14">
        <f>IF(A3881&gt;LastWeek-364,1,0)</f>
        <v/>
      </c>
      <c r="E3881" s="14">
        <f>C3881^2*D3881</f>
        <v/>
      </c>
    </row>
    <row r="3882">
      <c r="A3882" s="26" t="n">
        <v>45516</v>
      </c>
      <c r="B3882" s="14" t="inlineStr">
        <is>
          <t>NB-0038</t>
        </is>
      </c>
      <c r="C3882" s="14" t="n">
        <v>48</v>
      </c>
      <c r="D3882" s="14">
        <f>IF(A3882&gt;LastWeek-364,1,0)</f>
        <v/>
      </c>
      <c r="E3882" s="14">
        <f>C3882^2*D3882</f>
        <v/>
      </c>
    </row>
    <row r="3883">
      <c r="A3883" s="26" t="n">
        <v>45523</v>
      </c>
      <c r="B3883" s="14" t="inlineStr">
        <is>
          <t>NB-0038</t>
        </is>
      </c>
      <c r="C3883" s="14" t="n">
        <v>13</v>
      </c>
      <c r="D3883" s="14">
        <f>IF(A3883&gt;LastWeek-364,1,0)</f>
        <v/>
      </c>
      <c r="E3883" s="14">
        <f>C3883^2*D3883</f>
        <v/>
      </c>
    </row>
    <row r="3884">
      <c r="A3884" s="26" t="n">
        <v>45530</v>
      </c>
      <c r="B3884" s="14" t="inlineStr">
        <is>
          <t>NB-0038</t>
        </is>
      </c>
      <c r="C3884" s="14" t="n">
        <v>34</v>
      </c>
      <c r="D3884" s="14">
        <f>IF(A3884&gt;LastWeek-364,1,0)</f>
        <v/>
      </c>
      <c r="E3884" s="14">
        <f>C3884^2*D3884</f>
        <v/>
      </c>
    </row>
    <row r="3885">
      <c r="A3885" s="26" t="n">
        <v>45537</v>
      </c>
      <c r="B3885" s="14" t="inlineStr">
        <is>
          <t>NB-0038</t>
        </is>
      </c>
      <c r="C3885" s="14" t="n">
        <v>55</v>
      </c>
      <c r="D3885" s="14">
        <f>IF(A3885&gt;LastWeek-364,1,0)</f>
        <v/>
      </c>
      <c r="E3885" s="14">
        <f>C3885^2*D3885</f>
        <v/>
      </c>
    </row>
    <row r="3886">
      <c r="A3886" s="26" t="n">
        <v>45544</v>
      </c>
      <c r="B3886" s="14" t="inlineStr">
        <is>
          <t>NB-0038</t>
        </is>
      </c>
      <c r="C3886" s="14" t="n">
        <v>32</v>
      </c>
      <c r="D3886" s="14">
        <f>IF(A3886&gt;LastWeek-364,1,0)</f>
        <v/>
      </c>
      <c r="E3886" s="14">
        <f>C3886^2*D3886</f>
        <v/>
      </c>
    </row>
    <row r="3887">
      <c r="A3887" s="26" t="n">
        <v>45551</v>
      </c>
      <c r="B3887" s="14" t="inlineStr">
        <is>
          <t>NB-0038</t>
        </is>
      </c>
      <c r="C3887" s="14" t="n">
        <v>15</v>
      </c>
      <c r="D3887" s="14">
        <f>IF(A3887&gt;LastWeek-364,1,0)</f>
        <v/>
      </c>
      <c r="E3887" s="14">
        <f>C3887^2*D3887</f>
        <v/>
      </c>
    </row>
    <row r="3888">
      <c r="A3888" s="26" t="n">
        <v>45558</v>
      </c>
      <c r="B3888" s="14" t="inlineStr">
        <is>
          <t>NB-0038</t>
        </is>
      </c>
      <c r="C3888" s="14" t="n">
        <v>30</v>
      </c>
      <c r="D3888" s="14">
        <f>IF(A3888&gt;LastWeek-364,1,0)</f>
        <v/>
      </c>
      <c r="E3888" s="14">
        <f>C3888^2*D3888</f>
        <v/>
      </c>
    </row>
    <row r="3889">
      <c r="A3889" s="26" t="n">
        <v>45565</v>
      </c>
      <c r="B3889" s="14" t="inlineStr">
        <is>
          <t>NB-0038</t>
        </is>
      </c>
      <c r="C3889" s="14" t="n">
        <v>52</v>
      </c>
      <c r="D3889" s="14">
        <f>IF(A3889&gt;LastWeek-364,1,0)</f>
        <v/>
      </c>
      <c r="E3889" s="14">
        <f>C3889^2*D3889</f>
        <v/>
      </c>
    </row>
    <row r="3890">
      <c r="A3890" s="26" t="n">
        <v>45572</v>
      </c>
      <c r="B3890" s="14" t="inlineStr">
        <is>
          <t>NB-0038</t>
        </is>
      </c>
      <c r="C3890" s="14" t="n">
        <v>40</v>
      </c>
      <c r="D3890" s="14">
        <f>IF(A3890&gt;LastWeek-364,1,0)</f>
        <v/>
      </c>
      <c r="E3890" s="14">
        <f>C3890^2*D3890</f>
        <v/>
      </c>
    </row>
    <row r="3891">
      <c r="A3891" s="26" t="n">
        <v>45579</v>
      </c>
      <c r="B3891" s="14" t="inlineStr">
        <is>
          <t>NB-0038</t>
        </is>
      </c>
      <c r="C3891" s="14" t="n">
        <v>26</v>
      </c>
      <c r="D3891" s="14">
        <f>IF(A3891&gt;LastWeek-364,1,0)</f>
        <v/>
      </c>
      <c r="E3891" s="14">
        <f>C3891^2*D3891</f>
        <v/>
      </c>
    </row>
    <row r="3892">
      <c r="A3892" s="26" t="n">
        <v>45586</v>
      </c>
      <c r="B3892" s="14" t="inlineStr">
        <is>
          <t>NB-0038</t>
        </is>
      </c>
      <c r="C3892" s="14" t="n">
        <v>28</v>
      </c>
      <c r="D3892" s="14">
        <f>IF(A3892&gt;LastWeek-364,1,0)</f>
        <v/>
      </c>
      <c r="E3892" s="14">
        <f>C3892^2*D3892</f>
        <v/>
      </c>
    </row>
    <row r="3893">
      <c r="A3893" s="26" t="n">
        <v>45593</v>
      </c>
      <c r="B3893" s="14" t="inlineStr">
        <is>
          <t>NB-0038</t>
        </is>
      </c>
      <c r="C3893" s="14" t="n">
        <v>30</v>
      </c>
      <c r="D3893" s="14">
        <f>IF(A3893&gt;LastWeek-364,1,0)</f>
        <v/>
      </c>
      <c r="E3893" s="14">
        <f>C3893^2*D3893</f>
        <v/>
      </c>
    </row>
    <row r="3894">
      <c r="A3894" s="26" t="n">
        <v>45600</v>
      </c>
      <c r="B3894" s="14" t="inlineStr">
        <is>
          <t>NB-0038</t>
        </is>
      </c>
      <c r="C3894" s="14" t="n">
        <v>42</v>
      </c>
      <c r="D3894" s="14">
        <f>IF(A3894&gt;LastWeek-364,1,0)</f>
        <v/>
      </c>
      <c r="E3894" s="14">
        <f>C3894^2*D3894</f>
        <v/>
      </c>
    </row>
    <row r="3895">
      <c r="A3895" s="26" t="n">
        <v>45607</v>
      </c>
      <c r="B3895" s="14" t="inlineStr">
        <is>
          <t>NB-0038</t>
        </is>
      </c>
      <c r="C3895" s="14" t="n">
        <v>55</v>
      </c>
      <c r="D3895" s="14">
        <f>IF(A3895&gt;LastWeek-364,1,0)</f>
        <v/>
      </c>
      <c r="E3895" s="14">
        <f>C3895^2*D3895</f>
        <v/>
      </c>
    </row>
    <row r="3896">
      <c r="A3896" s="26" t="n">
        <v>45614</v>
      </c>
      <c r="B3896" s="14" t="inlineStr">
        <is>
          <t>NB-0038</t>
        </is>
      </c>
      <c r="C3896" s="14" t="n">
        <v>52</v>
      </c>
      <c r="D3896" s="14">
        <f>IF(A3896&gt;LastWeek-364,1,0)</f>
        <v/>
      </c>
      <c r="E3896" s="14">
        <f>C3896^2*D3896</f>
        <v/>
      </c>
    </row>
    <row r="3897">
      <c r="A3897" s="26" t="n">
        <v>45621</v>
      </c>
      <c r="B3897" s="14" t="inlineStr">
        <is>
          <t>NB-0038</t>
        </is>
      </c>
      <c r="C3897" s="14" t="n">
        <v>45</v>
      </c>
      <c r="D3897" s="14">
        <f>IF(A3897&gt;LastWeek-364,1,0)</f>
        <v/>
      </c>
      <c r="E3897" s="14">
        <f>C3897^2*D3897</f>
        <v/>
      </c>
    </row>
    <row r="3898">
      <c r="A3898" s="26" t="n">
        <v>45628</v>
      </c>
      <c r="B3898" s="14" t="inlineStr">
        <is>
          <t>NB-0038</t>
        </is>
      </c>
      <c r="C3898" s="14" t="n">
        <v>22</v>
      </c>
      <c r="D3898" s="14">
        <f>IF(A3898&gt;LastWeek-364,1,0)</f>
        <v/>
      </c>
      <c r="E3898" s="14">
        <f>C3898^2*D3898</f>
        <v/>
      </c>
    </row>
    <row r="3899">
      <c r="A3899" s="26" t="n">
        <v>45635</v>
      </c>
      <c r="B3899" s="14" t="inlineStr">
        <is>
          <t>NB-0038</t>
        </is>
      </c>
      <c r="C3899" s="14" t="n">
        <v>22</v>
      </c>
      <c r="D3899" s="14">
        <f>IF(A3899&gt;LastWeek-364,1,0)</f>
        <v/>
      </c>
      <c r="E3899" s="14">
        <f>C3899^2*D3899</f>
        <v/>
      </c>
    </row>
    <row r="3900">
      <c r="A3900" s="26" t="n">
        <v>45642</v>
      </c>
      <c r="B3900" s="14" t="inlineStr">
        <is>
          <t>NB-0038</t>
        </is>
      </c>
      <c r="C3900" s="14" t="n">
        <v>47</v>
      </c>
      <c r="D3900" s="14">
        <f>IF(A3900&gt;LastWeek-364,1,0)</f>
        <v/>
      </c>
      <c r="E3900" s="14">
        <f>C3900^2*D3900</f>
        <v/>
      </c>
    </row>
    <row r="3901">
      <c r="A3901" s="26" t="n">
        <v>45649</v>
      </c>
      <c r="B3901" s="14" t="inlineStr">
        <is>
          <t>NB-0038</t>
        </is>
      </c>
      <c r="C3901" s="14" t="n">
        <v>22</v>
      </c>
      <c r="D3901" s="14">
        <f>IF(A3901&gt;LastWeek-364,1,0)</f>
        <v/>
      </c>
      <c r="E3901" s="14">
        <f>C3901^2*D3901</f>
        <v/>
      </c>
    </row>
    <row r="3902">
      <c r="A3902" s="26" t="n">
        <v>45656</v>
      </c>
      <c r="B3902" s="14" t="inlineStr">
        <is>
          <t>NB-0038</t>
        </is>
      </c>
      <c r="C3902" s="14" t="n">
        <v>37</v>
      </c>
      <c r="D3902" s="14">
        <f>IF(A3902&gt;LastWeek-364,1,0)</f>
        <v/>
      </c>
      <c r="E3902" s="14">
        <f>C3902^2*D3902</f>
        <v/>
      </c>
    </row>
    <row r="3903">
      <c r="A3903" s="26" t="n">
        <v>45663</v>
      </c>
      <c r="B3903" s="14" t="inlineStr">
        <is>
          <t>NB-0038</t>
        </is>
      </c>
      <c r="C3903" s="14" t="n">
        <v>44</v>
      </c>
      <c r="D3903" s="14">
        <f>IF(A3903&gt;LastWeek-364,1,0)</f>
        <v/>
      </c>
      <c r="E3903" s="14">
        <f>C3903^2*D3903</f>
        <v/>
      </c>
    </row>
    <row r="3904">
      <c r="A3904" s="26" t="n">
        <v>45670</v>
      </c>
      <c r="B3904" s="14" t="inlineStr">
        <is>
          <t>NB-0038</t>
        </is>
      </c>
      <c r="C3904" s="14" t="n">
        <v>25</v>
      </c>
      <c r="D3904" s="14">
        <f>IF(A3904&gt;LastWeek-364,1,0)</f>
        <v/>
      </c>
      <c r="E3904" s="14">
        <f>C3904^2*D3904</f>
        <v/>
      </c>
    </row>
    <row r="3905">
      <c r="A3905" s="26" t="n">
        <v>45677</v>
      </c>
      <c r="B3905" s="14" t="inlineStr">
        <is>
          <t>NB-0038</t>
        </is>
      </c>
      <c r="C3905" s="14" t="n">
        <v>26</v>
      </c>
      <c r="D3905" s="14">
        <f>IF(A3905&gt;LastWeek-364,1,0)</f>
        <v/>
      </c>
      <c r="E3905" s="14">
        <f>C3905^2*D3905</f>
        <v/>
      </c>
    </row>
    <row r="3906">
      <c r="A3906" s="26" t="n">
        <v>45684</v>
      </c>
      <c r="B3906" s="14" t="inlineStr">
        <is>
          <t>NB-0038</t>
        </is>
      </c>
      <c r="C3906" s="14" t="n">
        <v>39</v>
      </c>
      <c r="D3906" s="14">
        <f>IF(A3906&gt;LastWeek-364,1,0)</f>
        <v/>
      </c>
      <c r="E3906" s="14">
        <f>C3906^2*D3906</f>
        <v/>
      </c>
    </row>
    <row r="3907">
      <c r="A3907" s="26" t="n">
        <v>45691</v>
      </c>
      <c r="B3907" s="14" t="inlineStr">
        <is>
          <t>NB-0038</t>
        </is>
      </c>
      <c r="C3907" s="14" t="n">
        <v>46</v>
      </c>
      <c r="D3907" s="14">
        <f>IF(A3907&gt;LastWeek-364,1,0)</f>
        <v/>
      </c>
      <c r="E3907" s="14">
        <f>C3907^2*D3907</f>
        <v/>
      </c>
    </row>
    <row r="3908">
      <c r="A3908" s="26" t="n">
        <v>45698</v>
      </c>
      <c r="B3908" s="14" t="inlineStr">
        <is>
          <t>NB-0038</t>
        </is>
      </c>
      <c r="C3908" s="14" t="n">
        <v>54</v>
      </c>
      <c r="D3908" s="14">
        <f>IF(A3908&gt;LastWeek-364,1,0)</f>
        <v/>
      </c>
      <c r="E3908" s="14">
        <f>C3908^2*D3908</f>
        <v/>
      </c>
    </row>
    <row r="3909">
      <c r="A3909" s="26" t="n">
        <v>45705</v>
      </c>
      <c r="B3909" s="14" t="inlineStr">
        <is>
          <t>NB-0038</t>
        </is>
      </c>
      <c r="C3909" s="14" t="n">
        <v>47</v>
      </c>
      <c r="D3909" s="14">
        <f>IF(A3909&gt;LastWeek-364,1,0)</f>
        <v/>
      </c>
      <c r="E3909" s="14">
        <f>C3909^2*D3909</f>
        <v/>
      </c>
    </row>
    <row r="3910">
      <c r="A3910" s="26" t="n">
        <v>45712</v>
      </c>
      <c r="B3910" s="14" t="inlineStr">
        <is>
          <t>NB-0038</t>
        </is>
      </c>
      <c r="C3910" s="14" t="n">
        <v>40</v>
      </c>
      <c r="D3910" s="14">
        <f>IF(A3910&gt;LastWeek-364,1,0)</f>
        <v/>
      </c>
      <c r="E3910" s="14">
        <f>C3910^2*D3910</f>
        <v/>
      </c>
    </row>
    <row r="3911">
      <c r="A3911" s="26" t="n">
        <v>45719</v>
      </c>
      <c r="B3911" s="14" t="inlineStr">
        <is>
          <t>NB-0038</t>
        </is>
      </c>
      <c r="C3911" s="14" t="n">
        <v>29</v>
      </c>
      <c r="D3911" s="14">
        <f>IF(A3911&gt;LastWeek-364,1,0)</f>
        <v/>
      </c>
      <c r="E3911" s="14">
        <f>C3911^2*D3911</f>
        <v/>
      </c>
    </row>
    <row r="3912">
      <c r="A3912" s="26" t="n">
        <v>45726</v>
      </c>
      <c r="B3912" s="14" t="inlineStr">
        <is>
          <t>NB-0038</t>
        </is>
      </c>
      <c r="C3912" s="14" t="n">
        <v>25</v>
      </c>
      <c r="D3912" s="14">
        <f>IF(A3912&gt;LastWeek-364,1,0)</f>
        <v/>
      </c>
      <c r="E3912" s="14">
        <f>C3912^2*D3912</f>
        <v/>
      </c>
    </row>
    <row r="3913">
      <c r="A3913" s="26" t="n">
        <v>45733</v>
      </c>
      <c r="B3913" s="14" t="inlineStr">
        <is>
          <t>NB-0038</t>
        </is>
      </c>
      <c r="C3913" s="14" t="n">
        <v>32</v>
      </c>
      <c r="D3913" s="14">
        <f>IF(A3913&gt;LastWeek-364,1,0)</f>
        <v/>
      </c>
      <c r="E3913" s="14">
        <f>C3913^2*D3913</f>
        <v/>
      </c>
    </row>
    <row r="3914">
      <c r="A3914" s="26" t="n">
        <v>45740</v>
      </c>
      <c r="B3914" s="14" t="inlineStr">
        <is>
          <t>NB-0038</t>
        </is>
      </c>
      <c r="C3914" s="14" t="n">
        <v>43</v>
      </c>
      <c r="D3914" s="14">
        <f>IF(A3914&gt;LastWeek-364,1,0)</f>
        <v/>
      </c>
      <c r="E3914" s="14">
        <f>C3914^2*D3914</f>
        <v/>
      </c>
    </row>
    <row r="3915">
      <c r="A3915" s="26" t="n">
        <v>45747</v>
      </c>
      <c r="B3915" s="14" t="inlineStr">
        <is>
          <t>NB-0038</t>
        </is>
      </c>
      <c r="C3915" s="14" t="n">
        <v>42</v>
      </c>
      <c r="D3915" s="14">
        <f>IF(A3915&gt;LastWeek-364,1,0)</f>
        <v/>
      </c>
      <c r="E3915" s="14">
        <f>C3915^2*D3915</f>
        <v/>
      </c>
    </row>
    <row r="3916">
      <c r="A3916" s="26" t="n">
        <v>45754</v>
      </c>
      <c r="B3916" s="14" t="inlineStr">
        <is>
          <t>NB-0038</t>
        </is>
      </c>
      <c r="C3916" s="14" t="n">
        <v>11</v>
      </c>
      <c r="D3916" s="14">
        <f>IF(A3916&gt;LastWeek-364,1,0)</f>
        <v/>
      </c>
      <c r="E3916" s="14">
        <f>C3916^2*D3916</f>
        <v/>
      </c>
    </row>
    <row r="3917">
      <c r="A3917" s="26" t="n">
        <v>45761</v>
      </c>
      <c r="B3917" s="14" t="inlineStr">
        <is>
          <t>NB-0038</t>
        </is>
      </c>
      <c r="C3917" s="14" t="n">
        <v>27</v>
      </c>
      <c r="D3917" s="14">
        <f>IF(A3917&gt;LastWeek-364,1,0)</f>
        <v/>
      </c>
      <c r="E3917" s="14">
        <f>C3917^2*D3917</f>
        <v/>
      </c>
    </row>
    <row r="3918">
      <c r="A3918" s="26" t="n">
        <v>45768</v>
      </c>
      <c r="B3918" s="14" t="inlineStr">
        <is>
          <t>NB-0038</t>
        </is>
      </c>
      <c r="C3918" s="14" t="n">
        <v>51</v>
      </c>
      <c r="D3918" s="14">
        <f>IF(A3918&gt;LastWeek-364,1,0)</f>
        <v/>
      </c>
      <c r="E3918" s="14">
        <f>C3918^2*D3918</f>
        <v/>
      </c>
    </row>
    <row r="3919">
      <c r="A3919" s="26" t="n">
        <v>45775</v>
      </c>
      <c r="B3919" s="14" t="inlineStr">
        <is>
          <t>NB-0038</t>
        </is>
      </c>
      <c r="C3919" s="14" t="n">
        <v>37</v>
      </c>
      <c r="D3919" s="14">
        <f>IF(A3919&gt;LastWeek-364,1,0)</f>
        <v/>
      </c>
      <c r="E3919" s="14">
        <f>C3919^2*D3919</f>
        <v/>
      </c>
    </row>
    <row r="3920">
      <c r="A3920" s="26" t="n">
        <v>45782</v>
      </c>
      <c r="B3920" s="14" t="inlineStr">
        <is>
          <t>NB-0038</t>
        </is>
      </c>
      <c r="C3920" s="14" t="n">
        <v>19</v>
      </c>
      <c r="D3920" s="14">
        <f>IF(A3920&gt;LastWeek-364,1,0)</f>
        <v/>
      </c>
      <c r="E3920" s="14">
        <f>C3920^2*D3920</f>
        <v/>
      </c>
    </row>
    <row r="3921">
      <c r="A3921" s="26" t="n">
        <v>45789</v>
      </c>
      <c r="B3921" s="14" t="inlineStr">
        <is>
          <t>NB-0038</t>
        </is>
      </c>
      <c r="C3921" s="14" t="n">
        <v>62</v>
      </c>
      <c r="D3921" s="14">
        <f>IF(A3921&gt;LastWeek-364,1,0)</f>
        <v/>
      </c>
      <c r="E3921" s="14">
        <f>C3921^2*D3921</f>
        <v/>
      </c>
    </row>
    <row r="3922">
      <c r="A3922" s="26" t="n">
        <v>45796</v>
      </c>
      <c r="B3922" s="14" t="inlineStr">
        <is>
          <t>NB-0038</t>
        </is>
      </c>
      <c r="C3922" s="14" t="n">
        <v>34</v>
      </c>
      <c r="D3922" s="14">
        <f>IF(A3922&gt;LastWeek-364,1,0)</f>
        <v/>
      </c>
      <c r="E3922" s="14">
        <f>C3922^2*D3922</f>
        <v/>
      </c>
    </row>
    <row r="3923">
      <c r="A3923" s="26" t="n">
        <v>45803</v>
      </c>
      <c r="B3923" s="14" t="inlineStr">
        <is>
          <t>NB-0038</t>
        </is>
      </c>
      <c r="C3923" s="14" t="n">
        <v>39</v>
      </c>
      <c r="D3923" s="14">
        <f>IF(A3923&gt;LastWeek-364,1,0)</f>
        <v/>
      </c>
      <c r="E3923" s="14">
        <f>C3923^2*D3923</f>
        <v/>
      </c>
    </row>
    <row r="3924">
      <c r="A3924" s="26" t="n">
        <v>45810</v>
      </c>
      <c r="B3924" s="14" t="inlineStr">
        <is>
          <t>NB-0038</t>
        </is>
      </c>
      <c r="C3924" s="14" t="n">
        <v>39</v>
      </c>
      <c r="D3924" s="14">
        <f>IF(A3924&gt;LastWeek-364,1,0)</f>
        <v/>
      </c>
      <c r="E3924" s="14">
        <f>C3924^2*D3924</f>
        <v/>
      </c>
    </row>
    <row r="3925">
      <c r="A3925" s="26" t="n">
        <v>45817</v>
      </c>
      <c r="B3925" s="14" t="inlineStr">
        <is>
          <t>NB-0038</t>
        </is>
      </c>
      <c r="C3925" s="14" t="n">
        <v>30</v>
      </c>
      <c r="D3925" s="14">
        <f>IF(A3925&gt;LastWeek-364,1,0)</f>
        <v/>
      </c>
      <c r="E3925" s="14">
        <f>C3925^2*D3925</f>
        <v/>
      </c>
    </row>
    <row r="3926">
      <c r="A3926" s="26" t="n">
        <v>45824</v>
      </c>
      <c r="B3926" s="14" t="inlineStr">
        <is>
          <t>NB-0038</t>
        </is>
      </c>
      <c r="C3926" s="14" t="n">
        <v>26</v>
      </c>
      <c r="D3926" s="14">
        <f>IF(A3926&gt;LastWeek-364,1,0)</f>
        <v/>
      </c>
      <c r="E3926" s="14">
        <f>C3926^2*D3926</f>
        <v/>
      </c>
    </row>
    <row r="3927">
      <c r="A3927" s="26" t="n">
        <v>45831</v>
      </c>
      <c r="B3927" s="14" t="inlineStr">
        <is>
          <t>NB-0038</t>
        </is>
      </c>
      <c r="C3927" s="14" t="n">
        <v>58</v>
      </c>
      <c r="D3927" s="14">
        <f>IF(A3927&gt;LastWeek-364,1,0)</f>
        <v/>
      </c>
      <c r="E3927" s="14">
        <f>C3927^2*D3927</f>
        <v/>
      </c>
    </row>
    <row r="3928">
      <c r="A3928" s="26" t="n">
        <v>45838</v>
      </c>
      <c r="B3928" s="14" t="inlineStr">
        <is>
          <t>NB-0038</t>
        </is>
      </c>
      <c r="C3928" s="14" t="n">
        <v>45</v>
      </c>
      <c r="D3928" s="14">
        <f>IF(A3928&gt;LastWeek-364,1,0)</f>
        <v/>
      </c>
      <c r="E3928" s="14">
        <f>C3928^2*D3928</f>
        <v/>
      </c>
    </row>
    <row r="3929">
      <c r="A3929" s="26" t="n">
        <v>45845</v>
      </c>
      <c r="B3929" s="14" t="inlineStr">
        <is>
          <t>NB-0038</t>
        </is>
      </c>
      <c r="C3929" s="14" t="n">
        <v>43</v>
      </c>
      <c r="D3929" s="14">
        <f>IF(A3929&gt;LastWeek-364,1,0)</f>
        <v/>
      </c>
      <c r="E3929" s="14">
        <f>C3929^2*D3929</f>
        <v/>
      </c>
    </row>
    <row r="3930">
      <c r="A3930" s="26" t="n">
        <v>45852</v>
      </c>
      <c r="B3930" s="14" t="inlineStr">
        <is>
          <t>NB-0038</t>
        </is>
      </c>
      <c r="C3930" s="14" t="n">
        <v>40</v>
      </c>
      <c r="D3930" s="14">
        <f>IF(A3930&gt;LastWeek-364,1,0)</f>
        <v/>
      </c>
      <c r="E3930" s="14">
        <f>C3930^2*D3930</f>
        <v/>
      </c>
    </row>
    <row r="3931">
      <c r="A3931" s="26" t="n">
        <v>45859</v>
      </c>
      <c r="B3931" s="14" t="inlineStr">
        <is>
          <t>NB-0038</t>
        </is>
      </c>
      <c r="C3931" s="14" t="n">
        <v>23</v>
      </c>
      <c r="D3931" s="14">
        <f>IF(A3931&gt;LastWeek-364,1,0)</f>
        <v/>
      </c>
      <c r="E3931" s="14">
        <f>C3931^2*D3931</f>
        <v/>
      </c>
    </row>
    <row r="3932">
      <c r="A3932" s="26" t="n">
        <v>45866</v>
      </c>
      <c r="B3932" s="14" t="inlineStr">
        <is>
          <t>NB-0038</t>
        </is>
      </c>
      <c r="C3932" s="14" t="n">
        <v>49</v>
      </c>
      <c r="D3932" s="14">
        <f>IF(A3932&gt;LastWeek-364,1,0)</f>
        <v/>
      </c>
      <c r="E3932" s="14">
        <f>C3932^2*D3932</f>
        <v/>
      </c>
    </row>
    <row r="3933">
      <c r="A3933" s="26" t="n">
        <v>45873</v>
      </c>
      <c r="B3933" s="14" t="inlineStr">
        <is>
          <t>NB-0038</t>
        </is>
      </c>
      <c r="C3933" s="14" t="n">
        <v>25</v>
      </c>
      <c r="D3933" s="14">
        <f>IF(A3933&gt;LastWeek-364,1,0)</f>
        <v/>
      </c>
      <c r="E3933" s="14">
        <f>C3933^2*D3933</f>
        <v/>
      </c>
    </row>
    <row r="3934">
      <c r="A3934" s="26" t="n">
        <v>45880</v>
      </c>
      <c r="B3934" s="14" t="inlineStr">
        <is>
          <t>NB-0038</t>
        </is>
      </c>
      <c r="C3934" s="14" t="n">
        <v>38</v>
      </c>
      <c r="D3934" s="14">
        <f>IF(A3934&gt;LastWeek-364,1,0)</f>
        <v/>
      </c>
      <c r="E3934" s="14">
        <f>C3934^2*D3934</f>
        <v/>
      </c>
    </row>
    <row r="3935">
      <c r="A3935" s="26" t="n">
        <v>45887</v>
      </c>
      <c r="B3935" s="14" t="inlineStr">
        <is>
          <t>NB-0038</t>
        </is>
      </c>
      <c r="C3935" s="14" t="n">
        <v>16</v>
      </c>
      <c r="D3935" s="14">
        <f>IF(A3935&gt;LastWeek-364,1,0)</f>
        <v/>
      </c>
      <c r="E3935" s="14">
        <f>C3935^2*D3935</f>
        <v/>
      </c>
    </row>
    <row r="3936">
      <c r="A3936" s="26" t="n">
        <v>45894</v>
      </c>
      <c r="B3936" s="14" t="inlineStr">
        <is>
          <t>NB-0038</t>
        </is>
      </c>
      <c r="C3936" s="14" t="n">
        <v>12</v>
      </c>
      <c r="D3936" s="14">
        <f>IF(A3936&gt;LastWeek-364,1,0)</f>
        <v/>
      </c>
      <c r="E3936" s="14">
        <f>C3936^2*D3936</f>
        <v/>
      </c>
    </row>
    <row r="3937">
      <c r="A3937" s="26" t="n">
        <v>45901</v>
      </c>
      <c r="B3937" s="14" t="inlineStr">
        <is>
          <t>NB-0038</t>
        </is>
      </c>
      <c r="C3937" s="14" t="n">
        <v>40</v>
      </c>
      <c r="D3937" s="14">
        <f>IF(A3937&gt;LastWeek-364,1,0)</f>
        <v/>
      </c>
      <c r="E3937" s="14">
        <f>C3937^2*D3937</f>
        <v/>
      </c>
    </row>
    <row r="3938">
      <c r="A3938" s="26" t="n">
        <v>45908</v>
      </c>
      <c r="B3938" s="14" t="inlineStr">
        <is>
          <t>NB-0038</t>
        </is>
      </c>
      <c r="C3938" s="14" t="n">
        <v>27</v>
      </c>
      <c r="D3938" s="14">
        <f>IF(A3938&gt;LastWeek-364,1,0)</f>
        <v/>
      </c>
      <c r="E3938" s="14">
        <f>C3938^2*D3938</f>
        <v/>
      </c>
    </row>
    <row r="3939">
      <c r="A3939" s="26" t="n">
        <v>45915</v>
      </c>
      <c r="B3939" s="14" t="inlineStr">
        <is>
          <t>NB-0038</t>
        </is>
      </c>
      <c r="C3939" s="14" t="n">
        <v>13</v>
      </c>
      <c r="D3939" s="14">
        <f>IF(A3939&gt;LastWeek-364,1,0)</f>
        <v/>
      </c>
      <c r="E3939" s="14">
        <f>C3939^2*D3939</f>
        <v/>
      </c>
    </row>
    <row r="3940">
      <c r="A3940" s="26" t="n">
        <v>45922</v>
      </c>
      <c r="B3940" s="14" t="inlineStr">
        <is>
          <t>NB-0038</t>
        </is>
      </c>
      <c r="C3940" s="14" t="n">
        <v>44</v>
      </c>
      <c r="D3940" s="14">
        <f>IF(A3940&gt;LastWeek-364,1,0)</f>
        <v/>
      </c>
      <c r="E3940" s="14">
        <f>C3940^2*D3940</f>
        <v/>
      </c>
    </row>
    <row r="3941">
      <c r="A3941" s="26" t="n">
        <v>45929</v>
      </c>
      <c r="B3941" s="14" t="inlineStr">
        <is>
          <t>NB-0038</t>
        </is>
      </c>
      <c r="C3941" s="14" t="n">
        <v>64</v>
      </c>
      <c r="D3941" s="14">
        <f>IF(A3941&gt;LastWeek-364,1,0)</f>
        <v/>
      </c>
      <c r="E3941" s="14">
        <f>C3941^2*D3941</f>
        <v/>
      </c>
    </row>
    <row r="3942">
      <c r="A3942" s="26" t="n">
        <v>45936</v>
      </c>
      <c r="B3942" s="14" t="inlineStr">
        <is>
          <t>NB-0038</t>
        </is>
      </c>
      <c r="C3942" s="14" t="n">
        <v>56</v>
      </c>
      <c r="D3942" s="14">
        <f>IF(A3942&gt;LastWeek-364,1,0)</f>
        <v/>
      </c>
      <c r="E3942" s="14">
        <f>C3942^2*D3942</f>
        <v/>
      </c>
    </row>
    <row r="3943">
      <c r="A3943" s="26" t="n">
        <v>45943</v>
      </c>
      <c r="B3943" s="14" t="inlineStr">
        <is>
          <t>NB-0038</t>
        </is>
      </c>
      <c r="C3943" s="14" t="n">
        <v>36</v>
      </c>
      <c r="D3943" s="14">
        <f>IF(A3943&gt;LastWeek-364,1,0)</f>
        <v/>
      </c>
      <c r="E3943" s="14">
        <f>C3943^2*D3943</f>
        <v/>
      </c>
    </row>
    <row r="3944">
      <c r="A3944" s="26" t="n">
        <v>45950</v>
      </c>
      <c r="B3944" s="14" t="inlineStr">
        <is>
          <t>NB-0038</t>
        </is>
      </c>
      <c r="C3944" s="14" t="n">
        <v>40</v>
      </c>
      <c r="D3944" s="14">
        <f>IF(A3944&gt;LastWeek-364,1,0)</f>
        <v/>
      </c>
      <c r="E3944" s="14">
        <f>C3944^2*D3944</f>
        <v/>
      </c>
    </row>
    <row r="3945">
      <c r="A3945" s="26" t="n">
        <v>45957</v>
      </c>
      <c r="B3945" s="14" t="inlineStr">
        <is>
          <t>NB-0038</t>
        </is>
      </c>
      <c r="C3945" s="14" t="n">
        <v>52</v>
      </c>
      <c r="D3945" s="14">
        <f>IF(A3945&gt;LastWeek-364,1,0)</f>
        <v/>
      </c>
      <c r="E3945" s="14">
        <f>C3945^2*D3945</f>
        <v/>
      </c>
    </row>
    <row r="3946">
      <c r="A3946" s="26" t="n">
        <v>45964</v>
      </c>
      <c r="B3946" s="14" t="inlineStr">
        <is>
          <t>NB-0038</t>
        </is>
      </c>
      <c r="C3946" s="14" t="n">
        <v>55</v>
      </c>
      <c r="D3946" s="14">
        <f>IF(A3946&gt;LastWeek-364,1,0)</f>
        <v/>
      </c>
      <c r="E3946" s="14">
        <f>C3946^2*D3946</f>
        <v/>
      </c>
    </row>
    <row r="3947">
      <c r="A3947" s="26" t="n">
        <v>45971</v>
      </c>
      <c r="B3947" s="14" t="inlineStr">
        <is>
          <t>NB-0038</t>
        </is>
      </c>
      <c r="C3947" s="14" t="n">
        <v>36</v>
      </c>
      <c r="D3947" s="14">
        <f>IF(A3947&gt;LastWeek-364,1,0)</f>
        <v/>
      </c>
      <c r="E3947" s="14">
        <f>C3947^2*D3947</f>
        <v/>
      </c>
    </row>
    <row r="3948">
      <c r="A3948" s="26" t="n">
        <v>45978</v>
      </c>
      <c r="B3948" s="14" t="inlineStr">
        <is>
          <t>NB-0038</t>
        </is>
      </c>
      <c r="C3948" s="14" t="n">
        <v>42</v>
      </c>
      <c r="D3948" s="14">
        <f>IF(A3948&gt;LastWeek-364,1,0)</f>
        <v/>
      </c>
      <c r="E3948" s="14">
        <f>C3948^2*D3948</f>
        <v/>
      </c>
    </row>
    <row r="3949">
      <c r="A3949" s="26" t="n">
        <v>45985</v>
      </c>
      <c r="B3949" s="14" t="inlineStr">
        <is>
          <t>NB-0038</t>
        </is>
      </c>
      <c r="C3949" s="14" t="n">
        <v>46</v>
      </c>
      <c r="D3949" s="14">
        <f>IF(A3949&gt;LastWeek-364,1,0)</f>
        <v/>
      </c>
      <c r="E3949" s="14">
        <f>C3949^2*D3949</f>
        <v/>
      </c>
    </row>
    <row r="3950">
      <c r="A3950" s="26" t="n">
        <v>45992</v>
      </c>
      <c r="B3950" s="14" t="inlineStr">
        <is>
          <t>NB-0038</t>
        </is>
      </c>
      <c r="C3950" s="14" t="n">
        <v>50</v>
      </c>
      <c r="D3950" s="14">
        <f>IF(A3950&gt;LastWeek-364,1,0)</f>
        <v/>
      </c>
      <c r="E3950" s="14">
        <f>C3950^2*D3950</f>
        <v/>
      </c>
    </row>
    <row r="3951">
      <c r="A3951" s="26" t="n">
        <v>45999</v>
      </c>
      <c r="B3951" s="14" t="inlineStr">
        <is>
          <t>NB-0038</t>
        </is>
      </c>
      <c r="C3951" s="14" t="n">
        <v>40</v>
      </c>
      <c r="D3951" s="14">
        <f>IF(A3951&gt;LastWeek-364,1,0)</f>
        <v/>
      </c>
      <c r="E3951" s="14">
        <f>C3951^2*D3951</f>
        <v/>
      </c>
    </row>
    <row r="3952">
      <c r="A3952" s="26" t="n">
        <v>46006</v>
      </c>
      <c r="B3952" s="14" t="inlineStr">
        <is>
          <t>NB-0038</t>
        </is>
      </c>
      <c r="C3952" s="14" t="n">
        <v>41</v>
      </c>
      <c r="D3952" s="14">
        <f>IF(A3952&gt;LastWeek-364,1,0)</f>
        <v/>
      </c>
      <c r="E3952" s="14">
        <f>C3952^2*D3952</f>
        <v/>
      </c>
    </row>
    <row r="3953">
      <c r="A3953" s="26" t="n">
        <v>46013</v>
      </c>
      <c r="B3953" s="14" t="inlineStr">
        <is>
          <t>NB-0038</t>
        </is>
      </c>
      <c r="C3953" s="14" t="n">
        <v>62</v>
      </c>
      <c r="D3953" s="14">
        <f>IF(A3953&gt;LastWeek-364,1,0)</f>
        <v/>
      </c>
      <c r="E3953" s="14">
        <f>C3953^2*D3953</f>
        <v/>
      </c>
    </row>
    <row r="3954">
      <c r="A3954" s="26" t="n">
        <v>45292</v>
      </c>
      <c r="B3954" s="14" t="inlineStr">
        <is>
          <t>NB-0039</t>
        </is>
      </c>
      <c r="C3954" s="14" t="n">
        <v>16</v>
      </c>
      <c r="D3954" s="14">
        <f>IF(A3954&gt;LastWeek-364,1,0)</f>
        <v/>
      </c>
      <c r="E3954" s="14">
        <f>C3954^2*D3954</f>
        <v/>
      </c>
    </row>
    <row r="3955">
      <c r="A3955" s="26" t="n">
        <v>45299</v>
      </c>
      <c r="B3955" s="14" t="inlineStr">
        <is>
          <t>NB-0039</t>
        </is>
      </c>
      <c r="C3955" s="14" t="n">
        <v>13</v>
      </c>
      <c r="D3955" s="14">
        <f>IF(A3955&gt;LastWeek-364,1,0)</f>
        <v/>
      </c>
      <c r="E3955" s="14">
        <f>C3955^2*D3955</f>
        <v/>
      </c>
    </row>
    <row r="3956">
      <c r="A3956" s="26" t="n">
        <v>45306</v>
      </c>
      <c r="B3956" s="14" t="inlineStr">
        <is>
          <t>NB-0039</t>
        </is>
      </c>
      <c r="C3956" s="14" t="n">
        <v>18</v>
      </c>
      <c r="D3956" s="14">
        <f>IF(A3956&gt;LastWeek-364,1,0)</f>
        <v/>
      </c>
      <c r="E3956" s="14">
        <f>C3956^2*D3956</f>
        <v/>
      </c>
    </row>
    <row r="3957">
      <c r="A3957" s="26" t="n">
        <v>45313</v>
      </c>
      <c r="B3957" s="14" t="inlineStr">
        <is>
          <t>NB-0039</t>
        </is>
      </c>
      <c r="C3957" s="14" t="n">
        <v>9</v>
      </c>
      <c r="D3957" s="14">
        <f>IF(A3957&gt;LastWeek-364,1,0)</f>
        <v/>
      </c>
      <c r="E3957" s="14">
        <f>C3957^2*D3957</f>
        <v/>
      </c>
    </row>
    <row r="3958">
      <c r="A3958" s="26" t="n">
        <v>45320</v>
      </c>
      <c r="B3958" s="14" t="inlineStr">
        <is>
          <t>NB-0039</t>
        </is>
      </c>
      <c r="C3958" s="14" t="n">
        <v>18</v>
      </c>
      <c r="D3958" s="14">
        <f>IF(A3958&gt;LastWeek-364,1,0)</f>
        <v/>
      </c>
      <c r="E3958" s="14">
        <f>C3958^2*D3958</f>
        <v/>
      </c>
    </row>
    <row r="3959">
      <c r="A3959" s="26" t="n">
        <v>45327</v>
      </c>
      <c r="B3959" s="14" t="inlineStr">
        <is>
          <t>NB-0039</t>
        </is>
      </c>
      <c r="C3959" s="14" t="n">
        <v>13</v>
      </c>
      <c r="D3959" s="14">
        <f>IF(A3959&gt;LastWeek-364,1,0)</f>
        <v/>
      </c>
      <c r="E3959" s="14">
        <f>C3959^2*D3959</f>
        <v/>
      </c>
    </row>
    <row r="3960">
      <c r="A3960" s="26" t="n">
        <v>45334</v>
      </c>
      <c r="B3960" s="14" t="inlineStr">
        <is>
          <t>NB-0039</t>
        </is>
      </c>
      <c r="C3960" s="14" t="n">
        <v>24</v>
      </c>
      <c r="D3960" s="14">
        <f>IF(A3960&gt;LastWeek-364,1,0)</f>
        <v/>
      </c>
      <c r="E3960" s="14">
        <f>C3960^2*D3960</f>
        <v/>
      </c>
    </row>
    <row r="3961">
      <c r="A3961" s="26" t="n">
        <v>45341</v>
      </c>
      <c r="B3961" s="14" t="inlineStr">
        <is>
          <t>NB-0039</t>
        </is>
      </c>
      <c r="C3961" s="14" t="n">
        <v>6</v>
      </c>
      <c r="D3961" s="14">
        <f>IF(A3961&gt;LastWeek-364,1,0)</f>
        <v/>
      </c>
      <c r="E3961" s="14">
        <f>C3961^2*D3961</f>
        <v/>
      </c>
    </row>
    <row r="3962">
      <c r="A3962" s="26" t="n">
        <v>45348</v>
      </c>
      <c r="B3962" s="14" t="inlineStr">
        <is>
          <t>NB-0039</t>
        </is>
      </c>
      <c r="C3962" s="14" t="n">
        <v>8</v>
      </c>
      <c r="D3962" s="14">
        <f>IF(A3962&gt;LastWeek-364,1,0)</f>
        <v/>
      </c>
      <c r="E3962" s="14">
        <f>C3962^2*D3962</f>
        <v/>
      </c>
    </row>
    <row r="3963">
      <c r="A3963" s="26" t="n">
        <v>45355</v>
      </c>
      <c r="B3963" s="14" t="inlineStr">
        <is>
          <t>NB-0039</t>
        </is>
      </c>
      <c r="C3963" s="14" t="n">
        <v>12</v>
      </c>
      <c r="D3963" s="14">
        <f>IF(A3963&gt;LastWeek-364,1,0)</f>
        <v/>
      </c>
      <c r="E3963" s="14">
        <f>C3963^2*D3963</f>
        <v/>
      </c>
    </row>
    <row r="3964">
      <c r="A3964" s="26" t="n">
        <v>45362</v>
      </c>
      <c r="B3964" s="14" t="inlineStr">
        <is>
          <t>NB-0039</t>
        </is>
      </c>
      <c r="C3964" s="14" t="n">
        <v>12</v>
      </c>
      <c r="D3964" s="14">
        <f>IF(A3964&gt;LastWeek-364,1,0)</f>
        <v/>
      </c>
      <c r="E3964" s="14">
        <f>C3964^2*D3964</f>
        <v/>
      </c>
    </row>
    <row r="3965">
      <c r="A3965" s="26" t="n">
        <v>45369</v>
      </c>
      <c r="B3965" s="14" t="inlineStr">
        <is>
          <t>NB-0039</t>
        </is>
      </c>
      <c r="C3965" s="14" t="n">
        <v>17</v>
      </c>
      <c r="D3965" s="14">
        <f>IF(A3965&gt;LastWeek-364,1,0)</f>
        <v/>
      </c>
      <c r="E3965" s="14">
        <f>C3965^2*D3965</f>
        <v/>
      </c>
    </row>
    <row r="3966">
      <c r="A3966" s="26" t="n">
        <v>45376</v>
      </c>
      <c r="B3966" s="14" t="inlineStr">
        <is>
          <t>NB-0039</t>
        </is>
      </c>
      <c r="C3966" s="14" t="n">
        <v>7</v>
      </c>
      <c r="D3966" s="14">
        <f>IF(A3966&gt;LastWeek-364,1,0)</f>
        <v/>
      </c>
      <c r="E3966" s="14">
        <f>C3966^2*D3966</f>
        <v/>
      </c>
    </row>
    <row r="3967">
      <c r="A3967" s="26" t="n">
        <v>45383</v>
      </c>
      <c r="B3967" s="14" t="inlineStr">
        <is>
          <t>NB-0039</t>
        </is>
      </c>
      <c r="C3967" s="14" t="n">
        <v>13</v>
      </c>
      <c r="D3967" s="14">
        <f>IF(A3967&gt;LastWeek-364,1,0)</f>
        <v/>
      </c>
      <c r="E3967" s="14">
        <f>C3967^2*D3967</f>
        <v/>
      </c>
    </row>
    <row r="3968">
      <c r="A3968" s="26" t="n">
        <v>45390</v>
      </c>
      <c r="B3968" s="14" t="inlineStr">
        <is>
          <t>NB-0039</t>
        </is>
      </c>
      <c r="C3968" s="14" t="n">
        <v>14</v>
      </c>
      <c r="D3968" s="14">
        <f>IF(A3968&gt;LastWeek-364,1,0)</f>
        <v/>
      </c>
      <c r="E3968" s="14">
        <f>C3968^2*D3968</f>
        <v/>
      </c>
    </row>
    <row r="3969">
      <c r="A3969" s="26" t="n">
        <v>45397</v>
      </c>
      <c r="B3969" s="14" t="inlineStr">
        <is>
          <t>NB-0039</t>
        </is>
      </c>
      <c r="C3969" s="14" t="n">
        <v>12</v>
      </c>
      <c r="D3969" s="14">
        <f>IF(A3969&gt;LastWeek-364,1,0)</f>
        <v/>
      </c>
      <c r="E3969" s="14">
        <f>C3969^2*D3969</f>
        <v/>
      </c>
    </row>
    <row r="3970">
      <c r="A3970" s="26" t="n">
        <v>45404</v>
      </c>
      <c r="B3970" s="14" t="inlineStr">
        <is>
          <t>NB-0039</t>
        </is>
      </c>
      <c r="C3970" s="14" t="n">
        <v>6</v>
      </c>
      <c r="D3970" s="14">
        <f>IF(A3970&gt;LastWeek-364,1,0)</f>
        <v/>
      </c>
      <c r="E3970" s="14">
        <f>C3970^2*D3970</f>
        <v/>
      </c>
    </row>
    <row r="3971">
      <c r="A3971" s="26" t="n">
        <v>45411</v>
      </c>
      <c r="B3971" s="14" t="inlineStr">
        <is>
          <t>NB-0039</t>
        </is>
      </c>
      <c r="C3971" s="14" t="n">
        <v>14</v>
      </c>
      <c r="D3971" s="14">
        <f>IF(A3971&gt;LastWeek-364,1,0)</f>
        <v/>
      </c>
      <c r="E3971" s="14">
        <f>C3971^2*D3971</f>
        <v/>
      </c>
    </row>
    <row r="3972">
      <c r="A3972" s="26" t="n">
        <v>45418</v>
      </c>
      <c r="B3972" s="14" t="inlineStr">
        <is>
          <t>NB-0039</t>
        </is>
      </c>
      <c r="C3972" s="14" t="n">
        <v>13</v>
      </c>
      <c r="D3972" s="14">
        <f>IF(A3972&gt;LastWeek-364,1,0)</f>
        <v/>
      </c>
      <c r="E3972" s="14">
        <f>C3972^2*D3972</f>
        <v/>
      </c>
    </row>
    <row r="3973">
      <c r="A3973" s="26" t="n">
        <v>45425</v>
      </c>
      <c r="B3973" s="14" t="inlineStr">
        <is>
          <t>NB-0039</t>
        </is>
      </c>
      <c r="C3973" s="14" t="n">
        <v>10</v>
      </c>
      <c r="D3973" s="14">
        <f>IF(A3973&gt;LastWeek-364,1,0)</f>
        <v/>
      </c>
      <c r="E3973" s="14">
        <f>C3973^2*D3973</f>
        <v/>
      </c>
    </row>
    <row r="3974">
      <c r="A3974" s="26" t="n">
        <v>45432</v>
      </c>
      <c r="B3974" s="14" t="inlineStr">
        <is>
          <t>NB-0039</t>
        </is>
      </c>
      <c r="C3974" s="14" t="n">
        <v>9</v>
      </c>
      <c r="D3974" s="14">
        <f>IF(A3974&gt;LastWeek-364,1,0)</f>
        <v/>
      </c>
      <c r="E3974" s="14">
        <f>C3974^2*D3974</f>
        <v/>
      </c>
    </row>
    <row r="3975">
      <c r="A3975" s="26" t="n">
        <v>45439</v>
      </c>
      <c r="B3975" s="14" t="inlineStr">
        <is>
          <t>NB-0039</t>
        </is>
      </c>
      <c r="C3975" s="14" t="n">
        <v>9</v>
      </c>
      <c r="D3975" s="14">
        <f>IF(A3975&gt;LastWeek-364,1,0)</f>
        <v/>
      </c>
      <c r="E3975" s="14">
        <f>C3975^2*D3975</f>
        <v/>
      </c>
    </row>
    <row r="3976">
      <c r="A3976" s="26" t="n">
        <v>45446</v>
      </c>
      <c r="B3976" s="14" t="inlineStr">
        <is>
          <t>NB-0039</t>
        </is>
      </c>
      <c r="C3976" s="14" t="n">
        <v>8</v>
      </c>
      <c r="D3976" s="14">
        <f>IF(A3976&gt;LastWeek-364,1,0)</f>
        <v/>
      </c>
      <c r="E3976" s="14">
        <f>C3976^2*D3976</f>
        <v/>
      </c>
    </row>
    <row r="3977">
      <c r="A3977" s="26" t="n">
        <v>45453</v>
      </c>
      <c r="B3977" s="14" t="inlineStr">
        <is>
          <t>NB-0039</t>
        </is>
      </c>
      <c r="C3977" s="14" t="n">
        <v>10</v>
      </c>
      <c r="D3977" s="14">
        <f>IF(A3977&gt;LastWeek-364,1,0)</f>
        <v/>
      </c>
      <c r="E3977" s="14">
        <f>C3977^2*D3977</f>
        <v/>
      </c>
    </row>
    <row r="3978">
      <c r="A3978" s="26" t="n">
        <v>45460</v>
      </c>
      <c r="B3978" s="14" t="inlineStr">
        <is>
          <t>NB-0039</t>
        </is>
      </c>
      <c r="C3978" s="14" t="n">
        <v>8</v>
      </c>
      <c r="D3978" s="14">
        <f>IF(A3978&gt;LastWeek-364,1,0)</f>
        <v/>
      </c>
      <c r="E3978" s="14">
        <f>C3978^2*D3978</f>
        <v/>
      </c>
    </row>
    <row r="3979">
      <c r="A3979" s="26" t="n">
        <v>45467</v>
      </c>
      <c r="B3979" s="14" t="inlineStr">
        <is>
          <t>NB-0039</t>
        </is>
      </c>
      <c r="C3979" s="14" t="n">
        <v>5</v>
      </c>
      <c r="D3979" s="14">
        <f>IF(A3979&gt;LastWeek-364,1,0)</f>
        <v/>
      </c>
      <c r="E3979" s="14">
        <f>C3979^2*D3979</f>
        <v/>
      </c>
    </row>
    <row r="3980">
      <c r="A3980" s="26" t="n">
        <v>45474</v>
      </c>
      <c r="B3980" s="14" t="inlineStr">
        <is>
          <t>NB-0039</t>
        </is>
      </c>
      <c r="C3980" s="14" t="n">
        <v>5</v>
      </c>
      <c r="D3980" s="14">
        <f>IF(A3980&gt;LastWeek-364,1,0)</f>
        <v/>
      </c>
      <c r="E3980" s="14">
        <f>C3980^2*D3980</f>
        <v/>
      </c>
    </row>
    <row r="3981">
      <c r="A3981" s="26" t="n">
        <v>45481</v>
      </c>
      <c r="B3981" s="14" t="inlineStr">
        <is>
          <t>NB-0039</t>
        </is>
      </c>
      <c r="C3981" s="14" t="n">
        <v>6</v>
      </c>
      <c r="D3981" s="14">
        <f>IF(A3981&gt;LastWeek-364,1,0)</f>
        <v/>
      </c>
      <c r="E3981" s="14">
        <f>C3981^2*D3981</f>
        <v/>
      </c>
    </row>
    <row r="3982">
      <c r="A3982" s="26" t="n">
        <v>45488</v>
      </c>
      <c r="B3982" s="14" t="inlineStr">
        <is>
          <t>NB-0039</t>
        </is>
      </c>
      <c r="C3982" s="14" t="n">
        <v>9</v>
      </c>
      <c r="D3982" s="14">
        <f>IF(A3982&gt;LastWeek-364,1,0)</f>
        <v/>
      </c>
      <c r="E3982" s="14">
        <f>C3982^2*D3982</f>
        <v/>
      </c>
    </row>
    <row r="3983">
      <c r="A3983" s="26" t="n">
        <v>45495</v>
      </c>
      <c r="B3983" s="14" t="inlineStr">
        <is>
          <t>NB-0039</t>
        </is>
      </c>
      <c r="C3983" s="14" t="n">
        <v>8</v>
      </c>
      <c r="D3983" s="14">
        <f>IF(A3983&gt;LastWeek-364,1,0)</f>
        <v/>
      </c>
      <c r="E3983" s="14">
        <f>C3983^2*D3983</f>
        <v/>
      </c>
    </row>
    <row r="3984">
      <c r="A3984" s="26" t="n">
        <v>45502</v>
      </c>
      <c r="B3984" s="14" t="inlineStr">
        <is>
          <t>NB-0039</t>
        </is>
      </c>
      <c r="C3984" s="14" t="n">
        <v>9</v>
      </c>
      <c r="D3984" s="14">
        <f>IF(A3984&gt;LastWeek-364,1,0)</f>
        <v/>
      </c>
      <c r="E3984" s="14">
        <f>C3984^2*D3984</f>
        <v/>
      </c>
    </row>
    <row r="3985">
      <c r="A3985" s="26" t="n">
        <v>45509</v>
      </c>
      <c r="B3985" s="14" t="inlineStr">
        <is>
          <t>NB-0039</t>
        </is>
      </c>
      <c r="C3985" s="14" t="n">
        <v>9</v>
      </c>
      <c r="D3985" s="14">
        <f>IF(A3985&gt;LastWeek-364,1,0)</f>
        <v/>
      </c>
      <c r="E3985" s="14">
        <f>C3985^2*D3985</f>
        <v/>
      </c>
    </row>
    <row r="3986">
      <c r="A3986" s="26" t="n">
        <v>45516</v>
      </c>
      <c r="B3986" s="14" t="inlineStr">
        <is>
          <t>NB-0039</t>
        </is>
      </c>
      <c r="C3986" s="14" t="n">
        <v>6</v>
      </c>
      <c r="D3986" s="14">
        <f>IF(A3986&gt;LastWeek-364,1,0)</f>
        <v/>
      </c>
      <c r="E3986" s="14">
        <f>C3986^2*D3986</f>
        <v/>
      </c>
    </row>
    <row r="3987">
      <c r="A3987" s="26" t="n">
        <v>45523</v>
      </c>
      <c r="B3987" s="14" t="inlineStr">
        <is>
          <t>NB-0039</t>
        </is>
      </c>
      <c r="C3987" s="14" t="n">
        <v>13</v>
      </c>
      <c r="D3987" s="14">
        <f>IF(A3987&gt;LastWeek-364,1,0)</f>
        <v/>
      </c>
      <c r="E3987" s="14">
        <f>C3987^2*D3987</f>
        <v/>
      </c>
    </row>
    <row r="3988">
      <c r="A3988" s="26" t="n">
        <v>45530</v>
      </c>
      <c r="B3988" s="14" t="inlineStr">
        <is>
          <t>NB-0039</t>
        </is>
      </c>
      <c r="C3988" s="14" t="n">
        <v>7</v>
      </c>
      <c r="D3988" s="14">
        <f>IF(A3988&gt;LastWeek-364,1,0)</f>
        <v/>
      </c>
      <c r="E3988" s="14">
        <f>C3988^2*D3988</f>
        <v/>
      </c>
    </row>
    <row r="3989">
      <c r="A3989" s="26" t="n">
        <v>45537</v>
      </c>
      <c r="B3989" s="14" t="inlineStr">
        <is>
          <t>NB-0039</t>
        </is>
      </c>
      <c r="C3989" s="14" t="n">
        <v>7</v>
      </c>
      <c r="D3989" s="14">
        <f>IF(A3989&gt;LastWeek-364,1,0)</f>
        <v/>
      </c>
      <c r="E3989" s="14">
        <f>C3989^2*D3989</f>
        <v/>
      </c>
    </row>
    <row r="3990">
      <c r="A3990" s="26" t="n">
        <v>45544</v>
      </c>
      <c r="B3990" s="14" t="inlineStr">
        <is>
          <t>NB-0039</t>
        </is>
      </c>
      <c r="C3990" s="14" t="n">
        <v>10</v>
      </c>
      <c r="D3990" s="14">
        <f>IF(A3990&gt;LastWeek-364,1,0)</f>
        <v/>
      </c>
      <c r="E3990" s="14">
        <f>C3990^2*D3990</f>
        <v/>
      </c>
    </row>
    <row r="3991">
      <c r="A3991" s="26" t="n">
        <v>45551</v>
      </c>
      <c r="B3991" s="14" t="inlineStr">
        <is>
          <t>NB-0039</t>
        </is>
      </c>
      <c r="C3991" s="14" t="n">
        <v>3</v>
      </c>
      <c r="D3991" s="14">
        <f>IF(A3991&gt;LastWeek-364,1,0)</f>
        <v/>
      </c>
      <c r="E3991" s="14">
        <f>C3991^2*D3991</f>
        <v/>
      </c>
    </row>
    <row r="3992">
      <c r="A3992" s="26" t="n">
        <v>45558</v>
      </c>
      <c r="B3992" s="14" t="inlineStr">
        <is>
          <t>NB-0039</t>
        </is>
      </c>
      <c r="C3992" s="14" t="n">
        <v>6</v>
      </c>
      <c r="D3992" s="14">
        <f>IF(A3992&gt;LastWeek-364,1,0)</f>
        <v/>
      </c>
      <c r="E3992" s="14">
        <f>C3992^2*D3992</f>
        <v/>
      </c>
    </row>
    <row r="3993">
      <c r="A3993" s="26" t="n">
        <v>45565</v>
      </c>
      <c r="B3993" s="14" t="inlineStr">
        <is>
          <t>NB-0039</t>
        </is>
      </c>
      <c r="C3993" s="14" t="n">
        <v>12</v>
      </c>
      <c r="D3993" s="14">
        <f>IF(A3993&gt;LastWeek-364,1,0)</f>
        <v/>
      </c>
      <c r="E3993" s="14">
        <f>C3993^2*D3993</f>
        <v/>
      </c>
    </row>
    <row r="3994">
      <c r="A3994" s="26" t="n">
        <v>45572</v>
      </c>
      <c r="B3994" s="14" t="inlineStr">
        <is>
          <t>NB-0039</t>
        </is>
      </c>
      <c r="C3994" s="14" t="n">
        <v>3</v>
      </c>
      <c r="D3994" s="14">
        <f>IF(A3994&gt;LastWeek-364,1,0)</f>
        <v/>
      </c>
      <c r="E3994" s="14">
        <f>C3994^2*D3994</f>
        <v/>
      </c>
    </row>
    <row r="3995">
      <c r="A3995" s="26" t="n">
        <v>45579</v>
      </c>
      <c r="B3995" s="14" t="inlineStr">
        <is>
          <t>NB-0039</t>
        </is>
      </c>
      <c r="C3995" s="14" t="n">
        <v>13</v>
      </c>
      <c r="D3995" s="14">
        <f>IF(A3995&gt;LastWeek-364,1,0)</f>
        <v/>
      </c>
      <c r="E3995" s="14">
        <f>C3995^2*D3995</f>
        <v/>
      </c>
    </row>
    <row r="3996">
      <c r="A3996" s="26" t="n">
        <v>45586</v>
      </c>
      <c r="B3996" s="14" t="inlineStr">
        <is>
          <t>NB-0039</t>
        </is>
      </c>
      <c r="C3996" s="14" t="n">
        <v>15</v>
      </c>
      <c r="D3996" s="14">
        <f>IF(A3996&gt;LastWeek-364,1,0)</f>
        <v/>
      </c>
      <c r="E3996" s="14">
        <f>C3996^2*D3996</f>
        <v/>
      </c>
    </row>
    <row r="3997">
      <c r="A3997" s="26" t="n">
        <v>45593</v>
      </c>
      <c r="B3997" s="14" t="inlineStr">
        <is>
          <t>NB-0039</t>
        </is>
      </c>
      <c r="C3997" s="14" t="n">
        <v>8</v>
      </c>
      <c r="D3997" s="14">
        <f>IF(A3997&gt;LastWeek-364,1,0)</f>
        <v/>
      </c>
      <c r="E3997" s="14">
        <f>C3997^2*D3997</f>
        <v/>
      </c>
    </row>
    <row r="3998">
      <c r="A3998" s="26" t="n">
        <v>45600</v>
      </c>
      <c r="B3998" s="14" t="inlineStr">
        <is>
          <t>NB-0039</t>
        </is>
      </c>
      <c r="C3998" s="14" t="n">
        <v>11</v>
      </c>
      <c r="D3998" s="14">
        <f>IF(A3998&gt;LastWeek-364,1,0)</f>
        <v/>
      </c>
      <c r="E3998" s="14">
        <f>C3998^2*D3998</f>
        <v/>
      </c>
    </row>
    <row r="3999">
      <c r="A3999" s="26" t="n">
        <v>45607</v>
      </c>
      <c r="B3999" s="14" t="inlineStr">
        <is>
          <t>NB-0039</t>
        </is>
      </c>
      <c r="C3999" s="14" t="n">
        <v>14</v>
      </c>
      <c r="D3999" s="14">
        <f>IF(A3999&gt;LastWeek-364,1,0)</f>
        <v/>
      </c>
      <c r="E3999" s="14">
        <f>C3999^2*D3999</f>
        <v/>
      </c>
    </row>
    <row r="4000">
      <c r="A4000" s="26" t="n">
        <v>45614</v>
      </c>
      <c r="B4000" s="14" t="inlineStr">
        <is>
          <t>NB-0039</t>
        </is>
      </c>
      <c r="C4000" s="14" t="n">
        <v>8</v>
      </c>
      <c r="D4000" s="14">
        <f>IF(A4000&gt;LastWeek-364,1,0)</f>
        <v/>
      </c>
      <c r="E4000" s="14">
        <f>C4000^2*D4000</f>
        <v/>
      </c>
    </row>
    <row r="4001">
      <c r="A4001" s="26" t="n">
        <v>45621</v>
      </c>
      <c r="B4001" s="14" t="inlineStr">
        <is>
          <t>NB-0039</t>
        </is>
      </c>
      <c r="C4001" s="14" t="n">
        <v>13</v>
      </c>
      <c r="D4001" s="14">
        <f>IF(A4001&gt;LastWeek-364,1,0)</f>
        <v/>
      </c>
      <c r="E4001" s="14">
        <f>C4001^2*D4001</f>
        <v/>
      </c>
    </row>
    <row r="4002">
      <c r="A4002" s="26" t="n">
        <v>45628</v>
      </c>
      <c r="B4002" s="14" t="inlineStr">
        <is>
          <t>NB-0039</t>
        </is>
      </c>
      <c r="C4002" s="14" t="n">
        <v>8</v>
      </c>
      <c r="D4002" s="14">
        <f>IF(A4002&gt;LastWeek-364,1,0)</f>
        <v/>
      </c>
      <c r="E4002" s="14">
        <f>C4002^2*D4002</f>
        <v/>
      </c>
    </row>
    <row r="4003">
      <c r="A4003" s="26" t="n">
        <v>45635</v>
      </c>
      <c r="B4003" s="14" t="inlineStr">
        <is>
          <t>NB-0039</t>
        </is>
      </c>
      <c r="C4003" s="14" t="n">
        <v>8</v>
      </c>
      <c r="D4003" s="14">
        <f>IF(A4003&gt;LastWeek-364,1,0)</f>
        <v/>
      </c>
      <c r="E4003" s="14">
        <f>C4003^2*D4003</f>
        <v/>
      </c>
    </row>
    <row r="4004">
      <c r="A4004" s="26" t="n">
        <v>45642</v>
      </c>
      <c r="B4004" s="14" t="inlineStr">
        <is>
          <t>NB-0039</t>
        </is>
      </c>
      <c r="C4004" s="14" t="n">
        <v>7</v>
      </c>
      <c r="D4004" s="14">
        <f>IF(A4004&gt;LastWeek-364,1,0)</f>
        <v/>
      </c>
      <c r="E4004" s="14">
        <f>C4004^2*D4004</f>
        <v/>
      </c>
    </row>
    <row r="4005">
      <c r="A4005" s="26" t="n">
        <v>45649</v>
      </c>
      <c r="B4005" s="14" t="inlineStr">
        <is>
          <t>NB-0039</t>
        </is>
      </c>
      <c r="C4005" s="14" t="n">
        <v>12</v>
      </c>
      <c r="D4005" s="14">
        <f>IF(A4005&gt;LastWeek-364,1,0)</f>
        <v/>
      </c>
      <c r="E4005" s="14">
        <f>C4005^2*D4005</f>
        <v/>
      </c>
    </row>
    <row r="4006">
      <c r="A4006" s="26" t="n">
        <v>45656</v>
      </c>
      <c r="B4006" s="14" t="inlineStr">
        <is>
          <t>NB-0039</t>
        </is>
      </c>
      <c r="C4006" s="14" t="n">
        <v>15</v>
      </c>
      <c r="D4006" s="14">
        <f>IF(A4006&gt;LastWeek-364,1,0)</f>
        <v/>
      </c>
      <c r="E4006" s="14">
        <f>C4006^2*D4006</f>
        <v/>
      </c>
    </row>
    <row r="4007">
      <c r="A4007" s="26" t="n">
        <v>45663</v>
      </c>
      <c r="B4007" s="14" t="inlineStr">
        <is>
          <t>NB-0039</t>
        </is>
      </c>
      <c r="C4007" s="14" t="n">
        <v>10</v>
      </c>
      <c r="D4007" s="14">
        <f>IF(A4007&gt;LastWeek-364,1,0)</f>
        <v/>
      </c>
      <c r="E4007" s="14">
        <f>C4007^2*D4007</f>
        <v/>
      </c>
    </row>
    <row r="4008">
      <c r="A4008" s="26" t="n">
        <v>45670</v>
      </c>
      <c r="B4008" s="14" t="inlineStr">
        <is>
          <t>NB-0039</t>
        </is>
      </c>
      <c r="C4008" s="14" t="n">
        <v>5</v>
      </c>
      <c r="D4008" s="14">
        <f>IF(A4008&gt;LastWeek-364,1,0)</f>
        <v/>
      </c>
      <c r="E4008" s="14">
        <f>C4008^2*D4008</f>
        <v/>
      </c>
    </row>
    <row r="4009">
      <c r="A4009" s="26" t="n">
        <v>45677</v>
      </c>
      <c r="B4009" s="14" t="inlineStr">
        <is>
          <t>NB-0039</t>
        </is>
      </c>
      <c r="C4009" s="14" t="n">
        <v>6</v>
      </c>
      <c r="D4009" s="14">
        <f>IF(A4009&gt;LastWeek-364,1,0)</f>
        <v/>
      </c>
      <c r="E4009" s="14">
        <f>C4009^2*D4009</f>
        <v/>
      </c>
    </row>
    <row r="4010">
      <c r="A4010" s="26" t="n">
        <v>45684</v>
      </c>
      <c r="B4010" s="14" t="inlineStr">
        <is>
          <t>NB-0039</t>
        </is>
      </c>
      <c r="C4010" s="14" t="n">
        <v>12</v>
      </c>
      <c r="D4010" s="14">
        <f>IF(A4010&gt;LastWeek-364,1,0)</f>
        <v/>
      </c>
      <c r="E4010" s="14">
        <f>C4010^2*D4010</f>
        <v/>
      </c>
    </row>
    <row r="4011">
      <c r="A4011" s="26" t="n">
        <v>45691</v>
      </c>
      <c r="B4011" s="14" t="inlineStr">
        <is>
          <t>NB-0039</t>
        </is>
      </c>
      <c r="C4011" s="14" t="n">
        <v>17</v>
      </c>
      <c r="D4011" s="14">
        <f>IF(A4011&gt;LastWeek-364,1,0)</f>
        <v/>
      </c>
      <c r="E4011" s="14">
        <f>C4011^2*D4011</f>
        <v/>
      </c>
    </row>
    <row r="4012">
      <c r="A4012" s="26" t="n">
        <v>45698</v>
      </c>
      <c r="B4012" s="14" t="inlineStr">
        <is>
          <t>NB-0039</t>
        </is>
      </c>
      <c r="C4012" s="14" t="n">
        <v>12</v>
      </c>
      <c r="D4012" s="14">
        <f>IF(A4012&gt;LastWeek-364,1,0)</f>
        <v/>
      </c>
      <c r="E4012" s="14">
        <f>C4012^2*D4012</f>
        <v/>
      </c>
    </row>
    <row r="4013">
      <c r="A4013" s="26" t="n">
        <v>45705</v>
      </c>
      <c r="B4013" s="14" t="inlineStr">
        <is>
          <t>NB-0039</t>
        </is>
      </c>
      <c r="C4013" s="14" t="n">
        <v>9</v>
      </c>
      <c r="D4013" s="14">
        <f>IF(A4013&gt;LastWeek-364,1,0)</f>
        <v/>
      </c>
      <c r="E4013" s="14">
        <f>C4013^2*D4013</f>
        <v/>
      </c>
    </row>
    <row r="4014">
      <c r="A4014" s="26" t="n">
        <v>45712</v>
      </c>
      <c r="B4014" s="14" t="inlineStr">
        <is>
          <t>NB-0039</t>
        </is>
      </c>
      <c r="C4014" s="14" t="n">
        <v>13</v>
      </c>
      <c r="D4014" s="14">
        <f>IF(A4014&gt;LastWeek-364,1,0)</f>
        <v/>
      </c>
      <c r="E4014" s="14">
        <f>C4014^2*D4014</f>
        <v/>
      </c>
    </row>
    <row r="4015">
      <c r="A4015" s="26" t="n">
        <v>45719</v>
      </c>
      <c r="B4015" s="14" t="inlineStr">
        <is>
          <t>NB-0039</t>
        </is>
      </c>
      <c r="C4015" s="14" t="n">
        <v>9</v>
      </c>
      <c r="D4015" s="14">
        <f>IF(A4015&gt;LastWeek-364,1,0)</f>
        <v/>
      </c>
      <c r="E4015" s="14">
        <f>C4015^2*D4015</f>
        <v/>
      </c>
    </row>
    <row r="4016">
      <c r="A4016" s="26" t="n">
        <v>45726</v>
      </c>
      <c r="B4016" s="14" t="inlineStr">
        <is>
          <t>NB-0039</t>
        </is>
      </c>
      <c r="C4016" s="14" t="n">
        <v>8</v>
      </c>
      <c r="D4016" s="14">
        <f>IF(A4016&gt;LastWeek-364,1,0)</f>
        <v/>
      </c>
      <c r="E4016" s="14">
        <f>C4016^2*D4016</f>
        <v/>
      </c>
    </row>
    <row r="4017">
      <c r="A4017" s="26" t="n">
        <v>45733</v>
      </c>
      <c r="B4017" s="14" t="inlineStr">
        <is>
          <t>NB-0039</t>
        </is>
      </c>
      <c r="C4017" s="14" t="n">
        <v>6</v>
      </c>
      <c r="D4017" s="14">
        <f>IF(A4017&gt;LastWeek-364,1,0)</f>
        <v/>
      </c>
      <c r="E4017" s="14">
        <f>C4017^2*D4017</f>
        <v/>
      </c>
    </row>
    <row r="4018">
      <c r="A4018" s="26" t="n">
        <v>45740</v>
      </c>
      <c r="B4018" s="14" t="inlineStr">
        <is>
          <t>NB-0039</t>
        </is>
      </c>
      <c r="C4018" s="14" t="n">
        <v>14</v>
      </c>
      <c r="D4018" s="14">
        <f>IF(A4018&gt;LastWeek-364,1,0)</f>
        <v/>
      </c>
      <c r="E4018" s="14">
        <f>C4018^2*D4018</f>
        <v/>
      </c>
    </row>
    <row r="4019">
      <c r="A4019" s="26" t="n">
        <v>45747</v>
      </c>
      <c r="B4019" s="14" t="inlineStr">
        <is>
          <t>NB-0039</t>
        </is>
      </c>
      <c r="C4019" s="14" t="n">
        <v>0</v>
      </c>
      <c r="D4019" s="14">
        <f>IF(A4019&gt;LastWeek-364,1,0)</f>
        <v/>
      </c>
      <c r="E4019" s="14">
        <f>C4019^2*D4019</f>
        <v/>
      </c>
    </row>
    <row r="4020">
      <c r="A4020" s="26" t="n">
        <v>45754</v>
      </c>
      <c r="B4020" s="14" t="inlineStr">
        <is>
          <t>NB-0039</t>
        </is>
      </c>
      <c r="C4020" s="14" t="n">
        <v>12</v>
      </c>
      <c r="D4020" s="14">
        <f>IF(A4020&gt;LastWeek-364,1,0)</f>
        <v/>
      </c>
      <c r="E4020" s="14">
        <f>C4020^2*D4020</f>
        <v/>
      </c>
    </row>
    <row r="4021">
      <c r="A4021" s="26" t="n">
        <v>45761</v>
      </c>
      <c r="B4021" s="14" t="inlineStr">
        <is>
          <t>NB-0039</t>
        </is>
      </c>
      <c r="C4021" s="14" t="n">
        <v>7</v>
      </c>
      <c r="D4021" s="14">
        <f>IF(A4021&gt;LastWeek-364,1,0)</f>
        <v/>
      </c>
      <c r="E4021" s="14">
        <f>C4021^2*D4021</f>
        <v/>
      </c>
    </row>
    <row r="4022">
      <c r="A4022" s="26" t="n">
        <v>45768</v>
      </c>
      <c r="B4022" s="14" t="inlineStr">
        <is>
          <t>NB-0039</t>
        </is>
      </c>
      <c r="C4022" s="14" t="n">
        <v>7</v>
      </c>
      <c r="D4022" s="14">
        <f>IF(A4022&gt;LastWeek-364,1,0)</f>
        <v/>
      </c>
      <c r="E4022" s="14">
        <f>C4022^2*D4022</f>
        <v/>
      </c>
    </row>
    <row r="4023">
      <c r="A4023" s="26" t="n">
        <v>45775</v>
      </c>
      <c r="B4023" s="14" t="inlineStr">
        <is>
          <t>NB-0039</t>
        </is>
      </c>
      <c r="C4023" s="14" t="n">
        <v>14</v>
      </c>
      <c r="D4023" s="14">
        <f>IF(A4023&gt;LastWeek-364,1,0)</f>
        <v/>
      </c>
      <c r="E4023" s="14">
        <f>C4023^2*D4023</f>
        <v/>
      </c>
    </row>
    <row r="4024">
      <c r="A4024" s="26" t="n">
        <v>45782</v>
      </c>
      <c r="B4024" s="14" t="inlineStr">
        <is>
          <t>NB-0039</t>
        </is>
      </c>
      <c r="C4024" s="14" t="n">
        <v>6</v>
      </c>
      <c r="D4024" s="14">
        <f>IF(A4024&gt;LastWeek-364,1,0)</f>
        <v/>
      </c>
      <c r="E4024" s="14">
        <f>C4024^2*D4024</f>
        <v/>
      </c>
    </row>
    <row r="4025">
      <c r="A4025" s="26" t="n">
        <v>45789</v>
      </c>
      <c r="B4025" s="14" t="inlineStr">
        <is>
          <t>NB-0039</t>
        </is>
      </c>
      <c r="C4025" s="14" t="n">
        <v>6</v>
      </c>
      <c r="D4025" s="14">
        <f>IF(A4025&gt;LastWeek-364,1,0)</f>
        <v/>
      </c>
      <c r="E4025" s="14">
        <f>C4025^2*D4025</f>
        <v/>
      </c>
    </row>
    <row r="4026">
      <c r="A4026" s="26" t="n">
        <v>45796</v>
      </c>
      <c r="B4026" s="14" t="inlineStr">
        <is>
          <t>NB-0039</t>
        </is>
      </c>
      <c r="C4026" s="14" t="n">
        <v>8</v>
      </c>
      <c r="D4026" s="14">
        <f>IF(A4026&gt;LastWeek-364,1,0)</f>
        <v/>
      </c>
      <c r="E4026" s="14">
        <f>C4026^2*D4026</f>
        <v/>
      </c>
    </row>
    <row r="4027">
      <c r="A4027" s="26" t="n">
        <v>45803</v>
      </c>
      <c r="B4027" s="14" t="inlineStr">
        <is>
          <t>NB-0039</t>
        </is>
      </c>
      <c r="C4027" s="14" t="n">
        <v>9</v>
      </c>
      <c r="D4027" s="14">
        <f>IF(A4027&gt;LastWeek-364,1,0)</f>
        <v/>
      </c>
      <c r="E4027" s="14">
        <f>C4027^2*D4027</f>
        <v/>
      </c>
    </row>
    <row r="4028">
      <c r="A4028" s="26" t="n">
        <v>45810</v>
      </c>
      <c r="B4028" s="14" t="inlineStr">
        <is>
          <t>NB-0039</t>
        </is>
      </c>
      <c r="C4028" s="14" t="n">
        <v>6</v>
      </c>
      <c r="D4028" s="14">
        <f>IF(A4028&gt;LastWeek-364,1,0)</f>
        <v/>
      </c>
      <c r="E4028" s="14">
        <f>C4028^2*D4028</f>
        <v/>
      </c>
    </row>
    <row r="4029">
      <c r="A4029" s="26" t="n">
        <v>45817</v>
      </c>
      <c r="B4029" s="14" t="inlineStr">
        <is>
          <t>NB-0039</t>
        </is>
      </c>
      <c r="C4029" s="14" t="n">
        <v>3</v>
      </c>
      <c r="D4029" s="14">
        <f>IF(A4029&gt;LastWeek-364,1,0)</f>
        <v/>
      </c>
      <c r="E4029" s="14">
        <f>C4029^2*D4029</f>
        <v/>
      </c>
    </row>
    <row r="4030">
      <c r="A4030" s="26" t="n">
        <v>45824</v>
      </c>
      <c r="B4030" s="14" t="inlineStr">
        <is>
          <t>NB-0039</t>
        </is>
      </c>
      <c r="C4030" s="14" t="n">
        <v>5</v>
      </c>
      <c r="D4030" s="14">
        <f>IF(A4030&gt;LastWeek-364,1,0)</f>
        <v/>
      </c>
      <c r="E4030" s="14">
        <f>C4030^2*D4030</f>
        <v/>
      </c>
    </row>
    <row r="4031">
      <c r="A4031" s="26" t="n">
        <v>45831</v>
      </c>
      <c r="B4031" s="14" t="inlineStr">
        <is>
          <t>NB-0039</t>
        </is>
      </c>
      <c r="C4031" s="14" t="n">
        <v>11</v>
      </c>
      <c r="D4031" s="14">
        <f>IF(A4031&gt;LastWeek-364,1,0)</f>
        <v/>
      </c>
      <c r="E4031" s="14">
        <f>C4031^2*D4031</f>
        <v/>
      </c>
    </row>
    <row r="4032">
      <c r="A4032" s="26" t="n">
        <v>45838</v>
      </c>
      <c r="B4032" s="14" t="inlineStr">
        <is>
          <t>NB-0039</t>
        </is>
      </c>
      <c r="C4032" s="14" t="n">
        <v>8</v>
      </c>
      <c r="D4032" s="14">
        <f>IF(A4032&gt;LastWeek-364,1,0)</f>
        <v/>
      </c>
      <c r="E4032" s="14">
        <f>C4032^2*D4032</f>
        <v/>
      </c>
    </row>
    <row r="4033">
      <c r="A4033" s="26" t="n">
        <v>45845</v>
      </c>
      <c r="B4033" s="14" t="inlineStr">
        <is>
          <t>NB-0039</t>
        </is>
      </c>
      <c r="C4033" s="14" t="n">
        <v>9</v>
      </c>
      <c r="D4033" s="14">
        <f>IF(A4033&gt;LastWeek-364,1,0)</f>
        <v/>
      </c>
      <c r="E4033" s="14">
        <f>C4033^2*D4033</f>
        <v/>
      </c>
    </row>
    <row r="4034">
      <c r="A4034" s="26" t="n">
        <v>45852</v>
      </c>
      <c r="B4034" s="14" t="inlineStr">
        <is>
          <t>NB-0039</t>
        </is>
      </c>
      <c r="C4034" s="14" t="n">
        <v>7</v>
      </c>
      <c r="D4034" s="14">
        <f>IF(A4034&gt;LastWeek-364,1,0)</f>
        <v/>
      </c>
      <c r="E4034" s="14">
        <f>C4034^2*D4034</f>
        <v/>
      </c>
    </row>
    <row r="4035">
      <c r="A4035" s="26" t="n">
        <v>45859</v>
      </c>
      <c r="B4035" s="14" t="inlineStr">
        <is>
          <t>NB-0039</t>
        </is>
      </c>
      <c r="C4035" s="14" t="n">
        <v>6</v>
      </c>
      <c r="D4035" s="14">
        <f>IF(A4035&gt;LastWeek-364,1,0)</f>
        <v/>
      </c>
      <c r="E4035" s="14">
        <f>C4035^2*D4035</f>
        <v/>
      </c>
    </row>
    <row r="4036">
      <c r="A4036" s="26" t="n">
        <v>45866</v>
      </c>
      <c r="B4036" s="14" t="inlineStr">
        <is>
          <t>NB-0039</t>
        </is>
      </c>
      <c r="C4036" s="14" t="n">
        <v>12</v>
      </c>
      <c r="D4036" s="14">
        <f>IF(A4036&gt;LastWeek-364,1,0)</f>
        <v/>
      </c>
      <c r="E4036" s="14">
        <f>C4036^2*D4036</f>
        <v/>
      </c>
    </row>
    <row r="4037">
      <c r="A4037" s="26" t="n">
        <v>45873</v>
      </c>
      <c r="B4037" s="14" t="inlineStr">
        <is>
          <t>NB-0039</t>
        </is>
      </c>
      <c r="C4037" s="14" t="n">
        <v>7</v>
      </c>
      <c r="D4037" s="14">
        <f>IF(A4037&gt;LastWeek-364,1,0)</f>
        <v/>
      </c>
      <c r="E4037" s="14">
        <f>C4037^2*D4037</f>
        <v/>
      </c>
    </row>
    <row r="4038">
      <c r="A4038" s="26" t="n">
        <v>45880</v>
      </c>
      <c r="B4038" s="14" t="inlineStr">
        <is>
          <t>NB-0039</t>
        </is>
      </c>
      <c r="C4038" s="14" t="n">
        <v>6</v>
      </c>
      <c r="D4038" s="14">
        <f>IF(A4038&gt;LastWeek-364,1,0)</f>
        <v/>
      </c>
      <c r="E4038" s="14">
        <f>C4038^2*D4038</f>
        <v/>
      </c>
    </row>
    <row r="4039">
      <c r="A4039" s="26" t="n">
        <v>45887</v>
      </c>
      <c r="B4039" s="14" t="inlineStr">
        <is>
          <t>NB-0039</t>
        </is>
      </c>
      <c r="C4039" s="14" t="n">
        <v>11</v>
      </c>
      <c r="D4039" s="14">
        <f>IF(A4039&gt;LastWeek-364,1,0)</f>
        <v/>
      </c>
      <c r="E4039" s="14">
        <f>C4039^2*D4039</f>
        <v/>
      </c>
    </row>
    <row r="4040">
      <c r="A4040" s="26" t="n">
        <v>45894</v>
      </c>
      <c r="B4040" s="14" t="inlineStr">
        <is>
          <t>NB-0039</t>
        </is>
      </c>
      <c r="C4040" s="14" t="n">
        <v>6</v>
      </c>
      <c r="D4040" s="14">
        <f>IF(A4040&gt;LastWeek-364,1,0)</f>
        <v/>
      </c>
      <c r="E4040" s="14">
        <f>C4040^2*D4040</f>
        <v/>
      </c>
    </row>
    <row r="4041">
      <c r="A4041" s="26" t="n">
        <v>45901</v>
      </c>
      <c r="B4041" s="14" t="inlineStr">
        <is>
          <t>NB-0039</t>
        </is>
      </c>
      <c r="C4041" s="14" t="n">
        <v>6</v>
      </c>
      <c r="D4041" s="14">
        <f>IF(A4041&gt;LastWeek-364,1,0)</f>
        <v/>
      </c>
      <c r="E4041" s="14">
        <f>C4041^2*D4041</f>
        <v/>
      </c>
    </row>
    <row r="4042">
      <c r="A4042" s="26" t="n">
        <v>45908</v>
      </c>
      <c r="B4042" s="14" t="inlineStr">
        <is>
          <t>NB-0039</t>
        </is>
      </c>
      <c r="C4042" s="14" t="n">
        <v>8</v>
      </c>
      <c r="D4042" s="14">
        <f>IF(A4042&gt;LastWeek-364,1,0)</f>
        <v/>
      </c>
      <c r="E4042" s="14">
        <f>C4042^2*D4042</f>
        <v/>
      </c>
    </row>
    <row r="4043">
      <c r="A4043" s="26" t="n">
        <v>45915</v>
      </c>
      <c r="B4043" s="14" t="inlineStr">
        <is>
          <t>NB-0039</t>
        </is>
      </c>
      <c r="C4043" s="14" t="n">
        <v>8</v>
      </c>
      <c r="D4043" s="14">
        <f>IF(A4043&gt;LastWeek-364,1,0)</f>
        <v/>
      </c>
      <c r="E4043" s="14">
        <f>C4043^2*D4043</f>
        <v/>
      </c>
    </row>
    <row r="4044">
      <c r="A4044" s="26" t="n">
        <v>45922</v>
      </c>
      <c r="B4044" s="14" t="inlineStr">
        <is>
          <t>NB-0039</t>
        </is>
      </c>
      <c r="C4044" s="14" t="n">
        <v>9</v>
      </c>
      <c r="D4044" s="14">
        <f>IF(A4044&gt;LastWeek-364,1,0)</f>
        <v/>
      </c>
      <c r="E4044" s="14">
        <f>C4044^2*D4044</f>
        <v/>
      </c>
    </row>
    <row r="4045">
      <c r="A4045" s="26" t="n">
        <v>45929</v>
      </c>
      <c r="B4045" s="14" t="inlineStr">
        <is>
          <t>NB-0039</t>
        </is>
      </c>
      <c r="C4045" s="14" t="n">
        <v>15</v>
      </c>
      <c r="D4045" s="14">
        <f>IF(A4045&gt;LastWeek-364,1,0)</f>
        <v/>
      </c>
      <c r="E4045" s="14">
        <f>C4045^2*D4045</f>
        <v/>
      </c>
    </row>
    <row r="4046">
      <c r="A4046" s="26" t="n">
        <v>45936</v>
      </c>
      <c r="B4046" s="14" t="inlineStr">
        <is>
          <t>NB-0039</t>
        </is>
      </c>
      <c r="C4046" s="14" t="n">
        <v>10</v>
      </c>
      <c r="D4046" s="14">
        <f>IF(A4046&gt;LastWeek-364,1,0)</f>
        <v/>
      </c>
      <c r="E4046" s="14">
        <f>C4046^2*D4046</f>
        <v/>
      </c>
    </row>
    <row r="4047">
      <c r="A4047" s="26" t="n">
        <v>45943</v>
      </c>
      <c r="B4047" s="14" t="inlineStr">
        <is>
          <t>NB-0039</t>
        </is>
      </c>
      <c r="C4047" s="14" t="n">
        <v>1</v>
      </c>
      <c r="D4047" s="14">
        <f>IF(A4047&gt;LastWeek-364,1,0)</f>
        <v/>
      </c>
      <c r="E4047" s="14">
        <f>C4047^2*D4047</f>
        <v/>
      </c>
    </row>
    <row r="4048">
      <c r="A4048" s="26" t="n">
        <v>45950</v>
      </c>
      <c r="B4048" s="14" t="inlineStr">
        <is>
          <t>NB-0039</t>
        </is>
      </c>
      <c r="C4048" s="14" t="n">
        <v>10</v>
      </c>
      <c r="D4048" s="14">
        <f>IF(A4048&gt;LastWeek-364,1,0)</f>
        <v/>
      </c>
      <c r="E4048" s="14">
        <f>C4048^2*D4048</f>
        <v/>
      </c>
    </row>
    <row r="4049">
      <c r="A4049" s="26" t="n">
        <v>45957</v>
      </c>
      <c r="B4049" s="14" t="inlineStr">
        <is>
          <t>NB-0039</t>
        </is>
      </c>
      <c r="C4049" s="14" t="n">
        <v>9</v>
      </c>
      <c r="D4049" s="14">
        <f>IF(A4049&gt;LastWeek-364,1,0)</f>
        <v/>
      </c>
      <c r="E4049" s="14">
        <f>C4049^2*D4049</f>
        <v/>
      </c>
    </row>
    <row r="4050">
      <c r="A4050" s="26" t="n">
        <v>45964</v>
      </c>
      <c r="B4050" s="14" t="inlineStr">
        <is>
          <t>NB-0039</t>
        </is>
      </c>
      <c r="C4050" s="14" t="n">
        <v>9</v>
      </c>
      <c r="D4050" s="14">
        <f>IF(A4050&gt;LastWeek-364,1,0)</f>
        <v/>
      </c>
      <c r="E4050" s="14">
        <f>C4050^2*D4050</f>
        <v/>
      </c>
    </row>
    <row r="4051">
      <c r="A4051" s="26" t="n">
        <v>45971</v>
      </c>
      <c r="B4051" s="14" t="inlineStr">
        <is>
          <t>NB-0039</t>
        </is>
      </c>
      <c r="C4051" s="14" t="n">
        <v>10</v>
      </c>
      <c r="D4051" s="14">
        <f>IF(A4051&gt;LastWeek-364,1,0)</f>
        <v/>
      </c>
      <c r="E4051" s="14">
        <f>C4051^2*D4051</f>
        <v/>
      </c>
    </row>
    <row r="4052">
      <c r="A4052" s="26" t="n">
        <v>45978</v>
      </c>
      <c r="B4052" s="14" t="inlineStr">
        <is>
          <t>NB-0039</t>
        </is>
      </c>
      <c r="C4052" s="14" t="n">
        <v>9</v>
      </c>
      <c r="D4052" s="14">
        <f>IF(A4052&gt;LastWeek-364,1,0)</f>
        <v/>
      </c>
      <c r="E4052" s="14">
        <f>C4052^2*D4052</f>
        <v/>
      </c>
    </row>
    <row r="4053">
      <c r="A4053" s="26" t="n">
        <v>45985</v>
      </c>
      <c r="B4053" s="14" t="inlineStr">
        <is>
          <t>NB-0039</t>
        </is>
      </c>
      <c r="C4053" s="14" t="n">
        <v>9</v>
      </c>
      <c r="D4053" s="14">
        <f>IF(A4053&gt;LastWeek-364,1,0)</f>
        <v/>
      </c>
      <c r="E4053" s="14">
        <f>C4053^2*D4053</f>
        <v/>
      </c>
    </row>
    <row r="4054">
      <c r="A4054" s="26" t="n">
        <v>45992</v>
      </c>
      <c r="B4054" s="14" t="inlineStr">
        <is>
          <t>NB-0039</t>
        </is>
      </c>
      <c r="C4054" s="14" t="n">
        <v>12</v>
      </c>
      <c r="D4054" s="14">
        <f>IF(A4054&gt;LastWeek-364,1,0)</f>
        <v/>
      </c>
      <c r="E4054" s="14">
        <f>C4054^2*D4054</f>
        <v/>
      </c>
    </row>
    <row r="4055">
      <c r="A4055" s="26" t="n">
        <v>45999</v>
      </c>
      <c r="B4055" s="14" t="inlineStr">
        <is>
          <t>NB-0039</t>
        </is>
      </c>
      <c r="C4055" s="14" t="n">
        <v>8</v>
      </c>
      <c r="D4055" s="14">
        <f>IF(A4055&gt;LastWeek-364,1,0)</f>
        <v/>
      </c>
      <c r="E4055" s="14">
        <f>C4055^2*D4055</f>
        <v/>
      </c>
    </row>
    <row r="4056">
      <c r="A4056" s="26" t="n">
        <v>46006</v>
      </c>
      <c r="B4056" s="14" t="inlineStr">
        <is>
          <t>NB-0039</t>
        </is>
      </c>
      <c r="C4056" s="14" t="n">
        <v>6</v>
      </c>
      <c r="D4056" s="14">
        <f>IF(A4056&gt;LastWeek-364,1,0)</f>
        <v/>
      </c>
      <c r="E4056" s="14">
        <f>C4056^2*D4056</f>
        <v/>
      </c>
    </row>
    <row r="4057">
      <c r="A4057" s="26" t="n">
        <v>46013</v>
      </c>
      <c r="B4057" s="14" t="inlineStr">
        <is>
          <t>NB-0039</t>
        </is>
      </c>
      <c r="C4057" s="14" t="n">
        <v>21</v>
      </c>
      <c r="D4057" s="14">
        <f>IF(A4057&gt;LastWeek-364,1,0)</f>
        <v/>
      </c>
      <c r="E4057" s="14">
        <f>C4057^2*D4057</f>
        <v/>
      </c>
    </row>
    <row r="4058">
      <c r="A4058" s="26" t="n">
        <v>45292</v>
      </c>
      <c r="B4058" s="14" t="inlineStr">
        <is>
          <t>NB-0040</t>
        </is>
      </c>
      <c r="C4058" s="14" t="n">
        <v>16</v>
      </c>
      <c r="D4058" s="14">
        <f>IF(A4058&gt;LastWeek-364,1,0)</f>
        <v/>
      </c>
      <c r="E4058" s="14">
        <f>C4058^2*D4058</f>
        <v/>
      </c>
    </row>
    <row r="4059">
      <c r="A4059" s="26" t="n">
        <v>45299</v>
      </c>
      <c r="B4059" s="14" t="inlineStr">
        <is>
          <t>NB-0040</t>
        </is>
      </c>
      <c r="C4059" s="14" t="n">
        <v>19</v>
      </c>
      <c r="D4059" s="14">
        <f>IF(A4059&gt;LastWeek-364,1,0)</f>
        <v/>
      </c>
      <c r="E4059" s="14">
        <f>C4059^2*D4059</f>
        <v/>
      </c>
    </row>
    <row r="4060">
      <c r="A4060" s="26" t="n">
        <v>45306</v>
      </c>
      <c r="B4060" s="14" t="inlineStr">
        <is>
          <t>NB-0040</t>
        </is>
      </c>
      <c r="C4060" s="14" t="n">
        <v>13</v>
      </c>
      <c r="D4060" s="14">
        <f>IF(A4060&gt;LastWeek-364,1,0)</f>
        <v/>
      </c>
      <c r="E4060" s="14">
        <f>C4060^2*D4060</f>
        <v/>
      </c>
    </row>
    <row r="4061">
      <c r="A4061" s="26" t="n">
        <v>45313</v>
      </c>
      <c r="B4061" s="14" t="inlineStr">
        <is>
          <t>NB-0040</t>
        </is>
      </c>
      <c r="C4061" s="14" t="n">
        <v>19</v>
      </c>
      <c r="D4061" s="14">
        <f>IF(A4061&gt;LastWeek-364,1,0)</f>
        <v/>
      </c>
      <c r="E4061" s="14">
        <f>C4061^2*D4061</f>
        <v/>
      </c>
    </row>
    <row r="4062">
      <c r="A4062" s="26" t="n">
        <v>45320</v>
      </c>
      <c r="B4062" s="14" t="inlineStr">
        <is>
          <t>NB-0040</t>
        </is>
      </c>
      <c r="C4062" s="14" t="n">
        <v>15</v>
      </c>
      <c r="D4062" s="14">
        <f>IF(A4062&gt;LastWeek-364,1,0)</f>
        <v/>
      </c>
      <c r="E4062" s="14">
        <f>C4062^2*D4062</f>
        <v/>
      </c>
    </row>
    <row r="4063">
      <c r="A4063" s="26" t="n">
        <v>45327</v>
      </c>
      <c r="B4063" s="14" t="inlineStr">
        <is>
          <t>NB-0040</t>
        </is>
      </c>
      <c r="C4063" s="14" t="n">
        <v>17</v>
      </c>
      <c r="D4063" s="14">
        <f>IF(A4063&gt;LastWeek-364,1,0)</f>
        <v/>
      </c>
      <c r="E4063" s="14">
        <f>C4063^2*D4063</f>
        <v/>
      </c>
    </row>
    <row r="4064">
      <c r="A4064" s="26" t="n">
        <v>45334</v>
      </c>
      <c r="B4064" s="14" t="inlineStr">
        <is>
          <t>NB-0040</t>
        </is>
      </c>
      <c r="C4064" s="14" t="n">
        <v>22</v>
      </c>
      <c r="D4064" s="14">
        <f>IF(A4064&gt;LastWeek-364,1,0)</f>
        <v/>
      </c>
      <c r="E4064" s="14">
        <f>C4064^2*D4064</f>
        <v/>
      </c>
    </row>
    <row r="4065">
      <c r="A4065" s="26" t="n">
        <v>45341</v>
      </c>
      <c r="B4065" s="14" t="inlineStr">
        <is>
          <t>NB-0040</t>
        </is>
      </c>
      <c r="C4065" s="14" t="n">
        <v>20</v>
      </c>
      <c r="D4065" s="14">
        <f>IF(A4065&gt;LastWeek-364,1,0)</f>
        <v/>
      </c>
      <c r="E4065" s="14">
        <f>C4065^2*D4065</f>
        <v/>
      </c>
    </row>
    <row r="4066">
      <c r="A4066" s="26" t="n">
        <v>45348</v>
      </c>
      <c r="B4066" s="14" t="inlineStr">
        <is>
          <t>NB-0040</t>
        </is>
      </c>
      <c r="C4066" s="14" t="n">
        <v>20</v>
      </c>
      <c r="D4066" s="14">
        <f>IF(A4066&gt;LastWeek-364,1,0)</f>
        <v/>
      </c>
      <c r="E4066" s="14">
        <f>C4066^2*D4066</f>
        <v/>
      </c>
    </row>
    <row r="4067">
      <c r="A4067" s="26" t="n">
        <v>45355</v>
      </c>
      <c r="B4067" s="14" t="inlineStr">
        <is>
          <t>NB-0040</t>
        </is>
      </c>
      <c r="C4067" s="14" t="n">
        <v>12</v>
      </c>
      <c r="D4067" s="14">
        <f>IF(A4067&gt;LastWeek-364,1,0)</f>
        <v/>
      </c>
      <c r="E4067" s="14">
        <f>C4067^2*D4067</f>
        <v/>
      </c>
    </row>
    <row r="4068">
      <c r="A4068" s="26" t="n">
        <v>45362</v>
      </c>
      <c r="B4068" s="14" t="inlineStr">
        <is>
          <t>NB-0040</t>
        </is>
      </c>
      <c r="C4068" s="14" t="n">
        <v>24</v>
      </c>
      <c r="D4068" s="14">
        <f>IF(A4068&gt;LastWeek-364,1,0)</f>
        <v/>
      </c>
      <c r="E4068" s="14">
        <f>C4068^2*D4068</f>
        <v/>
      </c>
    </row>
    <row r="4069">
      <c r="A4069" s="26" t="n">
        <v>45369</v>
      </c>
      <c r="B4069" s="14" t="inlineStr">
        <is>
          <t>NB-0040</t>
        </is>
      </c>
      <c r="C4069" s="14" t="n">
        <v>13</v>
      </c>
      <c r="D4069" s="14">
        <f>IF(A4069&gt;LastWeek-364,1,0)</f>
        <v/>
      </c>
      <c r="E4069" s="14">
        <f>C4069^2*D4069</f>
        <v/>
      </c>
    </row>
    <row r="4070">
      <c r="A4070" s="26" t="n">
        <v>45376</v>
      </c>
      <c r="B4070" s="14" t="inlineStr">
        <is>
          <t>NB-0040</t>
        </is>
      </c>
      <c r="C4070" s="14" t="n">
        <v>22</v>
      </c>
      <c r="D4070" s="14">
        <f>IF(A4070&gt;LastWeek-364,1,0)</f>
        <v/>
      </c>
      <c r="E4070" s="14">
        <f>C4070^2*D4070</f>
        <v/>
      </c>
    </row>
    <row r="4071">
      <c r="A4071" s="26" t="n">
        <v>45383</v>
      </c>
      <c r="B4071" s="14" t="inlineStr">
        <is>
          <t>NB-0040</t>
        </is>
      </c>
      <c r="C4071" s="14" t="n">
        <v>20</v>
      </c>
      <c r="D4071" s="14">
        <f>IF(A4071&gt;LastWeek-364,1,0)</f>
        <v/>
      </c>
      <c r="E4071" s="14">
        <f>C4071^2*D4071</f>
        <v/>
      </c>
    </row>
    <row r="4072">
      <c r="A4072" s="26" t="n">
        <v>45390</v>
      </c>
      <c r="B4072" s="14" t="inlineStr">
        <is>
          <t>NB-0040</t>
        </is>
      </c>
      <c r="C4072" s="14" t="n">
        <v>18</v>
      </c>
      <c r="D4072" s="14">
        <f>IF(A4072&gt;LastWeek-364,1,0)</f>
        <v/>
      </c>
      <c r="E4072" s="14">
        <f>C4072^2*D4072</f>
        <v/>
      </c>
    </row>
    <row r="4073">
      <c r="A4073" s="26" t="n">
        <v>45397</v>
      </c>
      <c r="B4073" s="14" t="inlineStr">
        <is>
          <t>NB-0040</t>
        </is>
      </c>
      <c r="C4073" s="14" t="n">
        <v>14</v>
      </c>
      <c r="D4073" s="14">
        <f>IF(A4073&gt;LastWeek-364,1,0)</f>
        <v/>
      </c>
      <c r="E4073" s="14">
        <f>C4073^2*D4073</f>
        <v/>
      </c>
    </row>
    <row r="4074">
      <c r="A4074" s="26" t="n">
        <v>45404</v>
      </c>
      <c r="B4074" s="14" t="inlineStr">
        <is>
          <t>NB-0040</t>
        </is>
      </c>
      <c r="C4074" s="14" t="n">
        <v>17</v>
      </c>
      <c r="D4074" s="14">
        <f>IF(A4074&gt;LastWeek-364,1,0)</f>
        <v/>
      </c>
      <c r="E4074" s="14">
        <f>C4074^2*D4074</f>
        <v/>
      </c>
    </row>
    <row r="4075">
      <c r="A4075" s="26" t="n">
        <v>45411</v>
      </c>
      <c r="B4075" s="14" t="inlineStr">
        <is>
          <t>NB-0040</t>
        </is>
      </c>
      <c r="C4075" s="14" t="n">
        <v>14</v>
      </c>
      <c r="D4075" s="14">
        <f>IF(A4075&gt;LastWeek-364,1,0)</f>
        <v/>
      </c>
      <c r="E4075" s="14">
        <f>C4075^2*D4075</f>
        <v/>
      </c>
    </row>
    <row r="4076">
      <c r="A4076" s="26" t="n">
        <v>45418</v>
      </c>
      <c r="B4076" s="14" t="inlineStr">
        <is>
          <t>NB-0040</t>
        </is>
      </c>
      <c r="C4076" s="14" t="n">
        <v>16</v>
      </c>
      <c r="D4076" s="14">
        <f>IF(A4076&gt;LastWeek-364,1,0)</f>
        <v/>
      </c>
      <c r="E4076" s="14">
        <f>C4076^2*D4076</f>
        <v/>
      </c>
    </row>
    <row r="4077">
      <c r="A4077" s="26" t="n">
        <v>45425</v>
      </c>
      <c r="B4077" s="14" t="inlineStr">
        <is>
          <t>NB-0040</t>
        </is>
      </c>
      <c r="C4077" s="14" t="n">
        <v>15</v>
      </c>
      <c r="D4077" s="14">
        <f>IF(A4077&gt;LastWeek-364,1,0)</f>
        <v/>
      </c>
      <c r="E4077" s="14">
        <f>C4077^2*D4077</f>
        <v/>
      </c>
    </row>
    <row r="4078">
      <c r="A4078" s="26" t="n">
        <v>45432</v>
      </c>
      <c r="B4078" s="14" t="inlineStr">
        <is>
          <t>NB-0040</t>
        </is>
      </c>
      <c r="C4078" s="14" t="n">
        <v>9</v>
      </c>
      <c r="D4078" s="14">
        <f>IF(A4078&gt;LastWeek-364,1,0)</f>
        <v/>
      </c>
      <c r="E4078" s="14">
        <f>C4078^2*D4078</f>
        <v/>
      </c>
    </row>
    <row r="4079">
      <c r="A4079" s="26" t="n">
        <v>45439</v>
      </c>
      <c r="B4079" s="14" t="inlineStr">
        <is>
          <t>NB-0040</t>
        </is>
      </c>
      <c r="C4079" s="14" t="n">
        <v>18</v>
      </c>
      <c r="D4079" s="14">
        <f>IF(A4079&gt;LastWeek-364,1,0)</f>
        <v/>
      </c>
      <c r="E4079" s="14">
        <f>C4079^2*D4079</f>
        <v/>
      </c>
    </row>
    <row r="4080">
      <c r="A4080" s="26" t="n">
        <v>45446</v>
      </c>
      <c r="B4080" s="14" t="inlineStr">
        <is>
          <t>NB-0040</t>
        </is>
      </c>
      <c r="C4080" s="14" t="n">
        <v>15</v>
      </c>
      <c r="D4080" s="14">
        <f>IF(A4080&gt;LastWeek-364,1,0)</f>
        <v/>
      </c>
      <c r="E4080" s="14">
        <f>C4080^2*D4080</f>
        <v/>
      </c>
    </row>
    <row r="4081">
      <c r="A4081" s="26" t="n">
        <v>45453</v>
      </c>
      <c r="B4081" s="14" t="inlineStr">
        <is>
          <t>NB-0040</t>
        </is>
      </c>
      <c r="C4081" s="14" t="n">
        <v>14</v>
      </c>
      <c r="D4081" s="14">
        <f>IF(A4081&gt;LastWeek-364,1,0)</f>
        <v/>
      </c>
      <c r="E4081" s="14">
        <f>C4081^2*D4081</f>
        <v/>
      </c>
    </row>
    <row r="4082">
      <c r="A4082" s="26" t="n">
        <v>45460</v>
      </c>
      <c r="B4082" s="14" t="inlineStr">
        <is>
          <t>NB-0040</t>
        </is>
      </c>
      <c r="C4082" s="14" t="n">
        <v>13</v>
      </c>
      <c r="D4082" s="14">
        <f>IF(A4082&gt;LastWeek-364,1,0)</f>
        <v/>
      </c>
      <c r="E4082" s="14">
        <f>C4082^2*D4082</f>
        <v/>
      </c>
    </row>
    <row r="4083">
      <c r="A4083" s="26" t="n">
        <v>45467</v>
      </c>
      <c r="B4083" s="14" t="inlineStr">
        <is>
          <t>NB-0040</t>
        </is>
      </c>
      <c r="C4083" s="14" t="n">
        <v>16</v>
      </c>
      <c r="D4083" s="14">
        <f>IF(A4083&gt;LastWeek-364,1,0)</f>
        <v/>
      </c>
      <c r="E4083" s="14">
        <f>C4083^2*D4083</f>
        <v/>
      </c>
    </row>
    <row r="4084">
      <c r="A4084" s="26" t="n">
        <v>45474</v>
      </c>
      <c r="B4084" s="14" t="inlineStr">
        <is>
          <t>NB-0040</t>
        </is>
      </c>
      <c r="C4084" s="14" t="n">
        <v>12</v>
      </c>
      <c r="D4084" s="14">
        <f>IF(A4084&gt;LastWeek-364,1,0)</f>
        <v/>
      </c>
      <c r="E4084" s="14">
        <f>C4084^2*D4084</f>
        <v/>
      </c>
    </row>
    <row r="4085">
      <c r="A4085" s="26" t="n">
        <v>45481</v>
      </c>
      <c r="B4085" s="14" t="inlineStr">
        <is>
          <t>NB-0040</t>
        </is>
      </c>
      <c r="C4085" s="14" t="n">
        <v>8</v>
      </c>
      <c r="D4085" s="14">
        <f>IF(A4085&gt;LastWeek-364,1,0)</f>
        <v/>
      </c>
      <c r="E4085" s="14">
        <f>C4085^2*D4085</f>
        <v/>
      </c>
    </row>
    <row r="4086">
      <c r="A4086" s="26" t="n">
        <v>45488</v>
      </c>
      <c r="B4086" s="14" t="inlineStr">
        <is>
          <t>NB-0040</t>
        </is>
      </c>
      <c r="C4086" s="14" t="n">
        <v>16</v>
      </c>
      <c r="D4086" s="14">
        <f>IF(A4086&gt;LastWeek-364,1,0)</f>
        <v/>
      </c>
      <c r="E4086" s="14">
        <f>C4086^2*D4086</f>
        <v/>
      </c>
    </row>
    <row r="4087">
      <c r="A4087" s="26" t="n">
        <v>45495</v>
      </c>
      <c r="B4087" s="14" t="inlineStr">
        <is>
          <t>NB-0040</t>
        </is>
      </c>
      <c r="C4087" s="14" t="n">
        <v>16</v>
      </c>
      <c r="D4087" s="14">
        <f>IF(A4087&gt;LastWeek-364,1,0)</f>
        <v/>
      </c>
      <c r="E4087" s="14">
        <f>C4087^2*D4087</f>
        <v/>
      </c>
    </row>
    <row r="4088">
      <c r="A4088" s="26" t="n">
        <v>45502</v>
      </c>
      <c r="B4088" s="14" t="inlineStr">
        <is>
          <t>NB-0040</t>
        </is>
      </c>
      <c r="C4088" s="14" t="n">
        <v>15</v>
      </c>
      <c r="D4088" s="14">
        <f>IF(A4088&gt;LastWeek-364,1,0)</f>
        <v/>
      </c>
      <c r="E4088" s="14">
        <f>C4088^2*D4088</f>
        <v/>
      </c>
    </row>
    <row r="4089">
      <c r="A4089" s="26" t="n">
        <v>45509</v>
      </c>
      <c r="B4089" s="14" t="inlineStr">
        <is>
          <t>NB-0040</t>
        </is>
      </c>
      <c r="C4089" s="14" t="n">
        <v>12</v>
      </c>
      <c r="D4089" s="14">
        <f>IF(A4089&gt;LastWeek-364,1,0)</f>
        <v/>
      </c>
      <c r="E4089" s="14">
        <f>C4089^2*D4089</f>
        <v/>
      </c>
    </row>
    <row r="4090">
      <c r="A4090" s="26" t="n">
        <v>45516</v>
      </c>
      <c r="B4090" s="14" t="inlineStr">
        <is>
          <t>NB-0040</t>
        </is>
      </c>
      <c r="C4090" s="14" t="n">
        <v>16</v>
      </c>
      <c r="D4090" s="14">
        <f>IF(A4090&gt;LastWeek-364,1,0)</f>
        <v/>
      </c>
      <c r="E4090" s="14">
        <f>C4090^2*D4090</f>
        <v/>
      </c>
    </row>
    <row r="4091">
      <c r="A4091" s="26" t="n">
        <v>45523</v>
      </c>
      <c r="B4091" s="14" t="inlineStr">
        <is>
          <t>NB-0040</t>
        </is>
      </c>
      <c r="C4091" s="14" t="n">
        <v>11</v>
      </c>
      <c r="D4091" s="14">
        <f>IF(A4091&gt;LastWeek-364,1,0)</f>
        <v/>
      </c>
      <c r="E4091" s="14">
        <f>C4091^2*D4091</f>
        <v/>
      </c>
    </row>
    <row r="4092">
      <c r="A4092" s="26" t="n">
        <v>45530</v>
      </c>
      <c r="B4092" s="14" t="inlineStr">
        <is>
          <t>NB-0040</t>
        </is>
      </c>
      <c r="C4092" s="14" t="n">
        <v>13</v>
      </c>
      <c r="D4092" s="14">
        <f>IF(A4092&gt;LastWeek-364,1,0)</f>
        <v/>
      </c>
      <c r="E4092" s="14">
        <f>C4092^2*D4092</f>
        <v/>
      </c>
    </row>
    <row r="4093">
      <c r="A4093" s="26" t="n">
        <v>45537</v>
      </c>
      <c r="B4093" s="14" t="inlineStr">
        <is>
          <t>NB-0040</t>
        </is>
      </c>
      <c r="C4093" s="14" t="n">
        <v>14</v>
      </c>
      <c r="D4093" s="14">
        <f>IF(A4093&gt;LastWeek-364,1,0)</f>
        <v/>
      </c>
      <c r="E4093" s="14">
        <f>C4093^2*D4093</f>
        <v/>
      </c>
    </row>
    <row r="4094">
      <c r="A4094" s="26" t="n">
        <v>45544</v>
      </c>
      <c r="B4094" s="14" t="inlineStr">
        <is>
          <t>NB-0040</t>
        </is>
      </c>
      <c r="C4094" s="14" t="n">
        <v>19</v>
      </c>
      <c r="D4094" s="14">
        <f>IF(A4094&gt;LastWeek-364,1,0)</f>
        <v/>
      </c>
      <c r="E4094" s="14">
        <f>C4094^2*D4094</f>
        <v/>
      </c>
    </row>
    <row r="4095">
      <c r="A4095" s="26" t="n">
        <v>45551</v>
      </c>
      <c r="B4095" s="14" t="inlineStr">
        <is>
          <t>NB-0040</t>
        </is>
      </c>
      <c r="C4095" s="14" t="n">
        <v>16</v>
      </c>
      <c r="D4095" s="14">
        <f>IF(A4095&gt;LastWeek-364,1,0)</f>
        <v/>
      </c>
      <c r="E4095" s="14">
        <f>C4095^2*D4095</f>
        <v/>
      </c>
    </row>
    <row r="4096">
      <c r="A4096" s="26" t="n">
        <v>45558</v>
      </c>
      <c r="B4096" s="14" t="inlineStr">
        <is>
          <t>NB-0040</t>
        </is>
      </c>
      <c r="C4096" s="14" t="n">
        <v>16</v>
      </c>
      <c r="D4096" s="14">
        <f>IF(A4096&gt;LastWeek-364,1,0)</f>
        <v/>
      </c>
      <c r="E4096" s="14">
        <f>C4096^2*D4096</f>
        <v/>
      </c>
    </row>
    <row r="4097">
      <c r="A4097" s="26" t="n">
        <v>45565</v>
      </c>
      <c r="B4097" s="14" t="inlineStr">
        <is>
          <t>NB-0040</t>
        </is>
      </c>
      <c r="C4097" s="14" t="n">
        <v>24</v>
      </c>
      <c r="D4097" s="14">
        <f>IF(A4097&gt;LastWeek-364,1,0)</f>
        <v/>
      </c>
      <c r="E4097" s="14">
        <f>C4097^2*D4097</f>
        <v/>
      </c>
    </row>
    <row r="4098">
      <c r="A4098" s="26" t="n">
        <v>45572</v>
      </c>
      <c r="B4098" s="14" t="inlineStr">
        <is>
          <t>NB-0040</t>
        </is>
      </c>
      <c r="C4098" s="14" t="n">
        <v>19</v>
      </c>
      <c r="D4098" s="14">
        <f>IF(A4098&gt;LastWeek-364,1,0)</f>
        <v/>
      </c>
      <c r="E4098" s="14">
        <f>C4098^2*D4098</f>
        <v/>
      </c>
    </row>
    <row r="4099">
      <c r="A4099" s="26" t="n">
        <v>45579</v>
      </c>
      <c r="B4099" s="14" t="inlineStr">
        <is>
          <t>NB-0040</t>
        </is>
      </c>
      <c r="C4099" s="14" t="n">
        <v>19</v>
      </c>
      <c r="D4099" s="14">
        <f>IF(A4099&gt;LastWeek-364,1,0)</f>
        <v/>
      </c>
      <c r="E4099" s="14">
        <f>C4099^2*D4099</f>
        <v/>
      </c>
    </row>
    <row r="4100">
      <c r="A4100" s="26" t="n">
        <v>45586</v>
      </c>
      <c r="B4100" s="14" t="inlineStr">
        <is>
          <t>NB-0040</t>
        </is>
      </c>
      <c r="C4100" s="14" t="n">
        <v>17</v>
      </c>
      <c r="D4100" s="14">
        <f>IF(A4100&gt;LastWeek-364,1,0)</f>
        <v/>
      </c>
      <c r="E4100" s="14">
        <f>C4100^2*D4100</f>
        <v/>
      </c>
    </row>
    <row r="4101">
      <c r="A4101" s="26" t="n">
        <v>45593</v>
      </c>
      <c r="B4101" s="14" t="inlineStr">
        <is>
          <t>NB-0040</t>
        </is>
      </c>
      <c r="C4101" s="14" t="n">
        <v>17</v>
      </c>
      <c r="D4101" s="14">
        <f>IF(A4101&gt;LastWeek-364,1,0)</f>
        <v/>
      </c>
      <c r="E4101" s="14">
        <f>C4101^2*D4101</f>
        <v/>
      </c>
    </row>
    <row r="4102">
      <c r="A4102" s="26" t="n">
        <v>45600</v>
      </c>
      <c r="B4102" s="14" t="inlineStr">
        <is>
          <t>NB-0040</t>
        </is>
      </c>
      <c r="C4102" s="14" t="n">
        <v>11</v>
      </c>
      <c r="D4102" s="14">
        <f>IF(A4102&gt;LastWeek-364,1,0)</f>
        <v/>
      </c>
      <c r="E4102" s="14">
        <f>C4102^2*D4102</f>
        <v/>
      </c>
    </row>
    <row r="4103">
      <c r="A4103" s="26" t="n">
        <v>45607</v>
      </c>
      <c r="B4103" s="14" t="inlineStr">
        <is>
          <t>NB-0040</t>
        </is>
      </c>
      <c r="C4103" s="14" t="n">
        <v>23</v>
      </c>
      <c r="D4103" s="14">
        <f>IF(A4103&gt;LastWeek-364,1,0)</f>
        <v/>
      </c>
      <c r="E4103" s="14">
        <f>C4103^2*D4103</f>
        <v/>
      </c>
    </row>
    <row r="4104">
      <c r="A4104" s="26" t="n">
        <v>45614</v>
      </c>
      <c r="B4104" s="14" t="inlineStr">
        <is>
          <t>NB-0040</t>
        </is>
      </c>
      <c r="C4104" s="14" t="n">
        <v>21</v>
      </c>
      <c r="D4104" s="14">
        <f>IF(A4104&gt;LastWeek-364,1,0)</f>
        <v/>
      </c>
      <c r="E4104" s="14">
        <f>C4104^2*D4104</f>
        <v/>
      </c>
    </row>
    <row r="4105">
      <c r="A4105" s="26" t="n">
        <v>45621</v>
      </c>
      <c r="B4105" s="14" t="inlineStr">
        <is>
          <t>NB-0040</t>
        </is>
      </c>
      <c r="C4105" s="14" t="n">
        <v>19</v>
      </c>
      <c r="D4105" s="14">
        <f>IF(A4105&gt;LastWeek-364,1,0)</f>
        <v/>
      </c>
      <c r="E4105" s="14">
        <f>C4105^2*D4105</f>
        <v/>
      </c>
    </row>
    <row r="4106">
      <c r="A4106" s="26" t="n">
        <v>45628</v>
      </c>
      <c r="B4106" s="14" t="inlineStr">
        <is>
          <t>NB-0040</t>
        </is>
      </c>
      <c r="C4106" s="14" t="n">
        <v>20</v>
      </c>
      <c r="D4106" s="14">
        <f>IF(A4106&gt;LastWeek-364,1,0)</f>
        <v/>
      </c>
      <c r="E4106" s="14">
        <f>C4106^2*D4106</f>
        <v/>
      </c>
    </row>
    <row r="4107">
      <c r="A4107" s="26" t="n">
        <v>45635</v>
      </c>
      <c r="B4107" s="14" t="inlineStr">
        <is>
          <t>NB-0040</t>
        </is>
      </c>
      <c r="C4107" s="14" t="n">
        <v>23</v>
      </c>
      <c r="D4107" s="14">
        <f>IF(A4107&gt;LastWeek-364,1,0)</f>
        <v/>
      </c>
      <c r="E4107" s="14">
        <f>C4107^2*D4107</f>
        <v/>
      </c>
    </row>
    <row r="4108">
      <c r="A4108" s="26" t="n">
        <v>45642</v>
      </c>
      <c r="B4108" s="14" t="inlineStr">
        <is>
          <t>NB-0040</t>
        </is>
      </c>
      <c r="C4108" s="14" t="n">
        <v>14</v>
      </c>
      <c r="D4108" s="14">
        <f>IF(A4108&gt;LastWeek-364,1,0)</f>
        <v/>
      </c>
      <c r="E4108" s="14">
        <f>C4108^2*D4108</f>
        <v/>
      </c>
    </row>
    <row r="4109">
      <c r="A4109" s="26" t="n">
        <v>45649</v>
      </c>
      <c r="B4109" s="14" t="inlineStr">
        <is>
          <t>NB-0040</t>
        </is>
      </c>
      <c r="C4109" s="14" t="n">
        <v>18</v>
      </c>
      <c r="D4109" s="14">
        <f>IF(A4109&gt;LastWeek-364,1,0)</f>
        <v/>
      </c>
      <c r="E4109" s="14">
        <f>C4109^2*D4109</f>
        <v/>
      </c>
    </row>
    <row r="4110">
      <c r="A4110" s="26" t="n">
        <v>45656</v>
      </c>
      <c r="B4110" s="14" t="inlineStr">
        <is>
          <t>NB-0040</t>
        </is>
      </c>
      <c r="C4110" s="14" t="n">
        <v>16</v>
      </c>
      <c r="D4110" s="14">
        <f>IF(A4110&gt;LastWeek-364,1,0)</f>
        <v/>
      </c>
      <c r="E4110" s="14">
        <f>C4110^2*D4110</f>
        <v/>
      </c>
    </row>
    <row r="4111">
      <c r="A4111" s="26" t="n">
        <v>45663</v>
      </c>
      <c r="B4111" s="14" t="inlineStr">
        <is>
          <t>NB-0040</t>
        </is>
      </c>
      <c r="C4111" s="14" t="n">
        <v>28</v>
      </c>
      <c r="D4111" s="14">
        <f>IF(A4111&gt;LastWeek-364,1,0)</f>
        <v/>
      </c>
      <c r="E4111" s="14">
        <f>C4111^2*D4111</f>
        <v/>
      </c>
    </row>
    <row r="4112">
      <c r="A4112" s="26" t="n">
        <v>45670</v>
      </c>
      <c r="B4112" s="14" t="inlineStr">
        <is>
          <t>NB-0040</t>
        </is>
      </c>
      <c r="C4112" s="14" t="n">
        <v>24</v>
      </c>
      <c r="D4112" s="14">
        <f>IF(A4112&gt;LastWeek-364,1,0)</f>
        <v/>
      </c>
      <c r="E4112" s="14">
        <f>C4112^2*D4112</f>
        <v/>
      </c>
    </row>
    <row r="4113">
      <c r="A4113" s="26" t="n">
        <v>45677</v>
      </c>
      <c r="B4113" s="14" t="inlineStr">
        <is>
          <t>NB-0040</t>
        </is>
      </c>
      <c r="C4113" s="14" t="n">
        <v>12</v>
      </c>
      <c r="D4113" s="14">
        <f>IF(A4113&gt;LastWeek-364,1,0)</f>
        <v/>
      </c>
      <c r="E4113" s="14">
        <f>C4113^2*D4113</f>
        <v/>
      </c>
    </row>
    <row r="4114">
      <c r="A4114" s="26" t="n">
        <v>45684</v>
      </c>
      <c r="B4114" s="14" t="inlineStr">
        <is>
          <t>NB-0040</t>
        </is>
      </c>
      <c r="C4114" s="14" t="n">
        <v>15</v>
      </c>
      <c r="D4114" s="14">
        <f>IF(A4114&gt;LastWeek-364,1,0)</f>
        <v/>
      </c>
      <c r="E4114" s="14">
        <f>C4114^2*D4114</f>
        <v/>
      </c>
    </row>
    <row r="4115">
      <c r="A4115" s="26" t="n">
        <v>45691</v>
      </c>
      <c r="B4115" s="14" t="inlineStr">
        <is>
          <t>NB-0040</t>
        </is>
      </c>
      <c r="C4115" s="14" t="n">
        <v>20</v>
      </c>
      <c r="D4115" s="14">
        <f>IF(A4115&gt;LastWeek-364,1,0)</f>
        <v/>
      </c>
      <c r="E4115" s="14">
        <f>C4115^2*D4115</f>
        <v/>
      </c>
    </row>
    <row r="4116">
      <c r="A4116" s="26" t="n">
        <v>45698</v>
      </c>
      <c r="B4116" s="14" t="inlineStr">
        <is>
          <t>NB-0040</t>
        </is>
      </c>
      <c r="C4116" s="14" t="n">
        <v>19</v>
      </c>
      <c r="D4116" s="14">
        <f>IF(A4116&gt;LastWeek-364,1,0)</f>
        <v/>
      </c>
      <c r="E4116" s="14">
        <f>C4116^2*D4116</f>
        <v/>
      </c>
    </row>
    <row r="4117">
      <c r="A4117" s="26" t="n">
        <v>45705</v>
      </c>
      <c r="B4117" s="14" t="inlineStr">
        <is>
          <t>NB-0040</t>
        </is>
      </c>
      <c r="C4117" s="14" t="n">
        <v>15</v>
      </c>
      <c r="D4117" s="14">
        <f>IF(A4117&gt;LastWeek-364,1,0)</f>
        <v/>
      </c>
      <c r="E4117" s="14">
        <f>C4117^2*D4117</f>
        <v/>
      </c>
    </row>
    <row r="4118">
      <c r="A4118" s="26" t="n">
        <v>45712</v>
      </c>
      <c r="B4118" s="14" t="inlineStr">
        <is>
          <t>NB-0040</t>
        </is>
      </c>
      <c r="C4118" s="14" t="n">
        <v>28</v>
      </c>
      <c r="D4118" s="14">
        <f>IF(A4118&gt;LastWeek-364,1,0)</f>
        <v/>
      </c>
      <c r="E4118" s="14">
        <f>C4118^2*D4118</f>
        <v/>
      </c>
    </row>
    <row r="4119">
      <c r="A4119" s="26" t="n">
        <v>45719</v>
      </c>
      <c r="B4119" s="14" t="inlineStr">
        <is>
          <t>NB-0040</t>
        </is>
      </c>
      <c r="C4119" s="14" t="n">
        <v>21</v>
      </c>
      <c r="D4119" s="14">
        <f>IF(A4119&gt;LastWeek-364,1,0)</f>
        <v/>
      </c>
      <c r="E4119" s="14">
        <f>C4119^2*D4119</f>
        <v/>
      </c>
    </row>
    <row r="4120">
      <c r="A4120" s="26" t="n">
        <v>45726</v>
      </c>
      <c r="B4120" s="14" t="inlineStr">
        <is>
          <t>NB-0040</t>
        </is>
      </c>
      <c r="C4120" s="14" t="n">
        <v>22</v>
      </c>
      <c r="D4120" s="14">
        <f>IF(A4120&gt;LastWeek-364,1,0)</f>
        <v/>
      </c>
      <c r="E4120" s="14">
        <f>C4120^2*D4120</f>
        <v/>
      </c>
    </row>
    <row r="4121">
      <c r="A4121" s="26" t="n">
        <v>45733</v>
      </c>
      <c r="B4121" s="14" t="inlineStr">
        <is>
          <t>NB-0040</t>
        </is>
      </c>
      <c r="C4121" s="14" t="n">
        <v>17</v>
      </c>
      <c r="D4121" s="14">
        <f>IF(A4121&gt;LastWeek-364,1,0)</f>
        <v/>
      </c>
      <c r="E4121" s="14">
        <f>C4121^2*D4121</f>
        <v/>
      </c>
    </row>
    <row r="4122">
      <c r="A4122" s="26" t="n">
        <v>45740</v>
      </c>
      <c r="B4122" s="14" t="inlineStr">
        <is>
          <t>NB-0040</t>
        </is>
      </c>
      <c r="C4122" s="14" t="n">
        <v>22</v>
      </c>
      <c r="D4122" s="14">
        <f>IF(A4122&gt;LastWeek-364,1,0)</f>
        <v/>
      </c>
      <c r="E4122" s="14">
        <f>C4122^2*D4122</f>
        <v/>
      </c>
    </row>
    <row r="4123">
      <c r="A4123" s="26" t="n">
        <v>45747</v>
      </c>
      <c r="B4123" s="14" t="inlineStr">
        <is>
          <t>NB-0040</t>
        </is>
      </c>
      <c r="C4123" s="14" t="n">
        <v>18</v>
      </c>
      <c r="D4123" s="14">
        <f>IF(A4123&gt;LastWeek-364,1,0)</f>
        <v/>
      </c>
      <c r="E4123" s="14">
        <f>C4123^2*D4123</f>
        <v/>
      </c>
    </row>
    <row r="4124">
      <c r="A4124" s="26" t="n">
        <v>45754</v>
      </c>
      <c r="B4124" s="14" t="inlineStr">
        <is>
          <t>NB-0040</t>
        </is>
      </c>
      <c r="C4124" s="14" t="n">
        <v>18</v>
      </c>
      <c r="D4124" s="14">
        <f>IF(A4124&gt;LastWeek-364,1,0)</f>
        <v/>
      </c>
      <c r="E4124" s="14">
        <f>C4124^2*D4124</f>
        <v/>
      </c>
    </row>
    <row r="4125">
      <c r="A4125" s="26" t="n">
        <v>45761</v>
      </c>
      <c r="B4125" s="14" t="inlineStr">
        <is>
          <t>NB-0040</t>
        </is>
      </c>
      <c r="C4125" s="14" t="n">
        <v>21</v>
      </c>
      <c r="D4125" s="14">
        <f>IF(A4125&gt;LastWeek-364,1,0)</f>
        <v/>
      </c>
      <c r="E4125" s="14">
        <f>C4125^2*D4125</f>
        <v/>
      </c>
    </row>
    <row r="4126">
      <c r="A4126" s="26" t="n">
        <v>45768</v>
      </c>
      <c r="B4126" s="14" t="inlineStr">
        <is>
          <t>NB-0040</t>
        </is>
      </c>
      <c r="C4126" s="14" t="n">
        <v>13</v>
      </c>
      <c r="D4126" s="14">
        <f>IF(A4126&gt;LastWeek-364,1,0)</f>
        <v/>
      </c>
      <c r="E4126" s="14">
        <f>C4126^2*D4126</f>
        <v/>
      </c>
    </row>
    <row r="4127">
      <c r="A4127" s="26" t="n">
        <v>45775</v>
      </c>
      <c r="B4127" s="14" t="inlineStr">
        <is>
          <t>NB-0040</t>
        </is>
      </c>
      <c r="C4127" s="14" t="n">
        <v>24</v>
      </c>
      <c r="D4127" s="14">
        <f>IF(A4127&gt;LastWeek-364,1,0)</f>
        <v/>
      </c>
      <c r="E4127" s="14">
        <f>C4127^2*D4127</f>
        <v/>
      </c>
    </row>
    <row r="4128">
      <c r="A4128" s="26" t="n">
        <v>45782</v>
      </c>
      <c r="B4128" s="14" t="inlineStr">
        <is>
          <t>NB-0040</t>
        </is>
      </c>
      <c r="C4128" s="14" t="n">
        <v>19</v>
      </c>
      <c r="D4128" s="14">
        <f>IF(A4128&gt;LastWeek-364,1,0)</f>
        <v/>
      </c>
      <c r="E4128" s="14">
        <f>C4128^2*D4128</f>
        <v/>
      </c>
    </row>
    <row r="4129">
      <c r="A4129" s="26" t="n">
        <v>45789</v>
      </c>
      <c r="B4129" s="14" t="inlineStr">
        <is>
          <t>NB-0040</t>
        </is>
      </c>
      <c r="C4129" s="14" t="n">
        <v>22</v>
      </c>
      <c r="D4129" s="14">
        <f>IF(A4129&gt;LastWeek-364,1,0)</f>
        <v/>
      </c>
      <c r="E4129" s="14">
        <f>C4129^2*D4129</f>
        <v/>
      </c>
    </row>
    <row r="4130">
      <c r="A4130" s="26" t="n">
        <v>45796</v>
      </c>
      <c r="B4130" s="14" t="inlineStr">
        <is>
          <t>NB-0040</t>
        </is>
      </c>
      <c r="C4130" s="14" t="n">
        <v>14</v>
      </c>
      <c r="D4130" s="14">
        <f>IF(A4130&gt;LastWeek-364,1,0)</f>
        <v/>
      </c>
      <c r="E4130" s="14">
        <f>C4130^2*D4130</f>
        <v/>
      </c>
    </row>
    <row r="4131">
      <c r="A4131" s="26" t="n">
        <v>45803</v>
      </c>
      <c r="B4131" s="14" t="inlineStr">
        <is>
          <t>NB-0040</t>
        </is>
      </c>
      <c r="C4131" s="14" t="n">
        <v>14</v>
      </c>
      <c r="D4131" s="14">
        <f>IF(A4131&gt;LastWeek-364,1,0)</f>
        <v/>
      </c>
      <c r="E4131" s="14">
        <f>C4131^2*D4131</f>
        <v/>
      </c>
    </row>
    <row r="4132">
      <c r="A4132" s="26" t="n">
        <v>45810</v>
      </c>
      <c r="B4132" s="14" t="inlineStr">
        <is>
          <t>NB-0040</t>
        </is>
      </c>
      <c r="C4132" s="14" t="n">
        <v>13</v>
      </c>
      <c r="D4132" s="14">
        <f>IF(A4132&gt;LastWeek-364,1,0)</f>
        <v/>
      </c>
      <c r="E4132" s="14">
        <f>C4132^2*D4132</f>
        <v/>
      </c>
    </row>
    <row r="4133">
      <c r="A4133" s="26" t="n">
        <v>45817</v>
      </c>
      <c r="B4133" s="14" t="inlineStr">
        <is>
          <t>NB-0040</t>
        </is>
      </c>
      <c r="C4133" s="14" t="n">
        <v>18</v>
      </c>
      <c r="D4133" s="14">
        <f>IF(A4133&gt;LastWeek-364,1,0)</f>
        <v/>
      </c>
      <c r="E4133" s="14">
        <f>C4133^2*D4133</f>
        <v/>
      </c>
    </row>
    <row r="4134">
      <c r="A4134" s="26" t="n">
        <v>45824</v>
      </c>
      <c r="B4134" s="14" t="inlineStr">
        <is>
          <t>NB-0040</t>
        </is>
      </c>
      <c r="C4134" s="14" t="n">
        <v>17</v>
      </c>
      <c r="D4134" s="14">
        <f>IF(A4134&gt;LastWeek-364,1,0)</f>
        <v/>
      </c>
      <c r="E4134" s="14">
        <f>C4134^2*D4134</f>
        <v/>
      </c>
    </row>
    <row r="4135">
      <c r="A4135" s="26" t="n">
        <v>45831</v>
      </c>
      <c r="B4135" s="14" t="inlineStr">
        <is>
          <t>NB-0040</t>
        </is>
      </c>
      <c r="C4135" s="14" t="n">
        <v>15</v>
      </c>
      <c r="D4135" s="14">
        <f>IF(A4135&gt;LastWeek-364,1,0)</f>
        <v/>
      </c>
      <c r="E4135" s="14">
        <f>C4135^2*D4135</f>
        <v/>
      </c>
    </row>
    <row r="4136">
      <c r="A4136" s="26" t="n">
        <v>45838</v>
      </c>
      <c r="B4136" s="14" t="inlineStr">
        <is>
          <t>NB-0040</t>
        </is>
      </c>
      <c r="C4136" s="14" t="n">
        <v>14</v>
      </c>
      <c r="D4136" s="14">
        <f>IF(A4136&gt;LastWeek-364,1,0)</f>
        <v/>
      </c>
      <c r="E4136" s="14">
        <f>C4136^2*D4136</f>
        <v/>
      </c>
    </row>
    <row r="4137">
      <c r="A4137" s="26" t="n">
        <v>45845</v>
      </c>
      <c r="B4137" s="14" t="inlineStr">
        <is>
          <t>NB-0040</t>
        </is>
      </c>
      <c r="C4137" s="14" t="n">
        <v>13</v>
      </c>
      <c r="D4137" s="14">
        <f>IF(A4137&gt;LastWeek-364,1,0)</f>
        <v/>
      </c>
      <c r="E4137" s="14">
        <f>C4137^2*D4137</f>
        <v/>
      </c>
    </row>
    <row r="4138">
      <c r="A4138" s="26" t="n">
        <v>45852</v>
      </c>
      <c r="B4138" s="14" t="inlineStr">
        <is>
          <t>NB-0040</t>
        </is>
      </c>
      <c r="C4138" s="14" t="n">
        <v>17</v>
      </c>
      <c r="D4138" s="14">
        <f>IF(A4138&gt;LastWeek-364,1,0)</f>
        <v/>
      </c>
      <c r="E4138" s="14">
        <f>C4138^2*D4138</f>
        <v/>
      </c>
    </row>
    <row r="4139">
      <c r="A4139" s="26" t="n">
        <v>45859</v>
      </c>
      <c r="B4139" s="14" t="inlineStr">
        <is>
          <t>NB-0040</t>
        </is>
      </c>
      <c r="C4139" s="14" t="n">
        <v>16</v>
      </c>
      <c r="D4139" s="14">
        <f>IF(A4139&gt;LastWeek-364,1,0)</f>
        <v/>
      </c>
      <c r="E4139" s="14">
        <f>C4139^2*D4139</f>
        <v/>
      </c>
    </row>
    <row r="4140">
      <c r="A4140" s="26" t="n">
        <v>45866</v>
      </c>
      <c r="B4140" s="14" t="inlineStr">
        <is>
          <t>NB-0040</t>
        </is>
      </c>
      <c r="C4140" s="14" t="n">
        <v>15</v>
      </c>
      <c r="D4140" s="14">
        <f>IF(A4140&gt;LastWeek-364,1,0)</f>
        <v/>
      </c>
      <c r="E4140" s="14">
        <f>C4140^2*D4140</f>
        <v/>
      </c>
    </row>
    <row r="4141">
      <c r="A4141" s="26" t="n">
        <v>45873</v>
      </c>
      <c r="B4141" s="14" t="inlineStr">
        <is>
          <t>NB-0040</t>
        </is>
      </c>
      <c r="C4141" s="14" t="n">
        <v>23</v>
      </c>
      <c r="D4141" s="14">
        <f>IF(A4141&gt;LastWeek-364,1,0)</f>
        <v/>
      </c>
      <c r="E4141" s="14">
        <f>C4141^2*D4141</f>
        <v/>
      </c>
    </row>
    <row r="4142">
      <c r="A4142" s="26" t="n">
        <v>45880</v>
      </c>
      <c r="B4142" s="14" t="inlineStr">
        <is>
          <t>NB-0040</t>
        </is>
      </c>
      <c r="C4142" s="14" t="n">
        <v>17</v>
      </c>
      <c r="D4142" s="14">
        <f>IF(A4142&gt;LastWeek-364,1,0)</f>
        <v/>
      </c>
      <c r="E4142" s="14">
        <f>C4142^2*D4142</f>
        <v/>
      </c>
    </row>
    <row r="4143">
      <c r="A4143" s="26" t="n">
        <v>45887</v>
      </c>
      <c r="B4143" s="14" t="inlineStr">
        <is>
          <t>NB-0040</t>
        </is>
      </c>
      <c r="C4143" s="14" t="n">
        <v>22</v>
      </c>
      <c r="D4143" s="14">
        <f>IF(A4143&gt;LastWeek-364,1,0)</f>
        <v/>
      </c>
      <c r="E4143" s="14">
        <f>C4143^2*D4143</f>
        <v/>
      </c>
    </row>
    <row r="4144">
      <c r="A4144" s="26" t="n">
        <v>45894</v>
      </c>
      <c r="B4144" s="14" t="inlineStr">
        <is>
          <t>NB-0040</t>
        </is>
      </c>
      <c r="C4144" s="14" t="n">
        <v>16</v>
      </c>
      <c r="D4144" s="14">
        <f>IF(A4144&gt;LastWeek-364,1,0)</f>
        <v/>
      </c>
      <c r="E4144" s="14">
        <f>C4144^2*D4144</f>
        <v/>
      </c>
    </row>
    <row r="4145">
      <c r="A4145" s="26" t="n">
        <v>45901</v>
      </c>
      <c r="B4145" s="14" t="inlineStr">
        <is>
          <t>NB-0040</t>
        </is>
      </c>
      <c r="C4145" s="14" t="n">
        <v>19</v>
      </c>
      <c r="D4145" s="14">
        <f>IF(A4145&gt;LastWeek-364,1,0)</f>
        <v/>
      </c>
      <c r="E4145" s="14">
        <f>C4145^2*D4145</f>
        <v/>
      </c>
    </row>
    <row r="4146">
      <c r="A4146" s="26" t="n">
        <v>45908</v>
      </c>
      <c r="B4146" s="14" t="inlineStr">
        <is>
          <t>NB-0040</t>
        </is>
      </c>
      <c r="C4146" s="14" t="n">
        <v>19</v>
      </c>
      <c r="D4146" s="14">
        <f>IF(A4146&gt;LastWeek-364,1,0)</f>
        <v/>
      </c>
      <c r="E4146" s="14">
        <f>C4146^2*D4146</f>
        <v/>
      </c>
    </row>
    <row r="4147">
      <c r="A4147" s="26" t="n">
        <v>45915</v>
      </c>
      <c r="B4147" s="14" t="inlineStr">
        <is>
          <t>NB-0040</t>
        </is>
      </c>
      <c r="C4147" s="14" t="n">
        <v>13</v>
      </c>
      <c r="D4147" s="14">
        <f>IF(A4147&gt;LastWeek-364,1,0)</f>
        <v/>
      </c>
      <c r="E4147" s="14">
        <f>C4147^2*D4147</f>
        <v/>
      </c>
    </row>
    <row r="4148">
      <c r="A4148" s="26" t="n">
        <v>45922</v>
      </c>
      <c r="B4148" s="14" t="inlineStr">
        <is>
          <t>NB-0040</t>
        </is>
      </c>
      <c r="C4148" s="14" t="n">
        <v>25</v>
      </c>
      <c r="D4148" s="14">
        <f>IF(A4148&gt;LastWeek-364,1,0)</f>
        <v/>
      </c>
      <c r="E4148" s="14">
        <f>C4148^2*D4148</f>
        <v/>
      </c>
    </row>
    <row r="4149">
      <c r="A4149" s="26" t="n">
        <v>45929</v>
      </c>
      <c r="B4149" s="14" t="inlineStr">
        <is>
          <t>NB-0040</t>
        </is>
      </c>
      <c r="C4149" s="14" t="n">
        <v>19</v>
      </c>
      <c r="D4149" s="14">
        <f>IF(A4149&gt;LastWeek-364,1,0)</f>
        <v/>
      </c>
      <c r="E4149" s="14">
        <f>C4149^2*D4149</f>
        <v/>
      </c>
    </row>
    <row r="4150">
      <c r="A4150" s="26" t="n">
        <v>45936</v>
      </c>
      <c r="B4150" s="14" t="inlineStr">
        <is>
          <t>NB-0040</t>
        </is>
      </c>
      <c r="C4150" s="14" t="n">
        <v>23</v>
      </c>
      <c r="D4150" s="14">
        <f>IF(A4150&gt;LastWeek-364,1,0)</f>
        <v/>
      </c>
      <c r="E4150" s="14">
        <f>C4150^2*D4150</f>
        <v/>
      </c>
    </row>
    <row r="4151">
      <c r="A4151" s="26" t="n">
        <v>45943</v>
      </c>
      <c r="B4151" s="14" t="inlineStr">
        <is>
          <t>NB-0040</t>
        </is>
      </c>
      <c r="C4151" s="14" t="n">
        <v>18</v>
      </c>
      <c r="D4151" s="14">
        <f>IF(A4151&gt;LastWeek-364,1,0)</f>
        <v/>
      </c>
      <c r="E4151" s="14">
        <f>C4151^2*D4151</f>
        <v/>
      </c>
    </row>
    <row r="4152">
      <c r="A4152" s="26" t="n">
        <v>45950</v>
      </c>
      <c r="B4152" s="14" t="inlineStr">
        <is>
          <t>NB-0040</t>
        </is>
      </c>
      <c r="C4152" s="14" t="n">
        <v>20</v>
      </c>
      <c r="D4152" s="14">
        <f>IF(A4152&gt;LastWeek-364,1,0)</f>
        <v/>
      </c>
      <c r="E4152" s="14">
        <f>C4152^2*D4152</f>
        <v/>
      </c>
    </row>
    <row r="4153">
      <c r="A4153" s="26" t="n">
        <v>45957</v>
      </c>
      <c r="B4153" s="14" t="inlineStr">
        <is>
          <t>NB-0040</t>
        </is>
      </c>
      <c r="C4153" s="14" t="n">
        <v>18</v>
      </c>
      <c r="D4153" s="14">
        <f>IF(A4153&gt;LastWeek-364,1,0)</f>
        <v/>
      </c>
      <c r="E4153" s="14">
        <f>C4153^2*D4153</f>
        <v/>
      </c>
    </row>
    <row r="4154">
      <c r="A4154" s="26" t="n">
        <v>45964</v>
      </c>
      <c r="B4154" s="14" t="inlineStr">
        <is>
          <t>NB-0040</t>
        </is>
      </c>
      <c r="C4154" s="14" t="n">
        <v>27</v>
      </c>
      <c r="D4154" s="14">
        <f>IF(A4154&gt;LastWeek-364,1,0)</f>
        <v/>
      </c>
      <c r="E4154" s="14">
        <f>C4154^2*D4154</f>
        <v/>
      </c>
    </row>
    <row r="4155">
      <c r="A4155" s="26" t="n">
        <v>45971</v>
      </c>
      <c r="B4155" s="14" t="inlineStr">
        <is>
          <t>NB-0040</t>
        </is>
      </c>
      <c r="C4155" s="14" t="n">
        <v>23</v>
      </c>
      <c r="D4155" s="14">
        <f>IF(A4155&gt;LastWeek-364,1,0)</f>
        <v/>
      </c>
      <c r="E4155" s="14">
        <f>C4155^2*D4155</f>
        <v/>
      </c>
    </row>
    <row r="4156">
      <c r="A4156" s="26" t="n">
        <v>45978</v>
      </c>
      <c r="B4156" s="14" t="inlineStr">
        <is>
          <t>NB-0040</t>
        </is>
      </c>
      <c r="C4156" s="14" t="n">
        <v>24</v>
      </c>
      <c r="D4156" s="14">
        <f>IF(A4156&gt;LastWeek-364,1,0)</f>
        <v/>
      </c>
      <c r="E4156" s="14">
        <f>C4156^2*D4156</f>
        <v/>
      </c>
    </row>
    <row r="4157">
      <c r="A4157" s="26" t="n">
        <v>45985</v>
      </c>
      <c r="B4157" s="14" t="inlineStr">
        <is>
          <t>NB-0040</t>
        </is>
      </c>
      <c r="C4157" s="14" t="n">
        <v>29</v>
      </c>
      <c r="D4157" s="14">
        <f>IF(A4157&gt;LastWeek-364,1,0)</f>
        <v/>
      </c>
      <c r="E4157" s="14">
        <f>C4157^2*D4157</f>
        <v/>
      </c>
    </row>
    <row r="4158">
      <c r="A4158" s="26" t="n">
        <v>45992</v>
      </c>
      <c r="B4158" s="14" t="inlineStr">
        <is>
          <t>NB-0040</t>
        </is>
      </c>
      <c r="C4158" s="14" t="n">
        <v>28</v>
      </c>
      <c r="D4158" s="14">
        <f>IF(A4158&gt;LastWeek-364,1,0)</f>
        <v/>
      </c>
      <c r="E4158" s="14">
        <f>C4158^2*D4158</f>
        <v/>
      </c>
    </row>
    <row r="4159">
      <c r="A4159" s="26" t="n">
        <v>45999</v>
      </c>
      <c r="B4159" s="14" t="inlineStr">
        <is>
          <t>NB-0040</t>
        </is>
      </c>
      <c r="C4159" s="14" t="n">
        <v>27</v>
      </c>
      <c r="D4159" s="14">
        <f>IF(A4159&gt;LastWeek-364,1,0)</f>
        <v/>
      </c>
      <c r="E4159" s="14">
        <f>C4159^2*D4159</f>
        <v/>
      </c>
    </row>
    <row r="4160">
      <c r="A4160" s="26" t="n">
        <v>46006</v>
      </c>
      <c r="B4160" s="14" t="inlineStr">
        <is>
          <t>NB-0040</t>
        </is>
      </c>
      <c r="C4160" s="14" t="n">
        <v>17</v>
      </c>
      <c r="D4160" s="14">
        <f>IF(A4160&gt;LastWeek-364,1,0)</f>
        <v/>
      </c>
      <c r="E4160" s="14">
        <f>C4160^2*D4160</f>
        <v/>
      </c>
    </row>
    <row r="4161">
      <c r="A4161" s="26" t="n">
        <v>46013</v>
      </c>
      <c r="B4161" s="14" t="inlineStr">
        <is>
          <t>NB-0040</t>
        </is>
      </c>
      <c r="C4161" s="14" t="n">
        <v>20</v>
      </c>
      <c r="D4161" s="14">
        <f>IF(A4161&gt;LastWeek-364,1,0)</f>
        <v/>
      </c>
      <c r="E4161" s="14">
        <f>C4161^2*D4161</f>
        <v/>
      </c>
    </row>
    <row r="4162">
      <c r="A4162" s="26" t="n">
        <v>45292</v>
      </c>
      <c r="B4162" s="14" t="inlineStr">
        <is>
          <t>NB-0041</t>
        </is>
      </c>
      <c r="C4162" s="14" t="n">
        <v>13</v>
      </c>
      <c r="D4162" s="14">
        <f>IF(A4162&gt;LastWeek-364,1,0)</f>
        <v/>
      </c>
      <c r="E4162" s="14">
        <f>C4162^2*D4162</f>
        <v/>
      </c>
    </row>
    <row r="4163">
      <c r="A4163" s="26" t="n">
        <v>45299</v>
      </c>
      <c r="B4163" s="14" t="inlineStr">
        <is>
          <t>NB-0041</t>
        </is>
      </c>
      <c r="C4163" s="14" t="n">
        <v>15</v>
      </c>
      <c r="D4163" s="14">
        <f>IF(A4163&gt;LastWeek-364,1,0)</f>
        <v/>
      </c>
      <c r="E4163" s="14">
        <f>C4163^2*D4163</f>
        <v/>
      </c>
    </row>
    <row r="4164">
      <c r="A4164" s="26" t="n">
        <v>45306</v>
      </c>
      <c r="B4164" s="14" t="inlineStr">
        <is>
          <t>NB-0041</t>
        </is>
      </c>
      <c r="C4164" s="14" t="n">
        <v>14</v>
      </c>
      <c r="D4164" s="14">
        <f>IF(A4164&gt;LastWeek-364,1,0)</f>
        <v/>
      </c>
      <c r="E4164" s="14">
        <f>C4164^2*D4164</f>
        <v/>
      </c>
    </row>
    <row r="4165">
      <c r="A4165" s="26" t="n">
        <v>45313</v>
      </c>
      <c r="B4165" s="14" t="inlineStr">
        <is>
          <t>NB-0041</t>
        </is>
      </c>
      <c r="C4165" s="14" t="n">
        <v>12</v>
      </c>
      <c r="D4165" s="14">
        <f>IF(A4165&gt;LastWeek-364,1,0)</f>
        <v/>
      </c>
      <c r="E4165" s="14">
        <f>C4165^2*D4165</f>
        <v/>
      </c>
    </row>
    <row r="4166">
      <c r="A4166" s="26" t="n">
        <v>45320</v>
      </c>
      <c r="B4166" s="14" t="inlineStr">
        <is>
          <t>NB-0041</t>
        </is>
      </c>
      <c r="C4166" s="14" t="n">
        <v>14</v>
      </c>
      <c r="D4166" s="14">
        <f>IF(A4166&gt;LastWeek-364,1,0)</f>
        <v/>
      </c>
      <c r="E4166" s="14">
        <f>C4166^2*D4166</f>
        <v/>
      </c>
    </row>
    <row r="4167">
      <c r="A4167" s="26" t="n">
        <v>45327</v>
      </c>
      <c r="B4167" s="14" t="inlineStr">
        <is>
          <t>NB-0041</t>
        </is>
      </c>
      <c r="C4167" s="14" t="n">
        <v>12</v>
      </c>
      <c r="D4167" s="14">
        <f>IF(A4167&gt;LastWeek-364,1,0)</f>
        <v/>
      </c>
      <c r="E4167" s="14">
        <f>C4167^2*D4167</f>
        <v/>
      </c>
    </row>
    <row r="4168">
      <c r="A4168" s="26" t="n">
        <v>45334</v>
      </c>
      <c r="B4168" s="14" t="inlineStr">
        <is>
          <t>NB-0041</t>
        </is>
      </c>
      <c r="C4168" s="14" t="n">
        <v>14</v>
      </c>
      <c r="D4168" s="14">
        <f>IF(A4168&gt;LastWeek-364,1,0)</f>
        <v/>
      </c>
      <c r="E4168" s="14">
        <f>C4168^2*D4168</f>
        <v/>
      </c>
    </row>
    <row r="4169">
      <c r="A4169" s="26" t="n">
        <v>45341</v>
      </c>
      <c r="B4169" s="14" t="inlineStr">
        <is>
          <t>NB-0041</t>
        </is>
      </c>
      <c r="C4169" s="14" t="n">
        <v>12</v>
      </c>
      <c r="D4169" s="14">
        <f>IF(A4169&gt;LastWeek-364,1,0)</f>
        <v/>
      </c>
      <c r="E4169" s="14">
        <f>C4169^2*D4169</f>
        <v/>
      </c>
    </row>
    <row r="4170">
      <c r="A4170" s="26" t="n">
        <v>45348</v>
      </c>
      <c r="B4170" s="14" t="inlineStr">
        <is>
          <t>NB-0041</t>
        </is>
      </c>
      <c r="C4170" s="14" t="n">
        <v>14</v>
      </c>
      <c r="D4170" s="14">
        <f>IF(A4170&gt;LastWeek-364,1,0)</f>
        <v/>
      </c>
      <c r="E4170" s="14">
        <f>C4170^2*D4170</f>
        <v/>
      </c>
    </row>
    <row r="4171">
      <c r="A4171" s="26" t="n">
        <v>45355</v>
      </c>
      <c r="B4171" s="14" t="inlineStr">
        <is>
          <t>NB-0041</t>
        </is>
      </c>
      <c r="C4171" s="14" t="n">
        <v>14</v>
      </c>
      <c r="D4171" s="14">
        <f>IF(A4171&gt;LastWeek-364,1,0)</f>
        <v/>
      </c>
      <c r="E4171" s="14">
        <f>C4171^2*D4171</f>
        <v/>
      </c>
    </row>
    <row r="4172">
      <c r="A4172" s="26" t="n">
        <v>45362</v>
      </c>
      <c r="B4172" s="14" t="inlineStr">
        <is>
          <t>NB-0041</t>
        </is>
      </c>
      <c r="C4172" s="14" t="n">
        <v>15</v>
      </c>
      <c r="D4172" s="14">
        <f>IF(A4172&gt;LastWeek-364,1,0)</f>
        <v/>
      </c>
      <c r="E4172" s="14">
        <f>C4172^2*D4172</f>
        <v/>
      </c>
    </row>
    <row r="4173">
      <c r="A4173" s="26" t="n">
        <v>45369</v>
      </c>
      <c r="B4173" s="14" t="inlineStr">
        <is>
          <t>NB-0041</t>
        </is>
      </c>
      <c r="C4173" s="14" t="n">
        <v>14</v>
      </c>
      <c r="D4173" s="14">
        <f>IF(A4173&gt;LastWeek-364,1,0)</f>
        <v/>
      </c>
      <c r="E4173" s="14">
        <f>C4173^2*D4173</f>
        <v/>
      </c>
    </row>
    <row r="4174">
      <c r="A4174" s="26" t="n">
        <v>45376</v>
      </c>
      <c r="B4174" s="14" t="inlineStr">
        <is>
          <t>NB-0041</t>
        </is>
      </c>
      <c r="C4174" s="14" t="n">
        <v>12</v>
      </c>
      <c r="D4174" s="14">
        <f>IF(A4174&gt;LastWeek-364,1,0)</f>
        <v/>
      </c>
      <c r="E4174" s="14">
        <f>C4174^2*D4174</f>
        <v/>
      </c>
    </row>
    <row r="4175">
      <c r="A4175" s="26" t="n">
        <v>45383</v>
      </c>
      <c r="B4175" s="14" t="inlineStr">
        <is>
          <t>NB-0041</t>
        </is>
      </c>
      <c r="C4175" s="14" t="n">
        <v>14</v>
      </c>
      <c r="D4175" s="14">
        <f>IF(A4175&gt;LastWeek-364,1,0)</f>
        <v/>
      </c>
      <c r="E4175" s="14">
        <f>C4175^2*D4175</f>
        <v/>
      </c>
    </row>
    <row r="4176">
      <c r="A4176" s="26" t="n">
        <v>45390</v>
      </c>
      <c r="B4176" s="14" t="inlineStr">
        <is>
          <t>NB-0041</t>
        </is>
      </c>
      <c r="C4176" s="14" t="n">
        <v>11</v>
      </c>
      <c r="D4176" s="14">
        <f>IF(A4176&gt;LastWeek-364,1,0)</f>
        <v/>
      </c>
      <c r="E4176" s="14">
        <f>C4176^2*D4176</f>
        <v/>
      </c>
    </row>
    <row r="4177">
      <c r="A4177" s="26" t="n">
        <v>45397</v>
      </c>
      <c r="B4177" s="14" t="inlineStr">
        <is>
          <t>NB-0041</t>
        </is>
      </c>
      <c r="C4177" s="14" t="n">
        <v>11</v>
      </c>
      <c r="D4177" s="14">
        <f>IF(A4177&gt;LastWeek-364,1,0)</f>
        <v/>
      </c>
      <c r="E4177" s="14">
        <f>C4177^2*D4177</f>
        <v/>
      </c>
    </row>
    <row r="4178">
      <c r="A4178" s="26" t="n">
        <v>45404</v>
      </c>
      <c r="B4178" s="14" t="inlineStr">
        <is>
          <t>NB-0041</t>
        </is>
      </c>
      <c r="C4178" s="14" t="n">
        <v>12</v>
      </c>
      <c r="D4178" s="14">
        <f>IF(A4178&gt;LastWeek-364,1,0)</f>
        <v/>
      </c>
      <c r="E4178" s="14">
        <f>C4178^2*D4178</f>
        <v/>
      </c>
    </row>
    <row r="4179">
      <c r="A4179" s="26" t="n">
        <v>45411</v>
      </c>
      <c r="B4179" s="14" t="inlineStr">
        <is>
          <t>NB-0041</t>
        </is>
      </c>
      <c r="C4179" s="14" t="n">
        <v>10</v>
      </c>
      <c r="D4179" s="14">
        <f>IF(A4179&gt;LastWeek-364,1,0)</f>
        <v/>
      </c>
      <c r="E4179" s="14">
        <f>C4179^2*D4179</f>
        <v/>
      </c>
    </row>
    <row r="4180">
      <c r="A4180" s="26" t="n">
        <v>45418</v>
      </c>
      <c r="B4180" s="14" t="inlineStr">
        <is>
          <t>NB-0041</t>
        </is>
      </c>
      <c r="C4180" s="14" t="n">
        <v>12</v>
      </c>
      <c r="D4180" s="14">
        <f>IF(A4180&gt;LastWeek-364,1,0)</f>
        <v/>
      </c>
      <c r="E4180" s="14">
        <f>C4180^2*D4180</f>
        <v/>
      </c>
    </row>
    <row r="4181">
      <c r="A4181" s="26" t="n">
        <v>45425</v>
      </c>
      <c r="B4181" s="14" t="inlineStr">
        <is>
          <t>NB-0041</t>
        </is>
      </c>
      <c r="C4181" s="14" t="n">
        <v>11</v>
      </c>
      <c r="D4181" s="14">
        <f>IF(A4181&gt;LastWeek-364,1,0)</f>
        <v/>
      </c>
      <c r="E4181" s="14">
        <f>C4181^2*D4181</f>
        <v/>
      </c>
    </row>
    <row r="4182">
      <c r="A4182" s="26" t="n">
        <v>45432</v>
      </c>
      <c r="B4182" s="14" t="inlineStr">
        <is>
          <t>NB-0041</t>
        </is>
      </c>
      <c r="C4182" s="14" t="n">
        <v>12</v>
      </c>
      <c r="D4182" s="14">
        <f>IF(A4182&gt;LastWeek-364,1,0)</f>
        <v/>
      </c>
      <c r="E4182" s="14">
        <f>C4182^2*D4182</f>
        <v/>
      </c>
    </row>
    <row r="4183">
      <c r="A4183" s="26" t="n">
        <v>45439</v>
      </c>
      <c r="B4183" s="14" t="inlineStr">
        <is>
          <t>NB-0041</t>
        </is>
      </c>
      <c r="C4183" s="14" t="n">
        <v>10</v>
      </c>
      <c r="D4183" s="14">
        <f>IF(A4183&gt;LastWeek-364,1,0)</f>
        <v/>
      </c>
      <c r="E4183" s="14">
        <f>C4183^2*D4183</f>
        <v/>
      </c>
    </row>
    <row r="4184">
      <c r="A4184" s="26" t="n">
        <v>45446</v>
      </c>
      <c r="B4184" s="14" t="inlineStr">
        <is>
          <t>NB-0041</t>
        </is>
      </c>
      <c r="C4184" s="14" t="n">
        <v>12</v>
      </c>
      <c r="D4184" s="14">
        <f>IF(A4184&gt;LastWeek-364,1,0)</f>
        <v/>
      </c>
      <c r="E4184" s="14">
        <f>C4184^2*D4184</f>
        <v/>
      </c>
    </row>
    <row r="4185">
      <c r="A4185" s="26" t="n">
        <v>45453</v>
      </c>
      <c r="B4185" s="14" t="inlineStr">
        <is>
          <t>NB-0041</t>
        </is>
      </c>
      <c r="C4185" s="14" t="n">
        <v>11</v>
      </c>
      <c r="D4185" s="14">
        <f>IF(A4185&gt;LastWeek-364,1,0)</f>
        <v/>
      </c>
      <c r="E4185" s="14">
        <f>C4185^2*D4185</f>
        <v/>
      </c>
    </row>
    <row r="4186">
      <c r="A4186" s="26" t="n">
        <v>45460</v>
      </c>
      <c r="B4186" s="14" t="inlineStr">
        <is>
          <t>NB-0041</t>
        </is>
      </c>
      <c r="C4186" s="14" t="n">
        <v>12</v>
      </c>
      <c r="D4186" s="14">
        <f>IF(A4186&gt;LastWeek-364,1,0)</f>
        <v/>
      </c>
      <c r="E4186" s="14">
        <f>C4186^2*D4186</f>
        <v/>
      </c>
    </row>
    <row r="4187">
      <c r="A4187" s="26" t="n">
        <v>45467</v>
      </c>
      <c r="B4187" s="14" t="inlineStr">
        <is>
          <t>NB-0041</t>
        </is>
      </c>
      <c r="C4187" s="14" t="n">
        <v>11</v>
      </c>
      <c r="D4187" s="14">
        <f>IF(A4187&gt;LastWeek-364,1,0)</f>
        <v/>
      </c>
      <c r="E4187" s="14">
        <f>C4187^2*D4187</f>
        <v/>
      </c>
    </row>
    <row r="4188">
      <c r="A4188" s="26" t="n">
        <v>45474</v>
      </c>
      <c r="B4188" s="14" t="inlineStr">
        <is>
          <t>NB-0041</t>
        </is>
      </c>
      <c r="C4188" s="14" t="n">
        <v>10</v>
      </c>
      <c r="D4188" s="14">
        <f>IF(A4188&gt;LastWeek-364,1,0)</f>
        <v/>
      </c>
      <c r="E4188" s="14">
        <f>C4188^2*D4188</f>
        <v/>
      </c>
    </row>
    <row r="4189">
      <c r="A4189" s="26" t="n">
        <v>45481</v>
      </c>
      <c r="B4189" s="14" t="inlineStr">
        <is>
          <t>NB-0041</t>
        </is>
      </c>
      <c r="C4189" s="14" t="n">
        <v>11</v>
      </c>
      <c r="D4189" s="14">
        <f>IF(A4189&gt;LastWeek-364,1,0)</f>
        <v/>
      </c>
      <c r="E4189" s="14">
        <f>C4189^2*D4189</f>
        <v/>
      </c>
    </row>
    <row r="4190">
      <c r="A4190" s="26" t="n">
        <v>45488</v>
      </c>
      <c r="B4190" s="14" t="inlineStr">
        <is>
          <t>NB-0041</t>
        </is>
      </c>
      <c r="C4190" s="14" t="n">
        <v>10</v>
      </c>
      <c r="D4190" s="14">
        <f>IF(A4190&gt;LastWeek-364,1,0)</f>
        <v/>
      </c>
      <c r="E4190" s="14">
        <f>C4190^2*D4190</f>
        <v/>
      </c>
    </row>
    <row r="4191">
      <c r="A4191" s="26" t="n">
        <v>45495</v>
      </c>
      <c r="B4191" s="14" t="inlineStr">
        <is>
          <t>NB-0041</t>
        </is>
      </c>
      <c r="C4191" s="14" t="n">
        <v>11</v>
      </c>
      <c r="D4191" s="14">
        <f>IF(A4191&gt;LastWeek-364,1,0)</f>
        <v/>
      </c>
      <c r="E4191" s="14">
        <f>C4191^2*D4191</f>
        <v/>
      </c>
    </row>
    <row r="4192">
      <c r="A4192" s="26" t="n">
        <v>45502</v>
      </c>
      <c r="B4192" s="14" t="inlineStr">
        <is>
          <t>NB-0041</t>
        </is>
      </c>
      <c r="C4192" s="14" t="n">
        <v>12</v>
      </c>
      <c r="D4192" s="14">
        <f>IF(A4192&gt;LastWeek-364,1,0)</f>
        <v/>
      </c>
      <c r="E4192" s="14">
        <f>C4192^2*D4192</f>
        <v/>
      </c>
    </row>
    <row r="4193">
      <c r="A4193" s="26" t="n">
        <v>45509</v>
      </c>
      <c r="B4193" s="14" t="inlineStr">
        <is>
          <t>NB-0041</t>
        </is>
      </c>
      <c r="C4193" s="14" t="n">
        <v>14</v>
      </c>
      <c r="D4193" s="14">
        <f>IF(A4193&gt;LastWeek-364,1,0)</f>
        <v/>
      </c>
      <c r="E4193" s="14">
        <f>C4193^2*D4193</f>
        <v/>
      </c>
    </row>
    <row r="4194">
      <c r="A4194" s="26" t="n">
        <v>45516</v>
      </c>
      <c r="B4194" s="14" t="inlineStr">
        <is>
          <t>NB-0041</t>
        </is>
      </c>
      <c r="C4194" s="14" t="n">
        <v>11</v>
      </c>
      <c r="D4194" s="14">
        <f>IF(A4194&gt;LastWeek-364,1,0)</f>
        <v/>
      </c>
      <c r="E4194" s="14">
        <f>C4194^2*D4194</f>
        <v/>
      </c>
    </row>
    <row r="4195">
      <c r="A4195" s="26" t="n">
        <v>45523</v>
      </c>
      <c r="B4195" s="14" t="inlineStr">
        <is>
          <t>NB-0041</t>
        </is>
      </c>
      <c r="C4195" s="14" t="n">
        <v>11</v>
      </c>
      <c r="D4195" s="14">
        <f>IF(A4195&gt;LastWeek-364,1,0)</f>
        <v/>
      </c>
      <c r="E4195" s="14">
        <f>C4195^2*D4195</f>
        <v/>
      </c>
    </row>
    <row r="4196">
      <c r="A4196" s="26" t="n">
        <v>45530</v>
      </c>
      <c r="B4196" s="14" t="inlineStr">
        <is>
          <t>NB-0041</t>
        </is>
      </c>
      <c r="C4196" s="14" t="n">
        <v>11</v>
      </c>
      <c r="D4196" s="14">
        <f>IF(A4196&gt;LastWeek-364,1,0)</f>
        <v/>
      </c>
      <c r="E4196" s="14">
        <f>C4196^2*D4196</f>
        <v/>
      </c>
    </row>
    <row r="4197">
      <c r="A4197" s="26" t="n">
        <v>45537</v>
      </c>
      <c r="B4197" s="14" t="inlineStr">
        <is>
          <t>NB-0041</t>
        </is>
      </c>
      <c r="C4197" s="14" t="n">
        <v>12</v>
      </c>
      <c r="D4197" s="14">
        <f>IF(A4197&gt;LastWeek-364,1,0)</f>
        <v/>
      </c>
      <c r="E4197" s="14">
        <f>C4197^2*D4197</f>
        <v/>
      </c>
    </row>
    <row r="4198">
      <c r="A4198" s="26" t="n">
        <v>45544</v>
      </c>
      <c r="B4198" s="14" t="inlineStr">
        <is>
          <t>NB-0041</t>
        </is>
      </c>
      <c r="C4198" s="14" t="n">
        <v>13</v>
      </c>
      <c r="D4198" s="14">
        <f>IF(A4198&gt;LastWeek-364,1,0)</f>
        <v/>
      </c>
      <c r="E4198" s="14">
        <f>C4198^2*D4198</f>
        <v/>
      </c>
    </row>
    <row r="4199">
      <c r="A4199" s="26" t="n">
        <v>45551</v>
      </c>
      <c r="B4199" s="14" t="inlineStr">
        <is>
          <t>NB-0041</t>
        </is>
      </c>
      <c r="C4199" s="14" t="n">
        <v>12</v>
      </c>
      <c r="D4199" s="14">
        <f>IF(A4199&gt;LastWeek-364,1,0)</f>
        <v/>
      </c>
      <c r="E4199" s="14">
        <f>C4199^2*D4199</f>
        <v/>
      </c>
    </row>
    <row r="4200">
      <c r="A4200" s="26" t="n">
        <v>45558</v>
      </c>
      <c r="B4200" s="14" t="inlineStr">
        <is>
          <t>NB-0041</t>
        </is>
      </c>
      <c r="C4200" s="14" t="n">
        <v>14</v>
      </c>
      <c r="D4200" s="14">
        <f>IF(A4200&gt;LastWeek-364,1,0)</f>
        <v/>
      </c>
      <c r="E4200" s="14">
        <f>C4200^2*D4200</f>
        <v/>
      </c>
    </row>
    <row r="4201">
      <c r="A4201" s="26" t="n">
        <v>45565</v>
      </c>
      <c r="B4201" s="14" t="inlineStr">
        <is>
          <t>NB-0041</t>
        </is>
      </c>
      <c r="C4201" s="14" t="n">
        <v>12</v>
      </c>
      <c r="D4201" s="14">
        <f>IF(A4201&gt;LastWeek-364,1,0)</f>
        <v/>
      </c>
      <c r="E4201" s="14">
        <f>C4201^2*D4201</f>
        <v/>
      </c>
    </row>
    <row r="4202">
      <c r="A4202" s="26" t="n">
        <v>45572</v>
      </c>
      <c r="B4202" s="14" t="inlineStr">
        <is>
          <t>NB-0041</t>
        </is>
      </c>
      <c r="C4202" s="14" t="n">
        <v>14</v>
      </c>
      <c r="D4202" s="14">
        <f>IF(A4202&gt;LastWeek-364,1,0)</f>
        <v/>
      </c>
      <c r="E4202" s="14">
        <f>C4202^2*D4202</f>
        <v/>
      </c>
    </row>
    <row r="4203">
      <c r="A4203" s="26" t="n">
        <v>45579</v>
      </c>
      <c r="B4203" s="14" t="inlineStr">
        <is>
          <t>NB-0041</t>
        </is>
      </c>
      <c r="C4203" s="14" t="n">
        <v>14</v>
      </c>
      <c r="D4203" s="14">
        <f>IF(A4203&gt;LastWeek-364,1,0)</f>
        <v/>
      </c>
      <c r="E4203" s="14">
        <f>C4203^2*D4203</f>
        <v/>
      </c>
    </row>
    <row r="4204">
      <c r="A4204" s="26" t="n">
        <v>45586</v>
      </c>
      <c r="B4204" s="14" t="inlineStr">
        <is>
          <t>NB-0041</t>
        </is>
      </c>
      <c r="C4204" s="14" t="n">
        <v>14</v>
      </c>
      <c r="D4204" s="14">
        <f>IF(A4204&gt;LastWeek-364,1,0)</f>
        <v/>
      </c>
      <c r="E4204" s="14">
        <f>C4204^2*D4204</f>
        <v/>
      </c>
    </row>
    <row r="4205">
      <c r="A4205" s="26" t="n">
        <v>45593</v>
      </c>
      <c r="B4205" s="14" t="inlineStr">
        <is>
          <t>NB-0041</t>
        </is>
      </c>
      <c r="C4205" s="14" t="n">
        <v>13</v>
      </c>
      <c r="D4205" s="14">
        <f>IF(A4205&gt;LastWeek-364,1,0)</f>
        <v/>
      </c>
      <c r="E4205" s="14">
        <f>C4205^2*D4205</f>
        <v/>
      </c>
    </row>
    <row r="4206">
      <c r="A4206" s="26" t="n">
        <v>45600</v>
      </c>
      <c r="B4206" s="14" t="inlineStr">
        <is>
          <t>NB-0041</t>
        </is>
      </c>
      <c r="C4206" s="14" t="n">
        <v>17</v>
      </c>
      <c r="D4206" s="14">
        <f>IF(A4206&gt;LastWeek-364,1,0)</f>
        <v/>
      </c>
      <c r="E4206" s="14">
        <f>C4206^2*D4206</f>
        <v/>
      </c>
    </row>
    <row r="4207">
      <c r="A4207" s="26" t="n">
        <v>45607</v>
      </c>
      <c r="B4207" s="14" t="inlineStr">
        <is>
          <t>NB-0041</t>
        </is>
      </c>
      <c r="C4207" s="14" t="n">
        <v>13</v>
      </c>
      <c r="D4207" s="14">
        <f>IF(A4207&gt;LastWeek-364,1,0)</f>
        <v/>
      </c>
      <c r="E4207" s="14">
        <f>C4207^2*D4207</f>
        <v/>
      </c>
    </row>
    <row r="4208">
      <c r="A4208" s="26" t="n">
        <v>45614</v>
      </c>
      <c r="B4208" s="14" t="inlineStr">
        <is>
          <t>NB-0041</t>
        </is>
      </c>
      <c r="C4208" s="14" t="n">
        <v>15</v>
      </c>
      <c r="D4208" s="14">
        <f>IF(A4208&gt;LastWeek-364,1,0)</f>
        <v/>
      </c>
      <c r="E4208" s="14">
        <f>C4208^2*D4208</f>
        <v/>
      </c>
    </row>
    <row r="4209">
      <c r="A4209" s="26" t="n">
        <v>45621</v>
      </c>
      <c r="B4209" s="14" t="inlineStr">
        <is>
          <t>NB-0041</t>
        </is>
      </c>
      <c r="C4209" s="14" t="n">
        <v>14</v>
      </c>
      <c r="D4209" s="14">
        <f>IF(A4209&gt;LastWeek-364,1,0)</f>
        <v/>
      </c>
      <c r="E4209" s="14">
        <f>C4209^2*D4209</f>
        <v/>
      </c>
    </row>
    <row r="4210">
      <c r="A4210" s="26" t="n">
        <v>45628</v>
      </c>
      <c r="B4210" s="14" t="inlineStr">
        <is>
          <t>NB-0041</t>
        </is>
      </c>
      <c r="C4210" s="14" t="n">
        <v>17</v>
      </c>
      <c r="D4210" s="14">
        <f>IF(A4210&gt;LastWeek-364,1,0)</f>
        <v/>
      </c>
      <c r="E4210" s="14">
        <f>C4210^2*D4210</f>
        <v/>
      </c>
    </row>
    <row r="4211">
      <c r="A4211" s="26" t="n">
        <v>45635</v>
      </c>
      <c r="B4211" s="14" t="inlineStr">
        <is>
          <t>NB-0041</t>
        </is>
      </c>
      <c r="C4211" s="14" t="n">
        <v>16</v>
      </c>
      <c r="D4211" s="14">
        <f>IF(A4211&gt;LastWeek-364,1,0)</f>
        <v/>
      </c>
      <c r="E4211" s="14">
        <f>C4211^2*D4211</f>
        <v/>
      </c>
    </row>
    <row r="4212">
      <c r="A4212" s="26" t="n">
        <v>45642</v>
      </c>
      <c r="B4212" s="14" t="inlineStr">
        <is>
          <t>NB-0041</t>
        </is>
      </c>
      <c r="C4212" s="14" t="n">
        <v>14</v>
      </c>
      <c r="D4212" s="14">
        <f>IF(A4212&gt;LastWeek-364,1,0)</f>
        <v/>
      </c>
      <c r="E4212" s="14">
        <f>C4212^2*D4212</f>
        <v/>
      </c>
    </row>
    <row r="4213">
      <c r="A4213" s="26" t="n">
        <v>45649</v>
      </c>
      <c r="B4213" s="14" t="inlineStr">
        <is>
          <t>NB-0041</t>
        </is>
      </c>
      <c r="C4213" s="14" t="n">
        <v>16</v>
      </c>
      <c r="D4213" s="14">
        <f>IF(A4213&gt;LastWeek-364,1,0)</f>
        <v/>
      </c>
      <c r="E4213" s="14">
        <f>C4213^2*D4213</f>
        <v/>
      </c>
    </row>
    <row r="4214">
      <c r="A4214" s="26" t="n">
        <v>45656</v>
      </c>
      <c r="B4214" s="14" t="inlineStr">
        <is>
          <t>NB-0041</t>
        </is>
      </c>
      <c r="C4214" s="14" t="n">
        <v>16</v>
      </c>
      <c r="D4214" s="14">
        <f>IF(A4214&gt;LastWeek-364,1,0)</f>
        <v/>
      </c>
      <c r="E4214" s="14">
        <f>C4214^2*D4214</f>
        <v/>
      </c>
    </row>
    <row r="4215">
      <c r="A4215" s="26" t="n">
        <v>45663</v>
      </c>
      <c r="B4215" s="14" t="inlineStr">
        <is>
          <t>NB-0041</t>
        </is>
      </c>
      <c r="C4215" s="14" t="n">
        <v>15</v>
      </c>
      <c r="D4215" s="14">
        <f>IF(A4215&gt;LastWeek-364,1,0)</f>
        <v/>
      </c>
      <c r="E4215" s="14">
        <f>C4215^2*D4215</f>
        <v/>
      </c>
    </row>
    <row r="4216">
      <c r="A4216" s="26" t="n">
        <v>45670</v>
      </c>
      <c r="B4216" s="14" t="inlineStr">
        <is>
          <t>NB-0041</t>
        </is>
      </c>
      <c r="C4216" s="14" t="n">
        <v>16</v>
      </c>
      <c r="D4216" s="14">
        <f>IF(A4216&gt;LastWeek-364,1,0)</f>
        <v/>
      </c>
      <c r="E4216" s="14">
        <f>C4216^2*D4216</f>
        <v/>
      </c>
    </row>
    <row r="4217">
      <c r="A4217" s="26" t="n">
        <v>45677</v>
      </c>
      <c r="B4217" s="14" t="inlineStr">
        <is>
          <t>NB-0041</t>
        </is>
      </c>
      <c r="C4217" s="14" t="n">
        <v>16</v>
      </c>
      <c r="D4217" s="14">
        <f>IF(A4217&gt;LastWeek-364,1,0)</f>
        <v/>
      </c>
      <c r="E4217" s="14">
        <f>C4217^2*D4217</f>
        <v/>
      </c>
    </row>
    <row r="4218">
      <c r="A4218" s="26" t="n">
        <v>45684</v>
      </c>
      <c r="B4218" s="14" t="inlineStr">
        <is>
          <t>NB-0041</t>
        </is>
      </c>
      <c r="C4218" s="14" t="n">
        <v>16</v>
      </c>
      <c r="D4218" s="14">
        <f>IF(A4218&gt;LastWeek-364,1,0)</f>
        <v/>
      </c>
      <c r="E4218" s="14">
        <f>C4218^2*D4218</f>
        <v/>
      </c>
    </row>
    <row r="4219">
      <c r="A4219" s="26" t="n">
        <v>45691</v>
      </c>
      <c r="B4219" s="14" t="inlineStr">
        <is>
          <t>NB-0041</t>
        </is>
      </c>
      <c r="C4219" s="14" t="n">
        <v>15</v>
      </c>
      <c r="D4219" s="14">
        <f>IF(A4219&gt;LastWeek-364,1,0)</f>
        <v/>
      </c>
      <c r="E4219" s="14">
        <f>C4219^2*D4219</f>
        <v/>
      </c>
    </row>
    <row r="4220">
      <c r="A4220" s="26" t="n">
        <v>45698</v>
      </c>
      <c r="B4220" s="14" t="inlineStr">
        <is>
          <t>NB-0041</t>
        </is>
      </c>
      <c r="C4220" s="14" t="n">
        <v>16</v>
      </c>
      <c r="D4220" s="14">
        <f>IF(A4220&gt;LastWeek-364,1,0)</f>
        <v/>
      </c>
      <c r="E4220" s="14">
        <f>C4220^2*D4220</f>
        <v/>
      </c>
    </row>
    <row r="4221">
      <c r="A4221" s="26" t="n">
        <v>45705</v>
      </c>
      <c r="B4221" s="14" t="inlineStr">
        <is>
          <t>NB-0041</t>
        </is>
      </c>
      <c r="C4221" s="14" t="n">
        <v>15</v>
      </c>
      <c r="D4221" s="14">
        <f>IF(A4221&gt;LastWeek-364,1,0)</f>
        <v/>
      </c>
      <c r="E4221" s="14">
        <f>C4221^2*D4221</f>
        <v/>
      </c>
    </row>
    <row r="4222">
      <c r="A4222" s="26" t="n">
        <v>45712</v>
      </c>
      <c r="B4222" s="14" t="inlineStr">
        <is>
          <t>NB-0041</t>
        </is>
      </c>
      <c r="C4222" s="14" t="n">
        <v>15</v>
      </c>
      <c r="D4222" s="14">
        <f>IF(A4222&gt;LastWeek-364,1,0)</f>
        <v/>
      </c>
      <c r="E4222" s="14">
        <f>C4222^2*D4222</f>
        <v/>
      </c>
    </row>
    <row r="4223">
      <c r="A4223" s="26" t="n">
        <v>45719</v>
      </c>
      <c r="B4223" s="14" t="inlineStr">
        <is>
          <t>NB-0041</t>
        </is>
      </c>
      <c r="C4223" s="14" t="n">
        <v>14</v>
      </c>
      <c r="D4223" s="14">
        <f>IF(A4223&gt;LastWeek-364,1,0)</f>
        <v/>
      </c>
      <c r="E4223" s="14">
        <f>C4223^2*D4223</f>
        <v/>
      </c>
    </row>
    <row r="4224">
      <c r="A4224" s="26" t="n">
        <v>45726</v>
      </c>
      <c r="B4224" s="14" t="inlineStr">
        <is>
          <t>NB-0041</t>
        </is>
      </c>
      <c r="C4224" s="14" t="n">
        <v>17</v>
      </c>
      <c r="D4224" s="14">
        <f>IF(A4224&gt;LastWeek-364,1,0)</f>
        <v/>
      </c>
      <c r="E4224" s="14">
        <f>C4224^2*D4224</f>
        <v/>
      </c>
    </row>
    <row r="4225">
      <c r="A4225" s="26" t="n">
        <v>45733</v>
      </c>
      <c r="B4225" s="14" t="inlineStr">
        <is>
          <t>NB-0041</t>
        </is>
      </c>
      <c r="C4225" s="14" t="n">
        <v>13</v>
      </c>
      <c r="D4225" s="14">
        <f>IF(A4225&gt;LastWeek-364,1,0)</f>
        <v/>
      </c>
      <c r="E4225" s="14">
        <f>C4225^2*D4225</f>
        <v/>
      </c>
    </row>
    <row r="4226">
      <c r="A4226" s="26" t="n">
        <v>45740</v>
      </c>
      <c r="B4226" s="14" t="inlineStr">
        <is>
          <t>NB-0041</t>
        </is>
      </c>
      <c r="C4226" s="14" t="n">
        <v>15</v>
      </c>
      <c r="D4226" s="14">
        <f>IF(A4226&gt;LastWeek-364,1,0)</f>
        <v/>
      </c>
      <c r="E4226" s="14">
        <f>C4226^2*D4226</f>
        <v/>
      </c>
    </row>
    <row r="4227">
      <c r="A4227" s="26" t="n">
        <v>45747</v>
      </c>
      <c r="B4227" s="14" t="inlineStr">
        <is>
          <t>NB-0041</t>
        </is>
      </c>
      <c r="C4227" s="14" t="n">
        <v>14</v>
      </c>
      <c r="D4227" s="14">
        <f>IF(A4227&gt;LastWeek-364,1,0)</f>
        <v/>
      </c>
      <c r="E4227" s="14">
        <f>C4227^2*D4227</f>
        <v/>
      </c>
    </row>
    <row r="4228">
      <c r="A4228" s="26" t="n">
        <v>45754</v>
      </c>
      <c r="B4228" s="14" t="inlineStr">
        <is>
          <t>NB-0041</t>
        </is>
      </c>
      <c r="C4228" s="14" t="n">
        <v>16</v>
      </c>
      <c r="D4228" s="14">
        <f>IF(A4228&gt;LastWeek-364,1,0)</f>
        <v/>
      </c>
      <c r="E4228" s="14">
        <f>C4228^2*D4228</f>
        <v/>
      </c>
    </row>
    <row r="4229">
      <c r="A4229" s="26" t="n">
        <v>45761</v>
      </c>
      <c r="B4229" s="14" t="inlineStr">
        <is>
          <t>NB-0041</t>
        </is>
      </c>
      <c r="C4229" s="14" t="n">
        <v>12</v>
      </c>
      <c r="D4229" s="14">
        <f>IF(A4229&gt;LastWeek-364,1,0)</f>
        <v/>
      </c>
      <c r="E4229" s="14">
        <f>C4229^2*D4229</f>
        <v/>
      </c>
    </row>
    <row r="4230">
      <c r="A4230" s="26" t="n">
        <v>45768</v>
      </c>
      <c r="B4230" s="14" t="inlineStr">
        <is>
          <t>NB-0041</t>
        </is>
      </c>
      <c r="C4230" s="14" t="n">
        <v>12</v>
      </c>
      <c r="D4230" s="14">
        <f>IF(A4230&gt;LastWeek-364,1,0)</f>
        <v/>
      </c>
      <c r="E4230" s="14">
        <f>C4230^2*D4230</f>
        <v/>
      </c>
    </row>
    <row r="4231">
      <c r="A4231" s="26" t="n">
        <v>45775</v>
      </c>
      <c r="B4231" s="14" t="inlineStr">
        <is>
          <t>NB-0041</t>
        </is>
      </c>
      <c r="C4231" s="14" t="n">
        <v>12</v>
      </c>
      <c r="D4231" s="14">
        <f>IF(A4231&gt;LastWeek-364,1,0)</f>
        <v/>
      </c>
      <c r="E4231" s="14">
        <f>C4231^2*D4231</f>
        <v/>
      </c>
    </row>
    <row r="4232">
      <c r="A4232" s="26" t="n">
        <v>45782</v>
      </c>
      <c r="B4232" s="14" t="inlineStr">
        <is>
          <t>NB-0041</t>
        </is>
      </c>
      <c r="C4232" s="14" t="n">
        <v>13</v>
      </c>
      <c r="D4232" s="14">
        <f>IF(A4232&gt;LastWeek-364,1,0)</f>
        <v/>
      </c>
      <c r="E4232" s="14">
        <f>C4232^2*D4232</f>
        <v/>
      </c>
    </row>
    <row r="4233">
      <c r="A4233" s="26" t="n">
        <v>45789</v>
      </c>
      <c r="B4233" s="14" t="inlineStr">
        <is>
          <t>NB-0041</t>
        </is>
      </c>
      <c r="C4233" s="14" t="n">
        <v>11</v>
      </c>
      <c r="D4233" s="14">
        <f>IF(A4233&gt;LastWeek-364,1,0)</f>
        <v/>
      </c>
      <c r="E4233" s="14">
        <f>C4233^2*D4233</f>
        <v/>
      </c>
    </row>
    <row r="4234">
      <c r="A4234" s="26" t="n">
        <v>45796</v>
      </c>
      <c r="B4234" s="14" t="inlineStr">
        <is>
          <t>NB-0041</t>
        </is>
      </c>
      <c r="C4234" s="14" t="n">
        <v>12</v>
      </c>
      <c r="D4234" s="14">
        <f>IF(A4234&gt;LastWeek-364,1,0)</f>
        <v/>
      </c>
      <c r="E4234" s="14">
        <f>C4234^2*D4234</f>
        <v/>
      </c>
    </row>
    <row r="4235">
      <c r="A4235" s="26" t="n">
        <v>45803</v>
      </c>
      <c r="B4235" s="14" t="inlineStr">
        <is>
          <t>NB-0041</t>
        </is>
      </c>
      <c r="C4235" s="14" t="n">
        <v>10</v>
      </c>
      <c r="D4235" s="14">
        <f>IF(A4235&gt;LastWeek-364,1,0)</f>
        <v/>
      </c>
      <c r="E4235" s="14">
        <f>C4235^2*D4235</f>
        <v/>
      </c>
    </row>
    <row r="4236">
      <c r="A4236" s="26" t="n">
        <v>45810</v>
      </c>
      <c r="B4236" s="14" t="inlineStr">
        <is>
          <t>NB-0041</t>
        </is>
      </c>
      <c r="C4236" s="14" t="n">
        <v>13</v>
      </c>
      <c r="D4236" s="14">
        <f>IF(A4236&gt;LastWeek-364,1,0)</f>
        <v/>
      </c>
      <c r="E4236" s="14">
        <f>C4236^2*D4236</f>
        <v/>
      </c>
    </row>
    <row r="4237">
      <c r="A4237" s="26" t="n">
        <v>45817</v>
      </c>
      <c r="B4237" s="14" t="inlineStr">
        <is>
          <t>NB-0041</t>
        </is>
      </c>
      <c r="C4237" s="14" t="n">
        <v>12</v>
      </c>
      <c r="D4237" s="14">
        <f>IF(A4237&gt;LastWeek-364,1,0)</f>
        <v/>
      </c>
      <c r="E4237" s="14">
        <f>C4237^2*D4237</f>
        <v/>
      </c>
    </row>
    <row r="4238">
      <c r="A4238" s="26" t="n">
        <v>45824</v>
      </c>
      <c r="B4238" s="14" t="inlineStr">
        <is>
          <t>NB-0041</t>
        </is>
      </c>
      <c r="C4238" s="14" t="n">
        <v>11</v>
      </c>
      <c r="D4238" s="14">
        <f>IF(A4238&gt;LastWeek-364,1,0)</f>
        <v/>
      </c>
      <c r="E4238" s="14">
        <f>C4238^2*D4238</f>
        <v/>
      </c>
    </row>
    <row r="4239">
      <c r="A4239" s="26" t="n">
        <v>45831</v>
      </c>
      <c r="B4239" s="14" t="inlineStr">
        <is>
          <t>NB-0041</t>
        </is>
      </c>
      <c r="C4239" s="14" t="n">
        <v>13</v>
      </c>
      <c r="D4239" s="14">
        <f>IF(A4239&gt;LastWeek-364,1,0)</f>
        <v/>
      </c>
      <c r="E4239" s="14">
        <f>C4239^2*D4239</f>
        <v/>
      </c>
    </row>
    <row r="4240">
      <c r="A4240" s="26" t="n">
        <v>45838</v>
      </c>
      <c r="B4240" s="14" t="inlineStr">
        <is>
          <t>NB-0041</t>
        </is>
      </c>
      <c r="C4240" s="14" t="n">
        <v>11</v>
      </c>
      <c r="D4240" s="14">
        <f>IF(A4240&gt;LastWeek-364,1,0)</f>
        <v/>
      </c>
      <c r="E4240" s="14">
        <f>C4240^2*D4240</f>
        <v/>
      </c>
    </row>
    <row r="4241">
      <c r="A4241" s="26" t="n">
        <v>45845</v>
      </c>
      <c r="B4241" s="14" t="inlineStr">
        <is>
          <t>NB-0041</t>
        </is>
      </c>
      <c r="C4241" s="14" t="n">
        <v>13</v>
      </c>
      <c r="D4241" s="14">
        <f>IF(A4241&gt;LastWeek-364,1,0)</f>
        <v/>
      </c>
      <c r="E4241" s="14">
        <f>C4241^2*D4241</f>
        <v/>
      </c>
    </row>
    <row r="4242">
      <c r="A4242" s="26" t="n">
        <v>45852</v>
      </c>
      <c r="B4242" s="14" t="inlineStr">
        <is>
          <t>NB-0041</t>
        </is>
      </c>
      <c r="C4242" s="14" t="n">
        <v>11</v>
      </c>
      <c r="D4242" s="14">
        <f>IF(A4242&gt;LastWeek-364,1,0)</f>
        <v/>
      </c>
      <c r="E4242" s="14">
        <f>C4242^2*D4242</f>
        <v/>
      </c>
    </row>
    <row r="4243">
      <c r="A4243" s="26" t="n">
        <v>45859</v>
      </c>
      <c r="B4243" s="14" t="inlineStr">
        <is>
          <t>NB-0041</t>
        </is>
      </c>
      <c r="C4243" s="14" t="n">
        <v>14</v>
      </c>
      <c r="D4243" s="14">
        <f>IF(A4243&gt;LastWeek-364,1,0)</f>
        <v/>
      </c>
      <c r="E4243" s="14">
        <f>C4243^2*D4243</f>
        <v/>
      </c>
    </row>
    <row r="4244">
      <c r="A4244" s="26" t="n">
        <v>45866</v>
      </c>
      <c r="B4244" s="14" t="inlineStr">
        <is>
          <t>NB-0041</t>
        </is>
      </c>
      <c r="C4244" s="14" t="n">
        <v>13</v>
      </c>
      <c r="D4244" s="14">
        <f>IF(A4244&gt;LastWeek-364,1,0)</f>
        <v/>
      </c>
      <c r="E4244" s="14">
        <f>C4244^2*D4244</f>
        <v/>
      </c>
    </row>
    <row r="4245">
      <c r="A4245" s="26" t="n">
        <v>45873</v>
      </c>
      <c r="B4245" s="14" t="inlineStr">
        <is>
          <t>NB-0041</t>
        </is>
      </c>
      <c r="C4245" s="14" t="n">
        <v>11</v>
      </c>
      <c r="D4245" s="14">
        <f>IF(A4245&gt;LastWeek-364,1,0)</f>
        <v/>
      </c>
      <c r="E4245" s="14">
        <f>C4245^2*D4245</f>
        <v/>
      </c>
    </row>
    <row r="4246">
      <c r="A4246" s="26" t="n">
        <v>45880</v>
      </c>
      <c r="B4246" s="14" t="inlineStr">
        <is>
          <t>NB-0041</t>
        </is>
      </c>
      <c r="C4246" s="14" t="n">
        <v>12</v>
      </c>
      <c r="D4246" s="14">
        <f>IF(A4246&gt;LastWeek-364,1,0)</f>
        <v/>
      </c>
      <c r="E4246" s="14">
        <f>C4246^2*D4246</f>
        <v/>
      </c>
    </row>
    <row r="4247">
      <c r="A4247" s="26" t="n">
        <v>45887</v>
      </c>
      <c r="B4247" s="14" t="inlineStr">
        <is>
          <t>NB-0041</t>
        </is>
      </c>
      <c r="C4247" s="14" t="n">
        <v>13</v>
      </c>
      <c r="D4247" s="14">
        <f>IF(A4247&gt;LastWeek-364,1,0)</f>
        <v/>
      </c>
      <c r="E4247" s="14">
        <f>C4247^2*D4247</f>
        <v/>
      </c>
    </row>
    <row r="4248">
      <c r="A4248" s="26" t="n">
        <v>45894</v>
      </c>
      <c r="B4248" s="14" t="inlineStr">
        <is>
          <t>NB-0041</t>
        </is>
      </c>
      <c r="C4248" s="14" t="n">
        <v>13</v>
      </c>
      <c r="D4248" s="14">
        <f>IF(A4248&gt;LastWeek-364,1,0)</f>
        <v/>
      </c>
      <c r="E4248" s="14">
        <f>C4248^2*D4248</f>
        <v/>
      </c>
    </row>
    <row r="4249">
      <c r="A4249" s="26" t="n">
        <v>45901</v>
      </c>
      <c r="B4249" s="14" t="inlineStr">
        <is>
          <t>NB-0041</t>
        </is>
      </c>
      <c r="C4249" s="14" t="n">
        <v>13</v>
      </c>
      <c r="D4249" s="14">
        <f>IF(A4249&gt;LastWeek-364,1,0)</f>
        <v/>
      </c>
      <c r="E4249" s="14">
        <f>C4249^2*D4249</f>
        <v/>
      </c>
    </row>
    <row r="4250">
      <c r="A4250" s="26" t="n">
        <v>45908</v>
      </c>
      <c r="B4250" s="14" t="inlineStr">
        <is>
          <t>NB-0041</t>
        </is>
      </c>
      <c r="C4250" s="14" t="n">
        <v>15</v>
      </c>
      <c r="D4250" s="14">
        <f>IF(A4250&gt;LastWeek-364,1,0)</f>
        <v/>
      </c>
      <c r="E4250" s="14">
        <f>C4250^2*D4250</f>
        <v/>
      </c>
    </row>
    <row r="4251">
      <c r="A4251" s="26" t="n">
        <v>45915</v>
      </c>
      <c r="B4251" s="14" t="inlineStr">
        <is>
          <t>NB-0041</t>
        </is>
      </c>
      <c r="C4251" s="14" t="n">
        <v>13</v>
      </c>
      <c r="D4251" s="14">
        <f>IF(A4251&gt;LastWeek-364,1,0)</f>
        <v/>
      </c>
      <c r="E4251" s="14">
        <f>C4251^2*D4251</f>
        <v/>
      </c>
    </row>
    <row r="4252">
      <c r="A4252" s="26" t="n">
        <v>45922</v>
      </c>
      <c r="B4252" s="14" t="inlineStr">
        <is>
          <t>NB-0041</t>
        </is>
      </c>
      <c r="C4252" s="14" t="n">
        <v>14</v>
      </c>
      <c r="D4252" s="14">
        <f>IF(A4252&gt;LastWeek-364,1,0)</f>
        <v/>
      </c>
      <c r="E4252" s="14">
        <f>C4252^2*D4252</f>
        <v/>
      </c>
    </row>
    <row r="4253">
      <c r="A4253" s="26" t="n">
        <v>45929</v>
      </c>
      <c r="B4253" s="14" t="inlineStr">
        <is>
          <t>NB-0041</t>
        </is>
      </c>
      <c r="C4253" s="14" t="n">
        <v>15</v>
      </c>
      <c r="D4253" s="14">
        <f>IF(A4253&gt;LastWeek-364,1,0)</f>
        <v/>
      </c>
      <c r="E4253" s="14">
        <f>C4253^2*D4253</f>
        <v/>
      </c>
    </row>
    <row r="4254">
      <c r="A4254" s="26" t="n">
        <v>45936</v>
      </c>
      <c r="B4254" s="14" t="inlineStr">
        <is>
          <t>NB-0041</t>
        </is>
      </c>
      <c r="C4254" s="14" t="n">
        <v>15</v>
      </c>
      <c r="D4254" s="14">
        <f>IF(A4254&gt;LastWeek-364,1,0)</f>
        <v/>
      </c>
      <c r="E4254" s="14">
        <f>C4254^2*D4254</f>
        <v/>
      </c>
    </row>
    <row r="4255">
      <c r="A4255" s="26" t="n">
        <v>45943</v>
      </c>
      <c r="B4255" s="14" t="inlineStr">
        <is>
          <t>NB-0041</t>
        </is>
      </c>
      <c r="C4255" s="14" t="n">
        <v>14</v>
      </c>
      <c r="D4255" s="14">
        <f>IF(A4255&gt;LastWeek-364,1,0)</f>
        <v/>
      </c>
      <c r="E4255" s="14">
        <f>C4255^2*D4255</f>
        <v/>
      </c>
    </row>
    <row r="4256">
      <c r="A4256" s="26" t="n">
        <v>45950</v>
      </c>
      <c r="B4256" s="14" t="inlineStr">
        <is>
          <t>NB-0041</t>
        </is>
      </c>
      <c r="C4256" s="14" t="n">
        <v>15</v>
      </c>
      <c r="D4256" s="14">
        <f>IF(A4256&gt;LastWeek-364,1,0)</f>
        <v/>
      </c>
      <c r="E4256" s="14">
        <f>C4256^2*D4256</f>
        <v/>
      </c>
    </row>
    <row r="4257">
      <c r="A4257" s="26" t="n">
        <v>45957</v>
      </c>
      <c r="B4257" s="14" t="inlineStr">
        <is>
          <t>NB-0041</t>
        </is>
      </c>
      <c r="C4257" s="14" t="n">
        <v>13</v>
      </c>
      <c r="D4257" s="14">
        <f>IF(A4257&gt;LastWeek-364,1,0)</f>
        <v/>
      </c>
      <c r="E4257" s="14">
        <f>C4257^2*D4257</f>
        <v/>
      </c>
    </row>
    <row r="4258">
      <c r="A4258" s="26" t="n">
        <v>45964</v>
      </c>
      <c r="B4258" s="14" t="inlineStr">
        <is>
          <t>NB-0041</t>
        </is>
      </c>
      <c r="C4258" s="14" t="n">
        <v>14</v>
      </c>
      <c r="D4258" s="14">
        <f>IF(A4258&gt;LastWeek-364,1,0)</f>
        <v/>
      </c>
      <c r="E4258" s="14">
        <f>C4258^2*D4258</f>
        <v/>
      </c>
    </row>
    <row r="4259">
      <c r="A4259" s="26" t="n">
        <v>45971</v>
      </c>
      <c r="B4259" s="14" t="inlineStr">
        <is>
          <t>NB-0041</t>
        </is>
      </c>
      <c r="C4259" s="14" t="n">
        <v>16</v>
      </c>
      <c r="D4259" s="14">
        <f>IF(A4259&gt;LastWeek-364,1,0)</f>
        <v/>
      </c>
      <c r="E4259" s="14">
        <f>C4259^2*D4259</f>
        <v/>
      </c>
    </row>
    <row r="4260">
      <c r="A4260" s="26" t="n">
        <v>45978</v>
      </c>
      <c r="B4260" s="14" t="inlineStr">
        <is>
          <t>NB-0041</t>
        </is>
      </c>
      <c r="C4260" s="14" t="n">
        <v>16</v>
      </c>
      <c r="D4260" s="14">
        <f>IF(A4260&gt;LastWeek-364,1,0)</f>
        <v/>
      </c>
      <c r="E4260" s="14">
        <f>C4260^2*D4260</f>
        <v/>
      </c>
    </row>
    <row r="4261">
      <c r="A4261" s="26" t="n">
        <v>45985</v>
      </c>
      <c r="B4261" s="14" t="inlineStr">
        <is>
          <t>NB-0041</t>
        </is>
      </c>
      <c r="C4261" s="14" t="n">
        <v>16</v>
      </c>
      <c r="D4261" s="14">
        <f>IF(A4261&gt;LastWeek-364,1,0)</f>
        <v/>
      </c>
      <c r="E4261" s="14">
        <f>C4261^2*D4261</f>
        <v/>
      </c>
    </row>
    <row r="4262">
      <c r="A4262" s="26" t="n">
        <v>45992</v>
      </c>
      <c r="B4262" s="14" t="inlineStr">
        <is>
          <t>NB-0041</t>
        </is>
      </c>
      <c r="C4262" s="14" t="n">
        <v>18</v>
      </c>
      <c r="D4262" s="14">
        <f>IF(A4262&gt;LastWeek-364,1,0)</f>
        <v/>
      </c>
      <c r="E4262" s="14">
        <f>C4262^2*D4262</f>
        <v/>
      </c>
    </row>
    <row r="4263">
      <c r="A4263" s="26" t="n">
        <v>45999</v>
      </c>
      <c r="B4263" s="14" t="inlineStr">
        <is>
          <t>NB-0041</t>
        </is>
      </c>
      <c r="C4263" s="14" t="n">
        <v>15</v>
      </c>
      <c r="D4263" s="14">
        <f>IF(A4263&gt;LastWeek-364,1,0)</f>
        <v/>
      </c>
      <c r="E4263" s="14">
        <f>C4263^2*D4263</f>
        <v/>
      </c>
    </row>
    <row r="4264">
      <c r="A4264" s="26" t="n">
        <v>46006</v>
      </c>
      <c r="B4264" s="14" t="inlineStr">
        <is>
          <t>NB-0041</t>
        </is>
      </c>
      <c r="C4264" s="14" t="n">
        <v>16</v>
      </c>
      <c r="D4264" s="14">
        <f>IF(A4264&gt;LastWeek-364,1,0)</f>
        <v/>
      </c>
      <c r="E4264" s="14">
        <f>C4264^2*D4264</f>
        <v/>
      </c>
    </row>
    <row r="4265">
      <c r="A4265" s="26" t="n">
        <v>46013</v>
      </c>
      <c r="B4265" s="14" t="inlineStr">
        <is>
          <t>NB-0041</t>
        </is>
      </c>
      <c r="C4265" s="14" t="n">
        <v>17</v>
      </c>
      <c r="D4265" s="14">
        <f>IF(A4265&gt;LastWeek-364,1,0)</f>
        <v/>
      </c>
      <c r="E4265" s="14">
        <f>C4265^2*D4265</f>
        <v/>
      </c>
    </row>
    <row r="4266">
      <c r="A4266" s="26" t="n">
        <v>45292</v>
      </c>
      <c r="B4266" s="14" t="inlineStr">
        <is>
          <t>NB-0042</t>
        </is>
      </c>
      <c r="C4266" s="14" t="n">
        <v>33</v>
      </c>
      <c r="D4266" s="14">
        <f>IF(A4266&gt;LastWeek-364,1,0)</f>
        <v/>
      </c>
      <c r="E4266" s="14">
        <f>C4266^2*D4266</f>
        <v/>
      </c>
    </row>
    <row r="4267">
      <c r="A4267" s="26" t="n">
        <v>45299</v>
      </c>
      <c r="B4267" s="14" t="inlineStr">
        <is>
          <t>NB-0042</t>
        </is>
      </c>
      <c r="C4267" s="14" t="n">
        <v>53</v>
      </c>
      <c r="D4267" s="14">
        <f>IF(A4267&gt;LastWeek-364,1,0)</f>
        <v/>
      </c>
      <c r="E4267" s="14">
        <f>C4267^2*D4267</f>
        <v/>
      </c>
    </row>
    <row r="4268">
      <c r="A4268" s="26" t="n">
        <v>45306</v>
      </c>
      <c r="B4268" s="14" t="inlineStr">
        <is>
          <t>NB-0042</t>
        </is>
      </c>
      <c r="C4268" s="14" t="n">
        <v>49</v>
      </c>
      <c r="D4268" s="14">
        <f>IF(A4268&gt;LastWeek-364,1,0)</f>
        <v/>
      </c>
      <c r="E4268" s="14">
        <f>C4268^2*D4268</f>
        <v/>
      </c>
    </row>
    <row r="4269">
      <c r="A4269" s="26" t="n">
        <v>45313</v>
      </c>
      <c r="B4269" s="14" t="inlineStr">
        <is>
          <t>NB-0042</t>
        </is>
      </c>
      <c r="C4269" s="14" t="n">
        <v>43</v>
      </c>
      <c r="D4269" s="14">
        <f>IF(A4269&gt;LastWeek-364,1,0)</f>
        <v/>
      </c>
      <c r="E4269" s="14">
        <f>C4269^2*D4269</f>
        <v/>
      </c>
    </row>
    <row r="4270">
      <c r="A4270" s="26" t="n">
        <v>45320</v>
      </c>
      <c r="B4270" s="14" t="inlineStr">
        <is>
          <t>NB-0042</t>
        </is>
      </c>
      <c r="C4270" s="14" t="n">
        <v>57</v>
      </c>
      <c r="D4270" s="14">
        <f>IF(A4270&gt;LastWeek-364,1,0)</f>
        <v/>
      </c>
      <c r="E4270" s="14">
        <f>C4270^2*D4270</f>
        <v/>
      </c>
    </row>
    <row r="4271">
      <c r="A4271" s="26" t="n">
        <v>45327</v>
      </c>
      <c r="B4271" s="14" t="inlineStr">
        <is>
          <t>NB-0042</t>
        </is>
      </c>
      <c r="C4271" s="14" t="n">
        <v>26</v>
      </c>
      <c r="D4271" s="14">
        <f>IF(A4271&gt;LastWeek-364,1,0)</f>
        <v/>
      </c>
      <c r="E4271" s="14">
        <f>C4271^2*D4271</f>
        <v/>
      </c>
    </row>
    <row r="4272">
      <c r="A4272" s="26" t="n">
        <v>45334</v>
      </c>
      <c r="B4272" s="14" t="inlineStr">
        <is>
          <t>NB-0042</t>
        </is>
      </c>
      <c r="C4272" s="14" t="n">
        <v>40</v>
      </c>
      <c r="D4272" s="14">
        <f>IF(A4272&gt;LastWeek-364,1,0)</f>
        <v/>
      </c>
      <c r="E4272" s="14">
        <f>C4272^2*D4272</f>
        <v/>
      </c>
    </row>
    <row r="4273">
      <c r="A4273" s="26" t="n">
        <v>45341</v>
      </c>
      <c r="B4273" s="14" t="inlineStr">
        <is>
          <t>NB-0042</t>
        </is>
      </c>
      <c r="C4273" s="14" t="n">
        <v>43</v>
      </c>
      <c r="D4273" s="14">
        <f>IF(A4273&gt;LastWeek-364,1,0)</f>
        <v/>
      </c>
      <c r="E4273" s="14">
        <f>C4273^2*D4273</f>
        <v/>
      </c>
    </row>
    <row r="4274">
      <c r="A4274" s="26" t="n">
        <v>45348</v>
      </c>
      <c r="B4274" s="14" t="inlineStr">
        <is>
          <t>NB-0042</t>
        </is>
      </c>
      <c r="C4274" s="14" t="n">
        <v>31</v>
      </c>
      <c r="D4274" s="14">
        <f>IF(A4274&gt;LastWeek-364,1,0)</f>
        <v/>
      </c>
      <c r="E4274" s="14">
        <f>C4274^2*D4274</f>
        <v/>
      </c>
    </row>
    <row r="4275">
      <c r="A4275" s="26" t="n">
        <v>45355</v>
      </c>
      <c r="B4275" s="14" t="inlineStr">
        <is>
          <t>NB-0042</t>
        </is>
      </c>
      <c r="C4275" s="14" t="n">
        <v>42</v>
      </c>
      <c r="D4275" s="14">
        <f>IF(A4275&gt;LastWeek-364,1,0)</f>
        <v/>
      </c>
      <c r="E4275" s="14">
        <f>C4275^2*D4275</f>
        <v/>
      </c>
    </row>
    <row r="4276">
      <c r="A4276" s="26" t="n">
        <v>45362</v>
      </c>
      <c r="B4276" s="14" t="inlineStr">
        <is>
          <t>NB-0042</t>
        </is>
      </c>
      <c r="C4276" s="14" t="n">
        <v>28</v>
      </c>
      <c r="D4276" s="14">
        <f>IF(A4276&gt;LastWeek-364,1,0)</f>
        <v/>
      </c>
      <c r="E4276" s="14">
        <f>C4276^2*D4276</f>
        <v/>
      </c>
    </row>
    <row r="4277">
      <c r="A4277" s="26" t="n">
        <v>45369</v>
      </c>
      <c r="B4277" s="14" t="inlineStr">
        <is>
          <t>NB-0042</t>
        </is>
      </c>
      <c r="C4277" s="14" t="n">
        <v>44</v>
      </c>
      <c r="D4277" s="14">
        <f>IF(A4277&gt;LastWeek-364,1,0)</f>
        <v/>
      </c>
      <c r="E4277" s="14">
        <f>C4277^2*D4277</f>
        <v/>
      </c>
    </row>
    <row r="4278">
      <c r="A4278" s="26" t="n">
        <v>45376</v>
      </c>
      <c r="B4278" s="14" t="inlineStr">
        <is>
          <t>NB-0042</t>
        </is>
      </c>
      <c r="C4278" s="14" t="n">
        <v>47</v>
      </c>
      <c r="D4278" s="14">
        <f>IF(A4278&gt;LastWeek-364,1,0)</f>
        <v/>
      </c>
      <c r="E4278" s="14">
        <f>C4278^2*D4278</f>
        <v/>
      </c>
    </row>
    <row r="4279">
      <c r="A4279" s="26" t="n">
        <v>45383</v>
      </c>
      <c r="B4279" s="14" t="inlineStr">
        <is>
          <t>NB-0042</t>
        </is>
      </c>
      <c r="C4279" s="14" t="n">
        <v>39</v>
      </c>
      <c r="D4279" s="14">
        <f>IF(A4279&gt;LastWeek-364,1,0)</f>
        <v/>
      </c>
      <c r="E4279" s="14">
        <f>C4279^2*D4279</f>
        <v/>
      </c>
    </row>
    <row r="4280">
      <c r="A4280" s="26" t="n">
        <v>45390</v>
      </c>
      <c r="B4280" s="14" t="inlineStr">
        <is>
          <t>NB-0042</t>
        </is>
      </c>
      <c r="C4280" s="14" t="n">
        <v>20</v>
      </c>
      <c r="D4280" s="14">
        <f>IF(A4280&gt;LastWeek-364,1,0)</f>
        <v/>
      </c>
      <c r="E4280" s="14">
        <f>C4280^2*D4280</f>
        <v/>
      </c>
    </row>
    <row r="4281">
      <c r="A4281" s="26" t="n">
        <v>45397</v>
      </c>
      <c r="B4281" s="14" t="inlineStr">
        <is>
          <t>NB-0042</t>
        </is>
      </c>
      <c r="C4281" s="14" t="n">
        <v>28</v>
      </c>
      <c r="D4281" s="14">
        <f>IF(A4281&gt;LastWeek-364,1,0)</f>
        <v/>
      </c>
      <c r="E4281" s="14">
        <f>C4281^2*D4281</f>
        <v/>
      </c>
    </row>
    <row r="4282">
      <c r="A4282" s="26" t="n">
        <v>45404</v>
      </c>
      <c r="B4282" s="14" t="inlineStr">
        <is>
          <t>NB-0042</t>
        </is>
      </c>
      <c r="C4282" s="14" t="n">
        <v>40</v>
      </c>
      <c r="D4282" s="14">
        <f>IF(A4282&gt;LastWeek-364,1,0)</f>
        <v/>
      </c>
      <c r="E4282" s="14">
        <f>C4282^2*D4282</f>
        <v/>
      </c>
    </row>
    <row r="4283">
      <c r="A4283" s="26" t="n">
        <v>45411</v>
      </c>
      <c r="B4283" s="14" t="inlineStr">
        <is>
          <t>NB-0042</t>
        </is>
      </c>
      <c r="C4283" s="14" t="n">
        <v>35</v>
      </c>
      <c r="D4283" s="14">
        <f>IF(A4283&gt;LastWeek-364,1,0)</f>
        <v/>
      </c>
      <c r="E4283" s="14">
        <f>C4283^2*D4283</f>
        <v/>
      </c>
    </row>
    <row r="4284">
      <c r="A4284" s="26" t="n">
        <v>45418</v>
      </c>
      <c r="B4284" s="14" t="inlineStr">
        <is>
          <t>NB-0042</t>
        </is>
      </c>
      <c r="C4284" s="14" t="n">
        <v>12</v>
      </c>
      <c r="D4284" s="14">
        <f>IF(A4284&gt;LastWeek-364,1,0)</f>
        <v/>
      </c>
      <c r="E4284" s="14">
        <f>C4284^2*D4284</f>
        <v/>
      </c>
    </row>
    <row r="4285">
      <c r="A4285" s="26" t="n">
        <v>45425</v>
      </c>
      <c r="B4285" s="14" t="inlineStr">
        <is>
          <t>NB-0042</t>
        </is>
      </c>
      <c r="C4285" s="14" t="n">
        <v>43</v>
      </c>
      <c r="D4285" s="14">
        <f>IF(A4285&gt;LastWeek-364,1,0)</f>
        <v/>
      </c>
      <c r="E4285" s="14">
        <f>C4285^2*D4285</f>
        <v/>
      </c>
    </row>
    <row r="4286">
      <c r="A4286" s="26" t="n">
        <v>45432</v>
      </c>
      <c r="B4286" s="14" t="inlineStr">
        <is>
          <t>NB-0042</t>
        </is>
      </c>
      <c r="C4286" s="14" t="n">
        <v>34</v>
      </c>
      <c r="D4286" s="14">
        <f>IF(A4286&gt;LastWeek-364,1,0)</f>
        <v/>
      </c>
      <c r="E4286" s="14">
        <f>C4286^2*D4286</f>
        <v/>
      </c>
    </row>
    <row r="4287">
      <c r="A4287" s="26" t="n">
        <v>45439</v>
      </c>
      <c r="B4287" s="14" t="inlineStr">
        <is>
          <t>NB-0042</t>
        </is>
      </c>
      <c r="C4287" s="14" t="n">
        <v>26</v>
      </c>
      <c r="D4287" s="14">
        <f>IF(A4287&gt;LastWeek-364,1,0)</f>
        <v/>
      </c>
      <c r="E4287" s="14">
        <f>C4287^2*D4287</f>
        <v/>
      </c>
    </row>
    <row r="4288">
      <c r="A4288" s="26" t="n">
        <v>45446</v>
      </c>
      <c r="B4288" s="14" t="inlineStr">
        <is>
          <t>NB-0042</t>
        </is>
      </c>
      <c r="C4288" s="14" t="n">
        <v>40</v>
      </c>
      <c r="D4288" s="14">
        <f>IF(A4288&gt;LastWeek-364,1,0)</f>
        <v/>
      </c>
      <c r="E4288" s="14">
        <f>C4288^2*D4288</f>
        <v/>
      </c>
    </row>
    <row r="4289">
      <c r="A4289" s="26" t="n">
        <v>45453</v>
      </c>
      <c r="B4289" s="14" t="inlineStr">
        <is>
          <t>NB-0042</t>
        </is>
      </c>
      <c r="C4289" s="14" t="n">
        <v>27</v>
      </c>
      <c r="D4289" s="14">
        <f>IF(A4289&gt;LastWeek-364,1,0)</f>
        <v/>
      </c>
      <c r="E4289" s="14">
        <f>C4289^2*D4289</f>
        <v/>
      </c>
    </row>
    <row r="4290">
      <c r="A4290" s="26" t="n">
        <v>45460</v>
      </c>
      <c r="B4290" s="14" t="inlineStr">
        <is>
          <t>NB-0042</t>
        </is>
      </c>
      <c r="C4290" s="14" t="n">
        <v>27</v>
      </c>
      <c r="D4290" s="14">
        <f>IF(A4290&gt;LastWeek-364,1,0)</f>
        <v/>
      </c>
      <c r="E4290" s="14">
        <f>C4290^2*D4290</f>
        <v/>
      </c>
    </row>
    <row r="4291">
      <c r="A4291" s="26" t="n">
        <v>45467</v>
      </c>
      <c r="B4291" s="14" t="inlineStr">
        <is>
          <t>NB-0042</t>
        </is>
      </c>
      <c r="C4291" s="14" t="n">
        <v>35</v>
      </c>
      <c r="D4291" s="14">
        <f>IF(A4291&gt;LastWeek-364,1,0)</f>
        <v/>
      </c>
      <c r="E4291" s="14">
        <f>C4291^2*D4291</f>
        <v/>
      </c>
    </row>
    <row r="4292">
      <c r="A4292" s="26" t="n">
        <v>45474</v>
      </c>
      <c r="B4292" s="14" t="inlineStr">
        <is>
          <t>NB-0042</t>
        </is>
      </c>
      <c r="C4292" s="14" t="n">
        <v>45</v>
      </c>
      <c r="D4292" s="14">
        <f>IF(A4292&gt;LastWeek-364,1,0)</f>
        <v/>
      </c>
      <c r="E4292" s="14">
        <f>C4292^2*D4292</f>
        <v/>
      </c>
    </row>
    <row r="4293">
      <c r="A4293" s="26" t="n">
        <v>45481</v>
      </c>
      <c r="B4293" s="14" t="inlineStr">
        <is>
          <t>NB-0042</t>
        </is>
      </c>
      <c r="C4293" s="14" t="n">
        <v>44</v>
      </c>
      <c r="D4293" s="14">
        <f>IF(A4293&gt;LastWeek-364,1,0)</f>
        <v/>
      </c>
      <c r="E4293" s="14">
        <f>C4293^2*D4293</f>
        <v/>
      </c>
    </row>
    <row r="4294">
      <c r="A4294" s="26" t="n">
        <v>45488</v>
      </c>
      <c r="B4294" s="14" t="inlineStr">
        <is>
          <t>NB-0042</t>
        </is>
      </c>
      <c r="C4294" s="14" t="n">
        <v>35</v>
      </c>
      <c r="D4294" s="14">
        <f>IF(A4294&gt;LastWeek-364,1,0)</f>
        <v/>
      </c>
      <c r="E4294" s="14">
        <f>C4294^2*D4294</f>
        <v/>
      </c>
    </row>
    <row r="4295">
      <c r="A4295" s="26" t="n">
        <v>45495</v>
      </c>
      <c r="B4295" s="14" t="inlineStr">
        <is>
          <t>NB-0042</t>
        </is>
      </c>
      <c r="C4295" s="14" t="n">
        <v>36</v>
      </c>
      <c r="D4295" s="14">
        <f>IF(A4295&gt;LastWeek-364,1,0)</f>
        <v/>
      </c>
      <c r="E4295" s="14">
        <f>C4295^2*D4295</f>
        <v/>
      </c>
    </row>
    <row r="4296">
      <c r="A4296" s="26" t="n">
        <v>45502</v>
      </c>
      <c r="B4296" s="14" t="inlineStr">
        <is>
          <t>NB-0042</t>
        </is>
      </c>
      <c r="C4296" s="14" t="n">
        <v>39</v>
      </c>
      <c r="D4296" s="14">
        <f>IF(A4296&gt;LastWeek-364,1,0)</f>
        <v/>
      </c>
      <c r="E4296" s="14">
        <f>C4296^2*D4296</f>
        <v/>
      </c>
    </row>
    <row r="4297">
      <c r="A4297" s="26" t="n">
        <v>45509</v>
      </c>
      <c r="B4297" s="14" t="inlineStr">
        <is>
          <t>NB-0042</t>
        </is>
      </c>
      <c r="C4297" s="14" t="n">
        <v>24</v>
      </c>
      <c r="D4297" s="14">
        <f>IF(A4297&gt;LastWeek-364,1,0)</f>
        <v/>
      </c>
      <c r="E4297" s="14">
        <f>C4297^2*D4297</f>
        <v/>
      </c>
    </row>
    <row r="4298">
      <c r="A4298" s="26" t="n">
        <v>45516</v>
      </c>
      <c r="B4298" s="14" t="inlineStr">
        <is>
          <t>NB-0042</t>
        </is>
      </c>
      <c r="C4298" s="14" t="n">
        <v>39</v>
      </c>
      <c r="D4298" s="14">
        <f>IF(A4298&gt;LastWeek-364,1,0)</f>
        <v/>
      </c>
      <c r="E4298" s="14">
        <f>C4298^2*D4298</f>
        <v/>
      </c>
    </row>
    <row r="4299">
      <c r="A4299" s="26" t="n">
        <v>45523</v>
      </c>
      <c r="B4299" s="14" t="inlineStr">
        <is>
          <t>NB-0042</t>
        </is>
      </c>
      <c r="C4299" s="14" t="n">
        <v>29</v>
      </c>
      <c r="D4299" s="14">
        <f>IF(A4299&gt;LastWeek-364,1,0)</f>
        <v/>
      </c>
      <c r="E4299" s="14">
        <f>C4299^2*D4299</f>
        <v/>
      </c>
    </row>
    <row r="4300">
      <c r="A4300" s="26" t="n">
        <v>45530</v>
      </c>
      <c r="B4300" s="14" t="inlineStr">
        <is>
          <t>NB-0042</t>
        </is>
      </c>
      <c r="C4300" s="14" t="n">
        <v>38</v>
      </c>
      <c r="D4300" s="14">
        <f>IF(A4300&gt;LastWeek-364,1,0)</f>
        <v/>
      </c>
      <c r="E4300" s="14">
        <f>C4300^2*D4300</f>
        <v/>
      </c>
    </row>
    <row r="4301">
      <c r="A4301" s="26" t="n">
        <v>45537</v>
      </c>
      <c r="B4301" s="14" t="inlineStr">
        <is>
          <t>NB-0042</t>
        </is>
      </c>
      <c r="C4301" s="14" t="n">
        <v>34</v>
      </c>
      <c r="D4301" s="14">
        <f>IF(A4301&gt;LastWeek-364,1,0)</f>
        <v/>
      </c>
      <c r="E4301" s="14">
        <f>C4301^2*D4301</f>
        <v/>
      </c>
    </row>
    <row r="4302">
      <c r="A4302" s="26" t="n">
        <v>45544</v>
      </c>
      <c r="B4302" s="14" t="inlineStr">
        <is>
          <t>NB-0042</t>
        </is>
      </c>
      <c r="C4302" s="14" t="n">
        <v>42</v>
      </c>
      <c r="D4302" s="14">
        <f>IF(A4302&gt;LastWeek-364,1,0)</f>
        <v/>
      </c>
      <c r="E4302" s="14">
        <f>C4302^2*D4302</f>
        <v/>
      </c>
    </row>
    <row r="4303">
      <c r="A4303" s="26" t="n">
        <v>45551</v>
      </c>
      <c r="B4303" s="14" t="inlineStr">
        <is>
          <t>NB-0042</t>
        </is>
      </c>
      <c r="C4303" s="14" t="n">
        <v>39</v>
      </c>
      <c r="D4303" s="14">
        <f>IF(A4303&gt;LastWeek-364,1,0)</f>
        <v/>
      </c>
      <c r="E4303" s="14">
        <f>C4303^2*D4303</f>
        <v/>
      </c>
    </row>
    <row r="4304">
      <c r="A4304" s="26" t="n">
        <v>45558</v>
      </c>
      <c r="B4304" s="14" t="inlineStr">
        <is>
          <t>NB-0042</t>
        </is>
      </c>
      <c r="C4304" s="14" t="n">
        <v>11</v>
      </c>
      <c r="D4304" s="14">
        <f>IF(A4304&gt;LastWeek-364,1,0)</f>
        <v/>
      </c>
      <c r="E4304" s="14">
        <f>C4304^2*D4304</f>
        <v/>
      </c>
    </row>
    <row r="4305">
      <c r="A4305" s="26" t="n">
        <v>45565</v>
      </c>
      <c r="B4305" s="14" t="inlineStr">
        <is>
          <t>NB-0042</t>
        </is>
      </c>
      <c r="C4305" s="14" t="n">
        <v>42</v>
      </c>
      <c r="D4305" s="14">
        <f>IF(A4305&gt;LastWeek-364,1,0)</f>
        <v/>
      </c>
      <c r="E4305" s="14">
        <f>C4305^2*D4305</f>
        <v/>
      </c>
    </row>
    <row r="4306">
      <c r="A4306" s="26" t="n">
        <v>45572</v>
      </c>
      <c r="B4306" s="14" t="inlineStr">
        <is>
          <t>NB-0042</t>
        </is>
      </c>
      <c r="C4306" s="14" t="n">
        <v>48</v>
      </c>
      <c r="D4306" s="14">
        <f>IF(A4306&gt;LastWeek-364,1,0)</f>
        <v/>
      </c>
      <c r="E4306" s="14">
        <f>C4306^2*D4306</f>
        <v/>
      </c>
    </row>
    <row r="4307">
      <c r="A4307" s="26" t="n">
        <v>45579</v>
      </c>
      <c r="B4307" s="14" t="inlineStr">
        <is>
          <t>NB-0042</t>
        </is>
      </c>
      <c r="C4307" s="14" t="n">
        <v>47</v>
      </c>
      <c r="D4307" s="14">
        <f>IF(A4307&gt;LastWeek-364,1,0)</f>
        <v/>
      </c>
      <c r="E4307" s="14">
        <f>C4307^2*D4307</f>
        <v/>
      </c>
    </row>
    <row r="4308">
      <c r="A4308" s="26" t="n">
        <v>45586</v>
      </c>
      <c r="B4308" s="14" t="inlineStr">
        <is>
          <t>NB-0042</t>
        </is>
      </c>
      <c r="C4308" s="14" t="n">
        <v>43</v>
      </c>
      <c r="D4308" s="14">
        <f>IF(A4308&gt;LastWeek-364,1,0)</f>
        <v/>
      </c>
      <c r="E4308" s="14">
        <f>C4308^2*D4308</f>
        <v/>
      </c>
    </row>
    <row r="4309">
      <c r="A4309" s="26" t="n">
        <v>45593</v>
      </c>
      <c r="B4309" s="14" t="inlineStr">
        <is>
          <t>NB-0042</t>
        </is>
      </c>
      <c r="C4309" s="14" t="n">
        <v>62</v>
      </c>
      <c r="D4309" s="14">
        <f>IF(A4309&gt;LastWeek-364,1,0)</f>
        <v/>
      </c>
      <c r="E4309" s="14">
        <f>C4309^2*D4309</f>
        <v/>
      </c>
    </row>
    <row r="4310">
      <c r="A4310" s="26" t="n">
        <v>45600</v>
      </c>
      <c r="B4310" s="14" t="inlineStr">
        <is>
          <t>NB-0042</t>
        </is>
      </c>
      <c r="C4310" s="14" t="n">
        <v>49</v>
      </c>
      <c r="D4310" s="14">
        <f>IF(A4310&gt;LastWeek-364,1,0)</f>
        <v/>
      </c>
      <c r="E4310" s="14">
        <f>C4310^2*D4310</f>
        <v/>
      </c>
    </row>
    <row r="4311">
      <c r="A4311" s="26" t="n">
        <v>45607</v>
      </c>
      <c r="B4311" s="14" t="inlineStr">
        <is>
          <t>NB-0042</t>
        </is>
      </c>
      <c r="C4311" s="14" t="n">
        <v>52</v>
      </c>
      <c r="D4311" s="14">
        <f>IF(A4311&gt;LastWeek-364,1,0)</f>
        <v/>
      </c>
      <c r="E4311" s="14">
        <f>C4311^2*D4311</f>
        <v/>
      </c>
    </row>
    <row r="4312">
      <c r="A4312" s="26" t="n">
        <v>45614</v>
      </c>
      <c r="B4312" s="14" t="inlineStr">
        <is>
          <t>NB-0042</t>
        </is>
      </c>
      <c r="C4312" s="14" t="n">
        <v>60</v>
      </c>
      <c r="D4312" s="14">
        <f>IF(A4312&gt;LastWeek-364,1,0)</f>
        <v/>
      </c>
      <c r="E4312" s="14">
        <f>C4312^2*D4312</f>
        <v/>
      </c>
    </row>
    <row r="4313">
      <c r="A4313" s="26" t="n">
        <v>45621</v>
      </c>
      <c r="B4313" s="14" t="inlineStr">
        <is>
          <t>NB-0042</t>
        </is>
      </c>
      <c r="C4313" s="14" t="n">
        <v>53</v>
      </c>
      <c r="D4313" s="14">
        <f>IF(A4313&gt;LastWeek-364,1,0)</f>
        <v/>
      </c>
      <c r="E4313" s="14">
        <f>C4313^2*D4313</f>
        <v/>
      </c>
    </row>
    <row r="4314">
      <c r="A4314" s="26" t="n">
        <v>45628</v>
      </c>
      <c r="B4314" s="14" t="inlineStr">
        <is>
          <t>NB-0042</t>
        </is>
      </c>
      <c r="C4314" s="14" t="n">
        <v>39</v>
      </c>
      <c r="D4314" s="14">
        <f>IF(A4314&gt;LastWeek-364,1,0)</f>
        <v/>
      </c>
      <c r="E4314" s="14">
        <f>C4314^2*D4314</f>
        <v/>
      </c>
    </row>
    <row r="4315">
      <c r="A4315" s="26" t="n">
        <v>45635</v>
      </c>
      <c r="B4315" s="14" t="inlineStr">
        <is>
          <t>NB-0042</t>
        </is>
      </c>
      <c r="C4315" s="14" t="n">
        <v>22</v>
      </c>
      <c r="D4315" s="14">
        <f>IF(A4315&gt;LastWeek-364,1,0)</f>
        <v/>
      </c>
      <c r="E4315" s="14">
        <f>C4315^2*D4315</f>
        <v/>
      </c>
    </row>
    <row r="4316">
      <c r="A4316" s="26" t="n">
        <v>45642</v>
      </c>
      <c r="B4316" s="14" t="inlineStr">
        <is>
          <t>NB-0042</t>
        </is>
      </c>
      <c r="C4316" s="14" t="n">
        <v>45</v>
      </c>
      <c r="D4316" s="14">
        <f>IF(A4316&gt;LastWeek-364,1,0)</f>
        <v/>
      </c>
      <c r="E4316" s="14">
        <f>C4316^2*D4316</f>
        <v/>
      </c>
    </row>
    <row r="4317">
      <c r="A4317" s="26" t="n">
        <v>45649</v>
      </c>
      <c r="B4317" s="14" t="inlineStr">
        <is>
          <t>NB-0042</t>
        </is>
      </c>
      <c r="C4317" s="14" t="n">
        <v>61</v>
      </c>
      <c r="D4317" s="14">
        <f>IF(A4317&gt;LastWeek-364,1,0)</f>
        <v/>
      </c>
      <c r="E4317" s="14">
        <f>C4317^2*D4317</f>
        <v/>
      </c>
    </row>
    <row r="4318">
      <c r="A4318" s="26" t="n">
        <v>45656</v>
      </c>
      <c r="B4318" s="14" t="inlineStr">
        <is>
          <t>NB-0042</t>
        </is>
      </c>
      <c r="C4318" s="14" t="n">
        <v>48</v>
      </c>
      <c r="D4318" s="14">
        <f>IF(A4318&gt;LastWeek-364,1,0)</f>
        <v/>
      </c>
      <c r="E4318" s="14">
        <f>C4318^2*D4318</f>
        <v/>
      </c>
    </row>
    <row r="4319">
      <c r="A4319" s="26" t="n">
        <v>45663</v>
      </c>
      <c r="B4319" s="14" t="inlineStr">
        <is>
          <t>NB-0042</t>
        </is>
      </c>
      <c r="C4319" s="14" t="n">
        <v>62</v>
      </c>
      <c r="D4319" s="14">
        <f>IF(A4319&gt;LastWeek-364,1,0)</f>
        <v/>
      </c>
      <c r="E4319" s="14">
        <f>C4319^2*D4319</f>
        <v/>
      </c>
    </row>
    <row r="4320">
      <c r="A4320" s="26" t="n">
        <v>45670</v>
      </c>
      <c r="B4320" s="14" t="inlineStr">
        <is>
          <t>NB-0042</t>
        </is>
      </c>
      <c r="C4320" s="14" t="n">
        <v>54</v>
      </c>
      <c r="D4320" s="14">
        <f>IF(A4320&gt;LastWeek-364,1,0)</f>
        <v/>
      </c>
      <c r="E4320" s="14">
        <f>C4320^2*D4320</f>
        <v/>
      </c>
    </row>
    <row r="4321">
      <c r="A4321" s="26" t="n">
        <v>45677</v>
      </c>
      <c r="B4321" s="14" t="inlineStr">
        <is>
          <t>NB-0042</t>
        </is>
      </c>
      <c r="C4321" s="14" t="n">
        <v>69</v>
      </c>
      <c r="D4321" s="14">
        <f>IF(A4321&gt;LastWeek-364,1,0)</f>
        <v/>
      </c>
      <c r="E4321" s="14">
        <f>C4321^2*D4321</f>
        <v/>
      </c>
    </row>
    <row r="4322">
      <c r="A4322" s="26" t="n">
        <v>45684</v>
      </c>
      <c r="B4322" s="14" t="inlineStr">
        <is>
          <t>NB-0042</t>
        </is>
      </c>
      <c r="C4322" s="14" t="n">
        <v>49</v>
      </c>
      <c r="D4322" s="14">
        <f>IF(A4322&gt;LastWeek-364,1,0)</f>
        <v/>
      </c>
      <c r="E4322" s="14">
        <f>C4322^2*D4322</f>
        <v/>
      </c>
    </row>
    <row r="4323">
      <c r="A4323" s="26" t="n">
        <v>45691</v>
      </c>
      <c r="B4323" s="14" t="inlineStr">
        <is>
          <t>NB-0042</t>
        </is>
      </c>
      <c r="C4323" s="14" t="n">
        <v>58</v>
      </c>
      <c r="D4323" s="14">
        <f>IF(A4323&gt;LastWeek-364,1,0)</f>
        <v/>
      </c>
      <c r="E4323" s="14">
        <f>C4323^2*D4323</f>
        <v/>
      </c>
    </row>
    <row r="4324">
      <c r="A4324" s="26" t="n">
        <v>45698</v>
      </c>
      <c r="B4324" s="14" t="inlineStr">
        <is>
          <t>NB-0042</t>
        </is>
      </c>
      <c r="C4324" s="14" t="n">
        <v>59</v>
      </c>
      <c r="D4324" s="14">
        <f>IF(A4324&gt;LastWeek-364,1,0)</f>
        <v/>
      </c>
      <c r="E4324" s="14">
        <f>C4324^2*D4324</f>
        <v/>
      </c>
    </row>
    <row r="4325">
      <c r="A4325" s="26" t="n">
        <v>45705</v>
      </c>
      <c r="B4325" s="14" t="inlineStr">
        <is>
          <t>NB-0042</t>
        </is>
      </c>
      <c r="C4325" s="14" t="n">
        <v>70</v>
      </c>
      <c r="D4325" s="14">
        <f>IF(A4325&gt;LastWeek-364,1,0)</f>
        <v/>
      </c>
      <c r="E4325" s="14">
        <f>C4325^2*D4325</f>
        <v/>
      </c>
    </row>
    <row r="4326">
      <c r="A4326" s="26" t="n">
        <v>45712</v>
      </c>
      <c r="B4326" s="14" t="inlineStr">
        <is>
          <t>NB-0042</t>
        </is>
      </c>
      <c r="C4326" s="14" t="n">
        <v>31</v>
      </c>
      <c r="D4326" s="14">
        <f>IF(A4326&gt;LastWeek-364,1,0)</f>
        <v/>
      </c>
      <c r="E4326" s="14">
        <f>C4326^2*D4326</f>
        <v/>
      </c>
    </row>
    <row r="4327">
      <c r="A4327" s="26" t="n">
        <v>45719</v>
      </c>
      <c r="B4327" s="14" t="inlineStr">
        <is>
          <t>NB-0042</t>
        </is>
      </c>
      <c r="C4327" s="14" t="n">
        <v>46</v>
      </c>
      <c r="D4327" s="14">
        <f>IF(A4327&gt;LastWeek-364,1,0)</f>
        <v/>
      </c>
      <c r="E4327" s="14">
        <f>C4327^2*D4327</f>
        <v/>
      </c>
    </row>
    <row r="4328">
      <c r="A4328" s="26" t="n">
        <v>45726</v>
      </c>
      <c r="B4328" s="14" t="inlineStr">
        <is>
          <t>NB-0042</t>
        </is>
      </c>
      <c r="C4328" s="14" t="n">
        <v>61</v>
      </c>
      <c r="D4328" s="14">
        <f>IF(A4328&gt;LastWeek-364,1,0)</f>
        <v/>
      </c>
      <c r="E4328" s="14">
        <f>C4328^2*D4328</f>
        <v/>
      </c>
    </row>
    <row r="4329">
      <c r="A4329" s="26" t="n">
        <v>45733</v>
      </c>
      <c r="B4329" s="14" t="inlineStr">
        <is>
          <t>NB-0042</t>
        </is>
      </c>
      <c r="C4329" s="14" t="n">
        <v>68</v>
      </c>
      <c r="D4329" s="14">
        <f>IF(A4329&gt;LastWeek-364,1,0)</f>
        <v/>
      </c>
      <c r="E4329" s="14">
        <f>C4329^2*D4329</f>
        <v/>
      </c>
    </row>
    <row r="4330">
      <c r="A4330" s="26" t="n">
        <v>45740</v>
      </c>
      <c r="B4330" s="14" t="inlineStr">
        <is>
          <t>NB-0042</t>
        </is>
      </c>
      <c r="C4330" s="14" t="n">
        <v>52</v>
      </c>
      <c r="D4330" s="14">
        <f>IF(A4330&gt;LastWeek-364,1,0)</f>
        <v/>
      </c>
      <c r="E4330" s="14">
        <f>C4330^2*D4330</f>
        <v/>
      </c>
    </row>
    <row r="4331">
      <c r="A4331" s="26" t="n">
        <v>45747</v>
      </c>
      <c r="B4331" s="14" t="inlineStr">
        <is>
          <t>NB-0042</t>
        </is>
      </c>
      <c r="C4331" s="14" t="n">
        <v>45</v>
      </c>
      <c r="D4331" s="14">
        <f>IF(A4331&gt;LastWeek-364,1,0)</f>
        <v/>
      </c>
      <c r="E4331" s="14">
        <f>C4331^2*D4331</f>
        <v/>
      </c>
    </row>
    <row r="4332">
      <c r="A4332" s="26" t="n">
        <v>45754</v>
      </c>
      <c r="B4332" s="14" t="inlineStr">
        <is>
          <t>NB-0042</t>
        </is>
      </c>
      <c r="C4332" s="14" t="n">
        <v>56</v>
      </c>
      <c r="D4332" s="14">
        <f>IF(A4332&gt;LastWeek-364,1,0)</f>
        <v/>
      </c>
      <c r="E4332" s="14">
        <f>C4332^2*D4332</f>
        <v/>
      </c>
    </row>
    <row r="4333">
      <c r="A4333" s="26" t="n">
        <v>45761</v>
      </c>
      <c r="B4333" s="14" t="inlineStr">
        <is>
          <t>NB-0042</t>
        </is>
      </c>
      <c r="C4333" s="14" t="n">
        <v>56</v>
      </c>
      <c r="D4333" s="14">
        <f>IF(A4333&gt;LastWeek-364,1,0)</f>
        <v/>
      </c>
      <c r="E4333" s="14">
        <f>C4333^2*D4333</f>
        <v/>
      </c>
    </row>
    <row r="4334">
      <c r="A4334" s="26" t="n">
        <v>45768</v>
      </c>
      <c r="B4334" s="14" t="inlineStr">
        <is>
          <t>NB-0042</t>
        </is>
      </c>
      <c r="C4334" s="14" t="n">
        <v>42</v>
      </c>
      <c r="D4334" s="14">
        <f>IF(A4334&gt;LastWeek-364,1,0)</f>
        <v/>
      </c>
      <c r="E4334" s="14">
        <f>C4334^2*D4334</f>
        <v/>
      </c>
    </row>
    <row r="4335">
      <c r="A4335" s="26" t="n">
        <v>45775</v>
      </c>
      <c r="B4335" s="14" t="inlineStr">
        <is>
          <t>NB-0042</t>
        </is>
      </c>
      <c r="C4335" s="14" t="n">
        <v>49</v>
      </c>
      <c r="D4335" s="14">
        <f>IF(A4335&gt;LastWeek-364,1,0)</f>
        <v/>
      </c>
      <c r="E4335" s="14">
        <f>C4335^2*D4335</f>
        <v/>
      </c>
    </row>
    <row r="4336">
      <c r="A4336" s="26" t="n">
        <v>45782</v>
      </c>
      <c r="B4336" s="14" t="inlineStr">
        <is>
          <t>NB-0042</t>
        </is>
      </c>
      <c r="C4336" s="14" t="n">
        <v>57</v>
      </c>
      <c r="D4336" s="14">
        <f>IF(A4336&gt;LastWeek-364,1,0)</f>
        <v/>
      </c>
      <c r="E4336" s="14">
        <f>C4336^2*D4336</f>
        <v/>
      </c>
    </row>
    <row r="4337">
      <c r="A4337" s="26" t="n">
        <v>45789</v>
      </c>
      <c r="B4337" s="14" t="inlineStr">
        <is>
          <t>NB-0042</t>
        </is>
      </c>
      <c r="C4337" s="14" t="n">
        <v>64</v>
      </c>
      <c r="D4337" s="14">
        <f>IF(A4337&gt;LastWeek-364,1,0)</f>
        <v/>
      </c>
      <c r="E4337" s="14">
        <f>C4337^2*D4337</f>
        <v/>
      </c>
    </row>
    <row r="4338">
      <c r="A4338" s="26" t="n">
        <v>45796</v>
      </c>
      <c r="B4338" s="14" t="inlineStr">
        <is>
          <t>NB-0042</t>
        </is>
      </c>
      <c r="C4338" s="14" t="n">
        <v>51</v>
      </c>
      <c r="D4338" s="14">
        <f>IF(A4338&gt;LastWeek-364,1,0)</f>
        <v/>
      </c>
      <c r="E4338" s="14">
        <f>C4338^2*D4338</f>
        <v/>
      </c>
    </row>
    <row r="4339">
      <c r="A4339" s="26" t="n">
        <v>45803</v>
      </c>
      <c r="B4339" s="14" t="inlineStr">
        <is>
          <t>NB-0042</t>
        </is>
      </c>
      <c r="C4339" s="14" t="n">
        <v>43</v>
      </c>
      <c r="D4339" s="14">
        <f>IF(A4339&gt;LastWeek-364,1,0)</f>
        <v/>
      </c>
      <c r="E4339" s="14">
        <f>C4339^2*D4339</f>
        <v/>
      </c>
    </row>
    <row r="4340">
      <c r="A4340" s="26" t="n">
        <v>45810</v>
      </c>
      <c r="B4340" s="14" t="inlineStr">
        <is>
          <t>NB-0042</t>
        </is>
      </c>
      <c r="C4340" s="14" t="n">
        <v>42</v>
      </c>
      <c r="D4340" s="14">
        <f>IF(A4340&gt;LastWeek-364,1,0)</f>
        <v/>
      </c>
      <c r="E4340" s="14">
        <f>C4340^2*D4340</f>
        <v/>
      </c>
    </row>
    <row r="4341">
      <c r="A4341" s="26" t="n">
        <v>45817</v>
      </c>
      <c r="B4341" s="14" t="inlineStr">
        <is>
          <t>NB-0042</t>
        </is>
      </c>
      <c r="C4341" s="14" t="n">
        <v>48</v>
      </c>
      <c r="D4341" s="14">
        <f>IF(A4341&gt;LastWeek-364,1,0)</f>
        <v/>
      </c>
      <c r="E4341" s="14">
        <f>C4341^2*D4341</f>
        <v/>
      </c>
    </row>
    <row r="4342">
      <c r="A4342" s="26" t="n">
        <v>45824</v>
      </c>
      <c r="B4342" s="14" t="inlineStr">
        <is>
          <t>NB-0042</t>
        </is>
      </c>
      <c r="C4342" s="14" t="n">
        <v>41</v>
      </c>
      <c r="D4342" s="14">
        <f>IF(A4342&gt;LastWeek-364,1,0)</f>
        <v/>
      </c>
      <c r="E4342" s="14">
        <f>C4342^2*D4342</f>
        <v/>
      </c>
    </row>
    <row r="4343">
      <c r="A4343" s="26" t="n">
        <v>45831</v>
      </c>
      <c r="B4343" s="14" t="inlineStr">
        <is>
          <t>NB-0042</t>
        </is>
      </c>
      <c r="C4343" s="14" t="n">
        <v>44</v>
      </c>
      <c r="D4343" s="14">
        <f>IF(A4343&gt;LastWeek-364,1,0)</f>
        <v/>
      </c>
      <c r="E4343" s="14">
        <f>C4343^2*D4343</f>
        <v/>
      </c>
    </row>
    <row r="4344">
      <c r="A4344" s="26" t="n">
        <v>45838</v>
      </c>
      <c r="B4344" s="14" t="inlineStr">
        <is>
          <t>NB-0042</t>
        </is>
      </c>
      <c r="C4344" s="14" t="n">
        <v>31</v>
      </c>
      <c r="D4344" s="14">
        <f>IF(A4344&gt;LastWeek-364,1,0)</f>
        <v/>
      </c>
      <c r="E4344" s="14">
        <f>C4344^2*D4344</f>
        <v/>
      </c>
    </row>
    <row r="4345">
      <c r="A4345" s="26" t="n">
        <v>45845</v>
      </c>
      <c r="B4345" s="14" t="inlineStr">
        <is>
          <t>NB-0042</t>
        </is>
      </c>
      <c r="C4345" s="14" t="n">
        <v>55</v>
      </c>
      <c r="D4345" s="14">
        <f>IF(A4345&gt;LastWeek-364,1,0)</f>
        <v/>
      </c>
      <c r="E4345" s="14">
        <f>C4345^2*D4345</f>
        <v/>
      </c>
    </row>
    <row r="4346">
      <c r="A4346" s="26" t="n">
        <v>45852</v>
      </c>
      <c r="B4346" s="14" t="inlineStr">
        <is>
          <t>NB-0042</t>
        </is>
      </c>
      <c r="C4346" s="14" t="n">
        <v>31</v>
      </c>
      <c r="D4346" s="14">
        <f>IF(A4346&gt;LastWeek-364,1,0)</f>
        <v/>
      </c>
      <c r="E4346" s="14">
        <f>C4346^2*D4346</f>
        <v/>
      </c>
    </row>
    <row r="4347">
      <c r="A4347" s="26" t="n">
        <v>45859</v>
      </c>
      <c r="B4347" s="14" t="inlineStr">
        <is>
          <t>NB-0042</t>
        </is>
      </c>
      <c r="C4347" s="14" t="n">
        <v>38</v>
      </c>
      <c r="D4347" s="14">
        <f>IF(A4347&gt;LastWeek-364,1,0)</f>
        <v/>
      </c>
      <c r="E4347" s="14">
        <f>C4347^2*D4347</f>
        <v/>
      </c>
    </row>
    <row r="4348">
      <c r="A4348" s="26" t="n">
        <v>45866</v>
      </c>
      <c r="B4348" s="14" t="inlineStr">
        <is>
          <t>NB-0042</t>
        </is>
      </c>
      <c r="C4348" s="14" t="n">
        <v>44</v>
      </c>
      <c r="D4348" s="14">
        <f>IF(A4348&gt;LastWeek-364,1,0)</f>
        <v/>
      </c>
      <c r="E4348" s="14">
        <f>C4348^2*D4348</f>
        <v/>
      </c>
    </row>
    <row r="4349">
      <c r="A4349" s="26" t="n">
        <v>45873</v>
      </c>
      <c r="B4349" s="14" t="inlineStr">
        <is>
          <t>NB-0042</t>
        </is>
      </c>
      <c r="C4349" s="14" t="n">
        <v>64</v>
      </c>
      <c r="D4349" s="14">
        <f>IF(A4349&gt;LastWeek-364,1,0)</f>
        <v/>
      </c>
      <c r="E4349" s="14">
        <f>C4349^2*D4349</f>
        <v/>
      </c>
    </row>
    <row r="4350">
      <c r="A4350" s="26" t="n">
        <v>45880</v>
      </c>
      <c r="B4350" s="14" t="inlineStr">
        <is>
          <t>NB-0042</t>
        </is>
      </c>
      <c r="C4350" s="14" t="n">
        <v>40</v>
      </c>
      <c r="D4350" s="14">
        <f>IF(A4350&gt;LastWeek-364,1,0)</f>
        <v/>
      </c>
      <c r="E4350" s="14">
        <f>C4350^2*D4350</f>
        <v/>
      </c>
    </row>
    <row r="4351">
      <c r="A4351" s="26" t="n">
        <v>45887</v>
      </c>
      <c r="B4351" s="14" t="inlineStr">
        <is>
          <t>NB-0042</t>
        </is>
      </c>
      <c r="C4351" s="14" t="n">
        <v>39</v>
      </c>
      <c r="D4351" s="14">
        <f>IF(A4351&gt;LastWeek-364,1,0)</f>
        <v/>
      </c>
      <c r="E4351" s="14">
        <f>C4351^2*D4351</f>
        <v/>
      </c>
    </row>
    <row r="4352">
      <c r="A4352" s="26" t="n">
        <v>45894</v>
      </c>
      <c r="B4352" s="14" t="inlineStr">
        <is>
          <t>NB-0042</t>
        </is>
      </c>
      <c r="C4352" s="14" t="n">
        <v>41</v>
      </c>
      <c r="D4352" s="14">
        <f>IF(A4352&gt;LastWeek-364,1,0)</f>
        <v/>
      </c>
      <c r="E4352" s="14">
        <f>C4352^2*D4352</f>
        <v/>
      </c>
    </row>
    <row r="4353">
      <c r="A4353" s="26" t="n">
        <v>45901</v>
      </c>
      <c r="B4353" s="14" t="inlineStr">
        <is>
          <t>NB-0042</t>
        </is>
      </c>
      <c r="C4353" s="14" t="n">
        <v>66</v>
      </c>
      <c r="D4353" s="14">
        <f>IF(A4353&gt;LastWeek-364,1,0)</f>
        <v/>
      </c>
      <c r="E4353" s="14">
        <f>C4353^2*D4353</f>
        <v/>
      </c>
    </row>
    <row r="4354">
      <c r="A4354" s="26" t="n">
        <v>45908</v>
      </c>
      <c r="B4354" s="14" t="inlineStr">
        <is>
          <t>NB-0042</t>
        </is>
      </c>
      <c r="C4354" s="14" t="n">
        <v>17</v>
      </c>
      <c r="D4354" s="14">
        <f>IF(A4354&gt;LastWeek-364,1,0)</f>
        <v/>
      </c>
      <c r="E4354" s="14">
        <f>C4354^2*D4354</f>
        <v/>
      </c>
    </row>
    <row r="4355">
      <c r="A4355" s="26" t="n">
        <v>45915</v>
      </c>
      <c r="B4355" s="14" t="inlineStr">
        <is>
          <t>NB-0042</t>
        </is>
      </c>
      <c r="C4355" s="14" t="n">
        <v>38</v>
      </c>
      <c r="D4355" s="14">
        <f>IF(A4355&gt;LastWeek-364,1,0)</f>
        <v/>
      </c>
      <c r="E4355" s="14">
        <f>C4355^2*D4355</f>
        <v/>
      </c>
    </row>
    <row r="4356">
      <c r="A4356" s="26" t="n">
        <v>45922</v>
      </c>
      <c r="B4356" s="14" t="inlineStr">
        <is>
          <t>NB-0042</t>
        </is>
      </c>
      <c r="C4356" s="14" t="n">
        <v>85</v>
      </c>
      <c r="D4356" s="14">
        <f>IF(A4356&gt;LastWeek-364,1,0)</f>
        <v/>
      </c>
      <c r="E4356" s="14">
        <f>C4356^2*D4356</f>
        <v/>
      </c>
    </row>
    <row r="4357">
      <c r="A4357" s="26" t="n">
        <v>45929</v>
      </c>
      <c r="B4357" s="14" t="inlineStr">
        <is>
          <t>NB-0042</t>
        </is>
      </c>
      <c r="C4357" s="14" t="n">
        <v>61</v>
      </c>
      <c r="D4357" s="14">
        <f>IF(A4357&gt;LastWeek-364,1,0)</f>
        <v/>
      </c>
      <c r="E4357" s="14">
        <f>C4357^2*D4357</f>
        <v/>
      </c>
    </row>
    <row r="4358">
      <c r="A4358" s="26" t="n">
        <v>45936</v>
      </c>
      <c r="B4358" s="14" t="inlineStr">
        <is>
          <t>NB-0042</t>
        </is>
      </c>
      <c r="C4358" s="14" t="n">
        <v>40</v>
      </c>
      <c r="D4358" s="14">
        <f>IF(A4358&gt;LastWeek-364,1,0)</f>
        <v/>
      </c>
      <c r="E4358" s="14">
        <f>C4358^2*D4358</f>
        <v/>
      </c>
    </row>
    <row r="4359">
      <c r="A4359" s="26" t="n">
        <v>45943</v>
      </c>
      <c r="B4359" s="14" t="inlineStr">
        <is>
          <t>NB-0042</t>
        </is>
      </c>
      <c r="C4359" s="14" t="n">
        <v>55</v>
      </c>
      <c r="D4359" s="14">
        <f>IF(A4359&gt;LastWeek-364,1,0)</f>
        <v/>
      </c>
      <c r="E4359" s="14">
        <f>C4359^2*D4359</f>
        <v/>
      </c>
    </row>
    <row r="4360">
      <c r="A4360" s="26" t="n">
        <v>45950</v>
      </c>
      <c r="B4360" s="14" t="inlineStr">
        <is>
          <t>NB-0042</t>
        </is>
      </c>
      <c r="C4360" s="14" t="n">
        <v>58</v>
      </c>
      <c r="D4360" s="14">
        <f>IF(A4360&gt;LastWeek-364,1,0)</f>
        <v/>
      </c>
      <c r="E4360" s="14">
        <f>C4360^2*D4360</f>
        <v/>
      </c>
    </row>
    <row r="4361">
      <c r="A4361" s="26" t="n">
        <v>45957</v>
      </c>
      <c r="B4361" s="14" t="inlineStr">
        <is>
          <t>NB-0042</t>
        </is>
      </c>
      <c r="C4361" s="14" t="n">
        <v>71</v>
      </c>
      <c r="D4361" s="14">
        <f>IF(A4361&gt;LastWeek-364,1,0)</f>
        <v/>
      </c>
      <c r="E4361" s="14">
        <f>C4361^2*D4361</f>
        <v/>
      </c>
    </row>
    <row r="4362">
      <c r="A4362" s="26" t="n">
        <v>45964</v>
      </c>
      <c r="B4362" s="14" t="inlineStr">
        <is>
          <t>NB-0042</t>
        </is>
      </c>
      <c r="C4362" s="14" t="n">
        <v>86</v>
      </c>
      <c r="D4362" s="14">
        <f>IF(A4362&gt;LastWeek-364,1,0)</f>
        <v/>
      </c>
      <c r="E4362" s="14">
        <f>C4362^2*D4362</f>
        <v/>
      </c>
    </row>
    <row r="4363">
      <c r="A4363" s="26" t="n">
        <v>45971</v>
      </c>
      <c r="B4363" s="14" t="inlineStr">
        <is>
          <t>NB-0042</t>
        </is>
      </c>
      <c r="C4363" s="14" t="n">
        <v>67</v>
      </c>
      <c r="D4363" s="14">
        <f>IF(A4363&gt;LastWeek-364,1,0)</f>
        <v/>
      </c>
      <c r="E4363" s="14">
        <f>C4363^2*D4363</f>
        <v/>
      </c>
    </row>
    <row r="4364">
      <c r="A4364" s="26" t="n">
        <v>45978</v>
      </c>
      <c r="B4364" s="14" t="inlineStr">
        <is>
          <t>NB-0042</t>
        </is>
      </c>
      <c r="C4364" s="14" t="n">
        <v>55</v>
      </c>
      <c r="D4364" s="14">
        <f>IF(A4364&gt;LastWeek-364,1,0)</f>
        <v/>
      </c>
      <c r="E4364" s="14">
        <f>C4364^2*D4364</f>
        <v/>
      </c>
    </row>
    <row r="4365">
      <c r="A4365" s="26" t="n">
        <v>45985</v>
      </c>
      <c r="B4365" s="14" t="inlineStr">
        <is>
          <t>NB-0042</t>
        </is>
      </c>
      <c r="C4365" s="14" t="n">
        <v>76</v>
      </c>
      <c r="D4365" s="14">
        <f>IF(A4365&gt;LastWeek-364,1,0)</f>
        <v/>
      </c>
      <c r="E4365" s="14">
        <f>C4365^2*D4365</f>
        <v/>
      </c>
    </row>
    <row r="4366">
      <c r="A4366" s="26" t="n">
        <v>45992</v>
      </c>
      <c r="B4366" s="14" t="inlineStr">
        <is>
          <t>NB-0042</t>
        </is>
      </c>
      <c r="C4366" s="14" t="n">
        <v>55</v>
      </c>
      <c r="D4366" s="14">
        <f>IF(A4366&gt;LastWeek-364,1,0)</f>
        <v/>
      </c>
      <c r="E4366" s="14">
        <f>C4366^2*D4366</f>
        <v/>
      </c>
    </row>
    <row r="4367">
      <c r="A4367" s="26" t="n">
        <v>45999</v>
      </c>
      <c r="B4367" s="14" t="inlineStr">
        <is>
          <t>NB-0042</t>
        </is>
      </c>
      <c r="C4367" s="14" t="n">
        <v>50</v>
      </c>
      <c r="D4367" s="14">
        <f>IF(A4367&gt;LastWeek-364,1,0)</f>
        <v/>
      </c>
      <c r="E4367" s="14">
        <f>C4367^2*D4367</f>
        <v/>
      </c>
    </row>
    <row r="4368">
      <c r="A4368" s="26" t="n">
        <v>46006</v>
      </c>
      <c r="B4368" s="14" t="inlineStr">
        <is>
          <t>NB-0042</t>
        </is>
      </c>
      <c r="C4368" s="14" t="n">
        <v>39</v>
      </c>
      <c r="D4368" s="14">
        <f>IF(A4368&gt;LastWeek-364,1,0)</f>
        <v/>
      </c>
      <c r="E4368" s="14">
        <f>C4368^2*D4368</f>
        <v/>
      </c>
    </row>
    <row r="4369">
      <c r="A4369" s="26" t="n">
        <v>46013</v>
      </c>
      <c r="B4369" s="14" t="inlineStr">
        <is>
          <t>NB-0042</t>
        </is>
      </c>
      <c r="C4369" s="14" t="n">
        <v>43</v>
      </c>
      <c r="D4369" s="14">
        <f>IF(A4369&gt;LastWeek-364,1,0)</f>
        <v/>
      </c>
      <c r="E4369" s="14">
        <f>C4369^2*D4369</f>
        <v/>
      </c>
    </row>
    <row r="4370">
      <c r="A4370" s="26" t="n">
        <v>45292</v>
      </c>
      <c r="B4370" s="14" t="inlineStr">
        <is>
          <t>NB-0043</t>
        </is>
      </c>
      <c r="C4370" s="14" t="n">
        <v>3</v>
      </c>
      <c r="D4370" s="14">
        <f>IF(A4370&gt;LastWeek-364,1,0)</f>
        <v/>
      </c>
      <c r="E4370" s="14">
        <f>C4370^2*D4370</f>
        <v/>
      </c>
    </row>
    <row r="4371">
      <c r="A4371" s="26" t="n">
        <v>45299</v>
      </c>
      <c r="B4371" s="14" t="inlineStr">
        <is>
          <t>NB-0043</t>
        </is>
      </c>
      <c r="C4371" s="14" t="n">
        <v>3</v>
      </c>
      <c r="D4371" s="14">
        <f>IF(A4371&gt;LastWeek-364,1,0)</f>
        <v/>
      </c>
      <c r="E4371" s="14">
        <f>C4371^2*D4371</f>
        <v/>
      </c>
    </row>
    <row r="4372">
      <c r="A4372" s="26" t="n">
        <v>45306</v>
      </c>
      <c r="B4372" s="14" t="inlineStr">
        <is>
          <t>NB-0043</t>
        </is>
      </c>
      <c r="C4372" s="14" t="n">
        <v>5</v>
      </c>
      <c r="D4372" s="14">
        <f>IF(A4372&gt;LastWeek-364,1,0)</f>
        <v/>
      </c>
      <c r="E4372" s="14">
        <f>C4372^2*D4372</f>
        <v/>
      </c>
    </row>
    <row r="4373">
      <c r="A4373" s="26" t="n">
        <v>45313</v>
      </c>
      <c r="B4373" s="14" t="inlineStr">
        <is>
          <t>NB-0043</t>
        </is>
      </c>
      <c r="C4373" s="14" t="n">
        <v>3</v>
      </c>
      <c r="D4373" s="14">
        <f>IF(A4373&gt;LastWeek-364,1,0)</f>
        <v/>
      </c>
      <c r="E4373" s="14">
        <f>C4373^2*D4373</f>
        <v/>
      </c>
    </row>
    <row r="4374">
      <c r="A4374" s="26" t="n">
        <v>45320</v>
      </c>
      <c r="B4374" s="14" t="inlineStr">
        <is>
          <t>NB-0043</t>
        </is>
      </c>
      <c r="C4374" s="14" t="n">
        <v>0</v>
      </c>
      <c r="D4374" s="14">
        <f>IF(A4374&gt;LastWeek-364,1,0)</f>
        <v/>
      </c>
      <c r="E4374" s="14">
        <f>C4374^2*D4374</f>
        <v/>
      </c>
    </row>
    <row r="4375">
      <c r="A4375" s="26" t="n">
        <v>45327</v>
      </c>
      <c r="B4375" s="14" t="inlineStr">
        <is>
          <t>NB-0043</t>
        </is>
      </c>
      <c r="C4375" s="14" t="n">
        <v>3</v>
      </c>
      <c r="D4375" s="14">
        <f>IF(A4375&gt;LastWeek-364,1,0)</f>
        <v/>
      </c>
      <c r="E4375" s="14">
        <f>C4375^2*D4375</f>
        <v/>
      </c>
    </row>
    <row r="4376">
      <c r="A4376" s="26" t="n">
        <v>45334</v>
      </c>
      <c r="B4376" s="14" t="inlineStr">
        <is>
          <t>NB-0043</t>
        </is>
      </c>
      <c r="C4376" s="14" t="n">
        <v>4</v>
      </c>
      <c r="D4376" s="14">
        <f>IF(A4376&gt;LastWeek-364,1,0)</f>
        <v/>
      </c>
      <c r="E4376" s="14">
        <f>C4376^2*D4376</f>
        <v/>
      </c>
    </row>
    <row r="4377">
      <c r="A4377" s="26" t="n">
        <v>45341</v>
      </c>
      <c r="B4377" s="14" t="inlineStr">
        <is>
          <t>NB-0043</t>
        </is>
      </c>
      <c r="C4377" s="14" t="n">
        <v>4</v>
      </c>
      <c r="D4377" s="14">
        <f>IF(A4377&gt;LastWeek-364,1,0)</f>
        <v/>
      </c>
      <c r="E4377" s="14">
        <f>C4377^2*D4377</f>
        <v/>
      </c>
    </row>
    <row r="4378">
      <c r="A4378" s="26" t="n">
        <v>45348</v>
      </c>
      <c r="B4378" s="14" t="inlineStr">
        <is>
          <t>NB-0043</t>
        </is>
      </c>
      <c r="C4378" s="14" t="n">
        <v>8</v>
      </c>
      <c r="D4378" s="14">
        <f>IF(A4378&gt;LastWeek-364,1,0)</f>
        <v/>
      </c>
      <c r="E4378" s="14">
        <f>C4378^2*D4378</f>
        <v/>
      </c>
    </row>
    <row r="4379">
      <c r="A4379" s="26" t="n">
        <v>45355</v>
      </c>
      <c r="B4379" s="14" t="inlineStr">
        <is>
          <t>NB-0043</t>
        </is>
      </c>
      <c r="C4379" s="14" t="n">
        <v>4</v>
      </c>
      <c r="D4379" s="14">
        <f>IF(A4379&gt;LastWeek-364,1,0)</f>
        <v/>
      </c>
      <c r="E4379" s="14">
        <f>C4379^2*D4379</f>
        <v/>
      </c>
    </row>
    <row r="4380">
      <c r="A4380" s="26" t="n">
        <v>45362</v>
      </c>
      <c r="B4380" s="14" t="inlineStr">
        <is>
          <t>NB-0043</t>
        </is>
      </c>
      <c r="C4380" s="14" t="n">
        <v>6</v>
      </c>
      <c r="D4380" s="14">
        <f>IF(A4380&gt;LastWeek-364,1,0)</f>
        <v/>
      </c>
      <c r="E4380" s="14">
        <f>C4380^2*D4380</f>
        <v/>
      </c>
    </row>
    <row r="4381">
      <c r="A4381" s="26" t="n">
        <v>45369</v>
      </c>
      <c r="B4381" s="14" t="inlineStr">
        <is>
          <t>NB-0043</t>
        </is>
      </c>
      <c r="C4381" s="14" t="n">
        <v>5</v>
      </c>
      <c r="D4381" s="14">
        <f>IF(A4381&gt;LastWeek-364,1,0)</f>
        <v/>
      </c>
      <c r="E4381" s="14">
        <f>C4381^2*D4381</f>
        <v/>
      </c>
    </row>
    <row r="4382">
      <c r="A4382" s="26" t="n">
        <v>45376</v>
      </c>
      <c r="B4382" s="14" t="inlineStr">
        <is>
          <t>NB-0043</t>
        </is>
      </c>
      <c r="C4382" s="14" t="n">
        <v>5</v>
      </c>
      <c r="D4382" s="14">
        <f>IF(A4382&gt;LastWeek-364,1,0)</f>
        <v/>
      </c>
      <c r="E4382" s="14">
        <f>C4382^2*D4382</f>
        <v/>
      </c>
    </row>
    <row r="4383">
      <c r="A4383" s="26" t="n">
        <v>45383</v>
      </c>
      <c r="B4383" s="14" t="inlineStr">
        <is>
          <t>NB-0043</t>
        </is>
      </c>
      <c r="C4383" s="14" t="n">
        <v>3</v>
      </c>
      <c r="D4383" s="14">
        <f>IF(A4383&gt;LastWeek-364,1,0)</f>
        <v/>
      </c>
      <c r="E4383" s="14">
        <f>C4383^2*D4383</f>
        <v/>
      </c>
    </row>
    <row r="4384">
      <c r="A4384" s="26" t="n">
        <v>45390</v>
      </c>
      <c r="B4384" s="14" t="inlineStr">
        <is>
          <t>NB-0043</t>
        </is>
      </c>
      <c r="C4384" s="14" t="n">
        <v>5</v>
      </c>
      <c r="D4384" s="14">
        <f>IF(A4384&gt;LastWeek-364,1,0)</f>
        <v/>
      </c>
      <c r="E4384" s="14">
        <f>C4384^2*D4384</f>
        <v/>
      </c>
    </row>
    <row r="4385">
      <c r="A4385" s="26" t="n">
        <v>45397</v>
      </c>
      <c r="B4385" s="14" t="inlineStr">
        <is>
          <t>NB-0043</t>
        </is>
      </c>
      <c r="C4385" s="14" t="n">
        <v>3</v>
      </c>
      <c r="D4385" s="14">
        <f>IF(A4385&gt;LastWeek-364,1,0)</f>
        <v/>
      </c>
      <c r="E4385" s="14">
        <f>C4385^2*D4385</f>
        <v/>
      </c>
    </row>
    <row r="4386">
      <c r="A4386" s="26" t="n">
        <v>45404</v>
      </c>
      <c r="B4386" s="14" t="inlineStr">
        <is>
          <t>NB-0043</t>
        </is>
      </c>
      <c r="C4386" s="14" t="n">
        <v>5</v>
      </c>
      <c r="D4386" s="14">
        <f>IF(A4386&gt;LastWeek-364,1,0)</f>
        <v/>
      </c>
      <c r="E4386" s="14">
        <f>C4386^2*D4386</f>
        <v/>
      </c>
    </row>
    <row r="4387">
      <c r="A4387" s="26" t="n">
        <v>45411</v>
      </c>
      <c r="B4387" s="14" t="inlineStr">
        <is>
          <t>NB-0043</t>
        </is>
      </c>
      <c r="C4387" s="14" t="n">
        <v>4</v>
      </c>
      <c r="D4387" s="14">
        <f>IF(A4387&gt;LastWeek-364,1,0)</f>
        <v/>
      </c>
      <c r="E4387" s="14">
        <f>C4387^2*D4387</f>
        <v/>
      </c>
    </row>
    <row r="4388">
      <c r="A4388" s="26" t="n">
        <v>45418</v>
      </c>
      <c r="B4388" s="14" t="inlineStr">
        <is>
          <t>NB-0043</t>
        </is>
      </c>
      <c r="C4388" s="14" t="n">
        <v>3</v>
      </c>
      <c r="D4388" s="14">
        <f>IF(A4388&gt;LastWeek-364,1,0)</f>
        <v/>
      </c>
      <c r="E4388" s="14">
        <f>C4388^2*D4388</f>
        <v/>
      </c>
    </row>
    <row r="4389">
      <c r="A4389" s="26" t="n">
        <v>45425</v>
      </c>
      <c r="B4389" s="14" t="inlineStr">
        <is>
          <t>NB-0043</t>
        </is>
      </c>
      <c r="C4389" s="14" t="n">
        <v>6</v>
      </c>
      <c r="D4389" s="14">
        <f>IF(A4389&gt;LastWeek-364,1,0)</f>
        <v/>
      </c>
      <c r="E4389" s="14">
        <f>C4389^2*D4389</f>
        <v/>
      </c>
    </row>
    <row r="4390">
      <c r="A4390" s="26" t="n">
        <v>45432</v>
      </c>
      <c r="B4390" s="14" t="inlineStr">
        <is>
          <t>NB-0043</t>
        </is>
      </c>
      <c r="C4390" s="14" t="n">
        <v>5</v>
      </c>
      <c r="D4390" s="14">
        <f>IF(A4390&gt;LastWeek-364,1,0)</f>
        <v/>
      </c>
      <c r="E4390" s="14">
        <f>C4390^2*D4390</f>
        <v/>
      </c>
    </row>
    <row r="4391">
      <c r="A4391" s="26" t="n">
        <v>45439</v>
      </c>
      <c r="B4391" s="14" t="inlineStr">
        <is>
          <t>NB-0043</t>
        </is>
      </c>
      <c r="C4391" s="14" t="n">
        <v>4</v>
      </c>
      <c r="D4391" s="14">
        <f>IF(A4391&gt;LastWeek-364,1,0)</f>
        <v/>
      </c>
      <c r="E4391" s="14">
        <f>C4391^2*D4391</f>
        <v/>
      </c>
    </row>
    <row r="4392">
      <c r="A4392" s="26" t="n">
        <v>45446</v>
      </c>
      <c r="B4392" s="14" t="inlineStr">
        <is>
          <t>NB-0043</t>
        </is>
      </c>
      <c r="C4392" s="14" t="n">
        <v>5</v>
      </c>
      <c r="D4392" s="14">
        <f>IF(A4392&gt;LastWeek-364,1,0)</f>
        <v/>
      </c>
      <c r="E4392" s="14">
        <f>C4392^2*D4392</f>
        <v/>
      </c>
    </row>
    <row r="4393">
      <c r="A4393" s="26" t="n">
        <v>45453</v>
      </c>
      <c r="B4393" s="14" t="inlineStr">
        <is>
          <t>NB-0043</t>
        </is>
      </c>
      <c r="C4393" s="14" t="n">
        <v>4</v>
      </c>
      <c r="D4393" s="14">
        <f>IF(A4393&gt;LastWeek-364,1,0)</f>
        <v/>
      </c>
      <c r="E4393" s="14">
        <f>C4393^2*D4393</f>
        <v/>
      </c>
    </row>
    <row r="4394">
      <c r="A4394" s="26" t="n">
        <v>45460</v>
      </c>
      <c r="B4394" s="14" t="inlineStr">
        <is>
          <t>NB-0043</t>
        </is>
      </c>
      <c r="C4394" s="14" t="n">
        <v>3</v>
      </c>
      <c r="D4394" s="14">
        <f>IF(A4394&gt;LastWeek-364,1,0)</f>
        <v/>
      </c>
      <c r="E4394" s="14">
        <f>C4394^2*D4394</f>
        <v/>
      </c>
    </row>
    <row r="4395">
      <c r="A4395" s="26" t="n">
        <v>45467</v>
      </c>
      <c r="B4395" s="14" t="inlineStr">
        <is>
          <t>NB-0043</t>
        </is>
      </c>
      <c r="C4395" s="14" t="n">
        <v>5</v>
      </c>
      <c r="D4395" s="14">
        <f>IF(A4395&gt;LastWeek-364,1,0)</f>
        <v/>
      </c>
      <c r="E4395" s="14">
        <f>C4395^2*D4395</f>
        <v/>
      </c>
    </row>
    <row r="4396">
      <c r="A4396" s="26" t="n">
        <v>45474</v>
      </c>
      <c r="B4396" s="14" t="inlineStr">
        <is>
          <t>NB-0043</t>
        </is>
      </c>
      <c r="C4396" s="14" t="n">
        <v>3</v>
      </c>
      <c r="D4396" s="14">
        <f>IF(A4396&gt;LastWeek-364,1,0)</f>
        <v/>
      </c>
      <c r="E4396" s="14">
        <f>C4396^2*D4396</f>
        <v/>
      </c>
    </row>
    <row r="4397">
      <c r="A4397" s="26" t="n">
        <v>45481</v>
      </c>
      <c r="B4397" s="14" t="inlineStr">
        <is>
          <t>NB-0043</t>
        </is>
      </c>
      <c r="C4397" s="14" t="n">
        <v>3</v>
      </c>
      <c r="D4397" s="14">
        <f>IF(A4397&gt;LastWeek-364,1,0)</f>
        <v/>
      </c>
      <c r="E4397" s="14">
        <f>C4397^2*D4397</f>
        <v/>
      </c>
    </row>
    <row r="4398">
      <c r="A4398" s="26" t="n">
        <v>45488</v>
      </c>
      <c r="B4398" s="14" t="inlineStr">
        <is>
          <t>NB-0043</t>
        </is>
      </c>
      <c r="C4398" s="14" t="n">
        <v>2</v>
      </c>
      <c r="D4398" s="14">
        <f>IF(A4398&gt;LastWeek-364,1,0)</f>
        <v/>
      </c>
      <c r="E4398" s="14">
        <f>C4398^2*D4398</f>
        <v/>
      </c>
    </row>
    <row r="4399">
      <c r="A4399" s="26" t="n">
        <v>45495</v>
      </c>
      <c r="B4399" s="14" t="inlineStr">
        <is>
          <t>NB-0043</t>
        </is>
      </c>
      <c r="C4399" s="14" t="n">
        <v>4</v>
      </c>
      <c r="D4399" s="14">
        <f>IF(A4399&gt;LastWeek-364,1,0)</f>
        <v/>
      </c>
      <c r="E4399" s="14">
        <f>C4399^2*D4399</f>
        <v/>
      </c>
    </row>
    <row r="4400">
      <c r="A4400" s="26" t="n">
        <v>45502</v>
      </c>
      <c r="B4400" s="14" t="inlineStr">
        <is>
          <t>NB-0043</t>
        </is>
      </c>
      <c r="C4400" s="14" t="n">
        <v>6</v>
      </c>
      <c r="D4400" s="14">
        <f>IF(A4400&gt;LastWeek-364,1,0)</f>
        <v/>
      </c>
      <c r="E4400" s="14">
        <f>C4400^2*D4400</f>
        <v/>
      </c>
    </row>
    <row r="4401">
      <c r="A4401" s="26" t="n">
        <v>45509</v>
      </c>
      <c r="B4401" s="14" t="inlineStr">
        <is>
          <t>NB-0043</t>
        </is>
      </c>
      <c r="C4401" s="14" t="n">
        <v>3</v>
      </c>
      <c r="D4401" s="14">
        <f>IF(A4401&gt;LastWeek-364,1,0)</f>
        <v/>
      </c>
      <c r="E4401" s="14">
        <f>C4401^2*D4401</f>
        <v/>
      </c>
    </row>
    <row r="4402">
      <c r="A4402" s="26" t="n">
        <v>45516</v>
      </c>
      <c r="B4402" s="14" t="inlineStr">
        <is>
          <t>NB-0043</t>
        </is>
      </c>
      <c r="C4402" s="14" t="n">
        <v>9</v>
      </c>
      <c r="D4402" s="14">
        <f>IF(A4402&gt;LastWeek-364,1,0)</f>
        <v/>
      </c>
      <c r="E4402" s="14">
        <f>C4402^2*D4402</f>
        <v/>
      </c>
    </row>
    <row r="4403">
      <c r="A4403" s="26" t="n">
        <v>45523</v>
      </c>
      <c r="B4403" s="14" t="inlineStr">
        <is>
          <t>NB-0043</t>
        </is>
      </c>
      <c r="C4403" s="14" t="n">
        <v>6</v>
      </c>
      <c r="D4403" s="14">
        <f>IF(A4403&gt;LastWeek-364,1,0)</f>
        <v/>
      </c>
      <c r="E4403" s="14">
        <f>C4403^2*D4403</f>
        <v/>
      </c>
    </row>
    <row r="4404">
      <c r="A4404" s="26" t="n">
        <v>45530</v>
      </c>
      <c r="B4404" s="14" t="inlineStr">
        <is>
          <t>NB-0043</t>
        </is>
      </c>
      <c r="C4404" s="14" t="n">
        <v>7</v>
      </c>
      <c r="D4404" s="14">
        <f>IF(A4404&gt;LastWeek-364,1,0)</f>
        <v/>
      </c>
      <c r="E4404" s="14">
        <f>C4404^2*D4404</f>
        <v/>
      </c>
    </row>
    <row r="4405">
      <c r="A4405" s="26" t="n">
        <v>45537</v>
      </c>
      <c r="B4405" s="14" t="inlineStr">
        <is>
          <t>NB-0043</t>
        </is>
      </c>
      <c r="C4405" s="14" t="n">
        <v>6</v>
      </c>
      <c r="D4405" s="14">
        <f>IF(A4405&gt;LastWeek-364,1,0)</f>
        <v/>
      </c>
      <c r="E4405" s="14">
        <f>C4405^2*D4405</f>
        <v/>
      </c>
    </row>
    <row r="4406">
      <c r="A4406" s="26" t="n">
        <v>45544</v>
      </c>
      <c r="B4406" s="14" t="inlineStr">
        <is>
          <t>NB-0043</t>
        </is>
      </c>
      <c r="C4406" s="14" t="n">
        <v>8</v>
      </c>
      <c r="D4406" s="14">
        <f>IF(A4406&gt;LastWeek-364,1,0)</f>
        <v/>
      </c>
      <c r="E4406" s="14">
        <f>C4406^2*D4406</f>
        <v/>
      </c>
    </row>
    <row r="4407">
      <c r="A4407" s="26" t="n">
        <v>45551</v>
      </c>
      <c r="B4407" s="14" t="inlineStr">
        <is>
          <t>NB-0043</t>
        </is>
      </c>
      <c r="C4407" s="14" t="n">
        <v>4</v>
      </c>
      <c r="D4407" s="14">
        <f>IF(A4407&gt;LastWeek-364,1,0)</f>
        <v/>
      </c>
      <c r="E4407" s="14">
        <f>C4407^2*D4407</f>
        <v/>
      </c>
    </row>
    <row r="4408">
      <c r="A4408" s="26" t="n">
        <v>45558</v>
      </c>
      <c r="B4408" s="14" t="inlineStr">
        <is>
          <t>NB-0043</t>
        </is>
      </c>
      <c r="C4408" s="14" t="n">
        <v>0</v>
      </c>
      <c r="D4408" s="14">
        <f>IF(A4408&gt;LastWeek-364,1,0)</f>
        <v/>
      </c>
      <c r="E4408" s="14">
        <f>C4408^2*D4408</f>
        <v/>
      </c>
    </row>
    <row r="4409">
      <c r="A4409" s="26" t="n">
        <v>45565</v>
      </c>
      <c r="B4409" s="14" t="inlineStr">
        <is>
          <t>NB-0043</t>
        </is>
      </c>
      <c r="C4409" s="14" t="n">
        <v>4</v>
      </c>
      <c r="D4409" s="14">
        <f>IF(A4409&gt;LastWeek-364,1,0)</f>
        <v/>
      </c>
      <c r="E4409" s="14">
        <f>C4409^2*D4409</f>
        <v/>
      </c>
    </row>
    <row r="4410">
      <c r="A4410" s="26" t="n">
        <v>45572</v>
      </c>
      <c r="B4410" s="14" t="inlineStr">
        <is>
          <t>NB-0043</t>
        </is>
      </c>
      <c r="C4410" s="14" t="n">
        <v>6</v>
      </c>
      <c r="D4410" s="14">
        <f>IF(A4410&gt;LastWeek-364,1,0)</f>
        <v/>
      </c>
      <c r="E4410" s="14">
        <f>C4410^2*D4410</f>
        <v/>
      </c>
    </row>
    <row r="4411">
      <c r="A4411" s="26" t="n">
        <v>45579</v>
      </c>
      <c r="B4411" s="14" t="inlineStr">
        <is>
          <t>NB-0043</t>
        </is>
      </c>
      <c r="C4411" s="14" t="n">
        <v>6</v>
      </c>
      <c r="D4411" s="14">
        <f>IF(A4411&gt;LastWeek-364,1,0)</f>
        <v/>
      </c>
      <c r="E4411" s="14">
        <f>C4411^2*D4411</f>
        <v/>
      </c>
    </row>
    <row r="4412">
      <c r="A4412" s="26" t="n">
        <v>45586</v>
      </c>
      <c r="B4412" s="14" t="inlineStr">
        <is>
          <t>NB-0043</t>
        </is>
      </c>
      <c r="C4412" s="14" t="n">
        <v>6</v>
      </c>
      <c r="D4412" s="14">
        <f>IF(A4412&gt;LastWeek-364,1,0)</f>
        <v/>
      </c>
      <c r="E4412" s="14">
        <f>C4412^2*D4412</f>
        <v/>
      </c>
    </row>
    <row r="4413">
      <c r="A4413" s="26" t="n">
        <v>45593</v>
      </c>
      <c r="B4413" s="14" t="inlineStr">
        <is>
          <t>NB-0043</t>
        </is>
      </c>
      <c r="C4413" s="14" t="n">
        <v>8</v>
      </c>
      <c r="D4413" s="14">
        <f>IF(A4413&gt;LastWeek-364,1,0)</f>
        <v/>
      </c>
      <c r="E4413" s="14">
        <f>C4413^2*D4413</f>
        <v/>
      </c>
    </row>
    <row r="4414">
      <c r="A4414" s="26" t="n">
        <v>45600</v>
      </c>
      <c r="B4414" s="14" t="inlineStr">
        <is>
          <t>NB-0043</t>
        </is>
      </c>
      <c r="C4414" s="14" t="n">
        <v>6</v>
      </c>
      <c r="D4414" s="14">
        <f>IF(A4414&gt;LastWeek-364,1,0)</f>
        <v/>
      </c>
      <c r="E4414" s="14">
        <f>C4414^2*D4414</f>
        <v/>
      </c>
    </row>
    <row r="4415">
      <c r="A4415" s="26" t="n">
        <v>45607</v>
      </c>
      <c r="B4415" s="14" t="inlineStr">
        <is>
          <t>NB-0043</t>
        </is>
      </c>
      <c r="C4415" s="14" t="n">
        <v>7</v>
      </c>
      <c r="D4415" s="14">
        <f>IF(A4415&gt;LastWeek-364,1,0)</f>
        <v/>
      </c>
      <c r="E4415" s="14">
        <f>C4415^2*D4415</f>
        <v/>
      </c>
    </row>
    <row r="4416">
      <c r="A4416" s="26" t="n">
        <v>45614</v>
      </c>
      <c r="B4416" s="14" t="inlineStr">
        <is>
          <t>NB-0043</t>
        </is>
      </c>
      <c r="C4416" s="14" t="n">
        <v>4</v>
      </c>
      <c r="D4416" s="14">
        <f>IF(A4416&gt;LastWeek-364,1,0)</f>
        <v/>
      </c>
      <c r="E4416" s="14">
        <f>C4416^2*D4416</f>
        <v/>
      </c>
    </row>
    <row r="4417">
      <c r="A4417" s="26" t="n">
        <v>45621</v>
      </c>
      <c r="B4417" s="14" t="inlineStr">
        <is>
          <t>NB-0043</t>
        </is>
      </c>
      <c r="C4417" s="14" t="n">
        <v>3</v>
      </c>
      <c r="D4417" s="14">
        <f>IF(A4417&gt;LastWeek-364,1,0)</f>
        <v/>
      </c>
      <c r="E4417" s="14">
        <f>C4417^2*D4417</f>
        <v/>
      </c>
    </row>
    <row r="4418">
      <c r="A4418" s="26" t="n">
        <v>45628</v>
      </c>
      <c r="B4418" s="14" t="inlineStr">
        <is>
          <t>NB-0043</t>
        </is>
      </c>
      <c r="C4418" s="14" t="n">
        <v>9</v>
      </c>
      <c r="D4418" s="14">
        <f>IF(A4418&gt;LastWeek-364,1,0)</f>
        <v/>
      </c>
      <c r="E4418" s="14">
        <f>C4418^2*D4418</f>
        <v/>
      </c>
    </row>
    <row r="4419">
      <c r="A4419" s="26" t="n">
        <v>45635</v>
      </c>
      <c r="B4419" s="14" t="inlineStr">
        <is>
          <t>NB-0043</t>
        </is>
      </c>
      <c r="C4419" s="14" t="n">
        <v>6</v>
      </c>
      <c r="D4419" s="14">
        <f>IF(A4419&gt;LastWeek-364,1,0)</f>
        <v/>
      </c>
      <c r="E4419" s="14">
        <f>C4419^2*D4419</f>
        <v/>
      </c>
    </row>
    <row r="4420">
      <c r="A4420" s="26" t="n">
        <v>45642</v>
      </c>
      <c r="B4420" s="14" t="inlineStr">
        <is>
          <t>NB-0043</t>
        </is>
      </c>
      <c r="C4420" s="14" t="n">
        <v>5</v>
      </c>
      <c r="D4420" s="14">
        <f>IF(A4420&gt;LastWeek-364,1,0)</f>
        <v/>
      </c>
      <c r="E4420" s="14">
        <f>C4420^2*D4420</f>
        <v/>
      </c>
    </row>
    <row r="4421">
      <c r="A4421" s="26" t="n">
        <v>45649</v>
      </c>
      <c r="B4421" s="14" t="inlineStr">
        <is>
          <t>NB-0043</t>
        </is>
      </c>
      <c r="C4421" s="14" t="n">
        <v>5</v>
      </c>
      <c r="D4421" s="14">
        <f>IF(A4421&gt;LastWeek-364,1,0)</f>
        <v/>
      </c>
      <c r="E4421" s="14">
        <f>C4421^2*D4421</f>
        <v/>
      </c>
    </row>
    <row r="4422">
      <c r="A4422" s="26" t="n">
        <v>45656</v>
      </c>
      <c r="B4422" s="14" t="inlineStr">
        <is>
          <t>NB-0043</t>
        </is>
      </c>
      <c r="C4422" s="14" t="n">
        <v>5</v>
      </c>
      <c r="D4422" s="14">
        <f>IF(A4422&gt;LastWeek-364,1,0)</f>
        <v/>
      </c>
      <c r="E4422" s="14">
        <f>C4422^2*D4422</f>
        <v/>
      </c>
    </row>
    <row r="4423">
      <c r="A4423" s="26" t="n">
        <v>45663</v>
      </c>
      <c r="B4423" s="14" t="inlineStr">
        <is>
          <t>NB-0043</t>
        </is>
      </c>
      <c r="C4423" s="14" t="n">
        <v>4</v>
      </c>
      <c r="D4423" s="14">
        <f>IF(A4423&gt;LastWeek-364,1,0)</f>
        <v/>
      </c>
      <c r="E4423" s="14">
        <f>C4423^2*D4423</f>
        <v/>
      </c>
    </row>
    <row r="4424">
      <c r="A4424" s="26" t="n">
        <v>45670</v>
      </c>
      <c r="B4424" s="14" t="inlineStr">
        <is>
          <t>NB-0043</t>
        </is>
      </c>
      <c r="C4424" s="14" t="n">
        <v>3</v>
      </c>
      <c r="D4424" s="14">
        <f>IF(A4424&gt;LastWeek-364,1,0)</f>
        <v/>
      </c>
      <c r="E4424" s="14">
        <f>C4424^2*D4424</f>
        <v/>
      </c>
    </row>
    <row r="4425">
      <c r="A4425" s="26" t="n">
        <v>45677</v>
      </c>
      <c r="B4425" s="14" t="inlineStr">
        <is>
          <t>NB-0043</t>
        </is>
      </c>
      <c r="C4425" s="14" t="n">
        <v>3</v>
      </c>
      <c r="D4425" s="14">
        <f>IF(A4425&gt;LastWeek-364,1,0)</f>
        <v/>
      </c>
      <c r="E4425" s="14">
        <f>C4425^2*D4425</f>
        <v/>
      </c>
    </row>
    <row r="4426">
      <c r="A4426" s="26" t="n">
        <v>45684</v>
      </c>
      <c r="B4426" s="14" t="inlineStr">
        <is>
          <t>NB-0043</t>
        </is>
      </c>
      <c r="C4426" s="14" t="n">
        <v>6</v>
      </c>
      <c r="D4426" s="14">
        <f>IF(A4426&gt;LastWeek-364,1,0)</f>
        <v/>
      </c>
      <c r="E4426" s="14">
        <f>C4426^2*D4426</f>
        <v/>
      </c>
    </row>
    <row r="4427">
      <c r="A4427" s="26" t="n">
        <v>45691</v>
      </c>
      <c r="B4427" s="14" t="inlineStr">
        <is>
          <t>NB-0043</t>
        </is>
      </c>
      <c r="C4427" s="14" t="n">
        <v>5</v>
      </c>
      <c r="D4427" s="14">
        <f>IF(A4427&gt;LastWeek-364,1,0)</f>
        <v/>
      </c>
      <c r="E4427" s="14">
        <f>C4427^2*D4427</f>
        <v/>
      </c>
    </row>
    <row r="4428">
      <c r="A4428" s="26" t="n">
        <v>45698</v>
      </c>
      <c r="B4428" s="14" t="inlineStr">
        <is>
          <t>NB-0043</t>
        </is>
      </c>
      <c r="C4428" s="14" t="n">
        <v>9</v>
      </c>
      <c r="D4428" s="14">
        <f>IF(A4428&gt;LastWeek-364,1,0)</f>
        <v/>
      </c>
      <c r="E4428" s="14">
        <f>C4428^2*D4428</f>
        <v/>
      </c>
    </row>
    <row r="4429">
      <c r="A4429" s="26" t="n">
        <v>45705</v>
      </c>
      <c r="B4429" s="14" t="inlineStr">
        <is>
          <t>NB-0043</t>
        </is>
      </c>
      <c r="C4429" s="14" t="n">
        <v>7</v>
      </c>
      <c r="D4429" s="14">
        <f>IF(A4429&gt;LastWeek-364,1,0)</f>
        <v/>
      </c>
      <c r="E4429" s="14">
        <f>C4429^2*D4429</f>
        <v/>
      </c>
    </row>
    <row r="4430">
      <c r="A4430" s="26" t="n">
        <v>45712</v>
      </c>
      <c r="B4430" s="14" t="inlineStr">
        <is>
          <t>NB-0043</t>
        </is>
      </c>
      <c r="C4430" s="14" t="n">
        <v>7</v>
      </c>
      <c r="D4430" s="14">
        <f>IF(A4430&gt;LastWeek-364,1,0)</f>
        <v/>
      </c>
      <c r="E4430" s="14">
        <f>C4430^2*D4430</f>
        <v/>
      </c>
    </row>
    <row r="4431">
      <c r="A4431" s="26" t="n">
        <v>45719</v>
      </c>
      <c r="B4431" s="14" t="inlineStr">
        <is>
          <t>NB-0043</t>
        </is>
      </c>
      <c r="C4431" s="14" t="n">
        <v>4</v>
      </c>
      <c r="D4431" s="14">
        <f>IF(A4431&gt;LastWeek-364,1,0)</f>
        <v/>
      </c>
      <c r="E4431" s="14">
        <f>C4431^2*D4431</f>
        <v/>
      </c>
    </row>
    <row r="4432">
      <c r="A4432" s="26" t="n">
        <v>45726</v>
      </c>
      <c r="B4432" s="14" t="inlineStr">
        <is>
          <t>NB-0043</t>
        </is>
      </c>
      <c r="C4432" s="14" t="n">
        <v>6</v>
      </c>
      <c r="D4432" s="14">
        <f>IF(A4432&gt;LastWeek-364,1,0)</f>
        <v/>
      </c>
      <c r="E4432" s="14">
        <f>C4432^2*D4432</f>
        <v/>
      </c>
    </row>
    <row r="4433">
      <c r="A4433" s="26" t="n">
        <v>45733</v>
      </c>
      <c r="B4433" s="14" t="inlineStr">
        <is>
          <t>NB-0043</t>
        </is>
      </c>
      <c r="C4433" s="14" t="n">
        <v>7</v>
      </c>
      <c r="D4433" s="14">
        <f>IF(A4433&gt;LastWeek-364,1,0)</f>
        <v/>
      </c>
      <c r="E4433" s="14">
        <f>C4433^2*D4433</f>
        <v/>
      </c>
    </row>
    <row r="4434">
      <c r="A4434" s="26" t="n">
        <v>45740</v>
      </c>
      <c r="B4434" s="14" t="inlineStr">
        <is>
          <t>NB-0043</t>
        </is>
      </c>
      <c r="C4434" s="14" t="n">
        <v>7</v>
      </c>
      <c r="D4434" s="14">
        <f>IF(A4434&gt;LastWeek-364,1,0)</f>
        <v/>
      </c>
      <c r="E4434" s="14">
        <f>C4434^2*D4434</f>
        <v/>
      </c>
    </row>
    <row r="4435">
      <c r="A4435" s="26" t="n">
        <v>45747</v>
      </c>
      <c r="B4435" s="14" t="inlineStr">
        <is>
          <t>NB-0043</t>
        </is>
      </c>
      <c r="C4435" s="14" t="n">
        <v>6</v>
      </c>
      <c r="D4435" s="14">
        <f>IF(A4435&gt;LastWeek-364,1,0)</f>
        <v/>
      </c>
      <c r="E4435" s="14">
        <f>C4435^2*D4435</f>
        <v/>
      </c>
    </row>
    <row r="4436">
      <c r="A4436" s="26" t="n">
        <v>45754</v>
      </c>
      <c r="B4436" s="14" t="inlineStr">
        <is>
          <t>NB-0043</t>
        </is>
      </c>
      <c r="C4436" s="14" t="n">
        <v>8</v>
      </c>
      <c r="D4436" s="14">
        <f>IF(A4436&gt;LastWeek-364,1,0)</f>
        <v/>
      </c>
      <c r="E4436" s="14">
        <f>C4436^2*D4436</f>
        <v/>
      </c>
    </row>
    <row r="4437">
      <c r="A4437" s="26" t="n">
        <v>45761</v>
      </c>
      <c r="B4437" s="14" t="inlineStr">
        <is>
          <t>NB-0043</t>
        </is>
      </c>
      <c r="C4437" s="14" t="n">
        <v>6</v>
      </c>
      <c r="D4437" s="14">
        <f>IF(A4437&gt;LastWeek-364,1,0)</f>
        <v/>
      </c>
      <c r="E4437" s="14">
        <f>C4437^2*D4437</f>
        <v/>
      </c>
    </row>
    <row r="4438">
      <c r="A4438" s="26" t="n">
        <v>45768</v>
      </c>
      <c r="B4438" s="14" t="inlineStr">
        <is>
          <t>NB-0043</t>
        </is>
      </c>
      <c r="C4438" s="14" t="n">
        <v>7</v>
      </c>
      <c r="D4438" s="14">
        <f>IF(A4438&gt;LastWeek-364,1,0)</f>
        <v/>
      </c>
      <c r="E4438" s="14">
        <f>C4438^2*D4438</f>
        <v/>
      </c>
    </row>
    <row r="4439">
      <c r="A4439" s="26" t="n">
        <v>45775</v>
      </c>
      <c r="B4439" s="14" t="inlineStr">
        <is>
          <t>NB-0043</t>
        </is>
      </c>
      <c r="C4439" s="14" t="n">
        <v>5</v>
      </c>
      <c r="D4439" s="14">
        <f>IF(A4439&gt;LastWeek-364,1,0)</f>
        <v/>
      </c>
      <c r="E4439" s="14">
        <f>C4439^2*D4439</f>
        <v/>
      </c>
    </row>
    <row r="4440">
      <c r="A4440" s="26" t="n">
        <v>45782</v>
      </c>
      <c r="B4440" s="14" t="inlineStr">
        <is>
          <t>NB-0043</t>
        </is>
      </c>
      <c r="C4440" s="14" t="n">
        <v>2</v>
      </c>
      <c r="D4440" s="14">
        <f>IF(A4440&gt;LastWeek-364,1,0)</f>
        <v/>
      </c>
      <c r="E4440" s="14">
        <f>C4440^2*D4440</f>
        <v/>
      </c>
    </row>
    <row r="4441">
      <c r="A4441" s="26" t="n">
        <v>45789</v>
      </c>
      <c r="B4441" s="14" t="inlineStr">
        <is>
          <t>NB-0043</t>
        </is>
      </c>
      <c r="C4441" s="14" t="n">
        <v>6</v>
      </c>
      <c r="D4441" s="14">
        <f>IF(A4441&gt;LastWeek-364,1,0)</f>
        <v/>
      </c>
      <c r="E4441" s="14">
        <f>C4441^2*D4441</f>
        <v/>
      </c>
    </row>
    <row r="4442">
      <c r="A4442" s="26" t="n">
        <v>45796</v>
      </c>
      <c r="B4442" s="14" t="inlineStr">
        <is>
          <t>NB-0043</t>
        </is>
      </c>
      <c r="C4442" s="14" t="n">
        <v>7</v>
      </c>
      <c r="D4442" s="14">
        <f>IF(A4442&gt;LastWeek-364,1,0)</f>
        <v/>
      </c>
      <c r="E4442" s="14">
        <f>C4442^2*D4442</f>
        <v/>
      </c>
    </row>
    <row r="4443">
      <c r="A4443" s="26" t="n">
        <v>45803</v>
      </c>
      <c r="B4443" s="14" t="inlineStr">
        <is>
          <t>NB-0043</t>
        </is>
      </c>
      <c r="C4443" s="14" t="n">
        <v>7</v>
      </c>
      <c r="D4443" s="14">
        <f>IF(A4443&gt;LastWeek-364,1,0)</f>
        <v/>
      </c>
      <c r="E4443" s="14">
        <f>C4443^2*D4443</f>
        <v/>
      </c>
    </row>
    <row r="4444">
      <c r="A4444" s="26" t="n">
        <v>45810</v>
      </c>
      <c r="B4444" s="14" t="inlineStr">
        <is>
          <t>NB-0043</t>
        </is>
      </c>
      <c r="C4444" s="14" t="n">
        <v>6</v>
      </c>
      <c r="D4444" s="14">
        <f>IF(A4444&gt;LastWeek-364,1,0)</f>
        <v/>
      </c>
      <c r="E4444" s="14">
        <f>C4444^2*D4444</f>
        <v/>
      </c>
    </row>
    <row r="4445">
      <c r="A4445" s="26" t="n">
        <v>45817</v>
      </c>
      <c r="B4445" s="14" t="inlineStr">
        <is>
          <t>NB-0043</t>
        </is>
      </c>
      <c r="C4445" s="14" t="n">
        <v>5</v>
      </c>
      <c r="D4445" s="14">
        <f>IF(A4445&gt;LastWeek-364,1,0)</f>
        <v/>
      </c>
      <c r="E4445" s="14">
        <f>C4445^2*D4445</f>
        <v/>
      </c>
    </row>
    <row r="4446">
      <c r="A4446" s="26" t="n">
        <v>45824</v>
      </c>
      <c r="B4446" s="14" t="inlineStr">
        <is>
          <t>NB-0043</t>
        </is>
      </c>
      <c r="C4446" s="14" t="n">
        <v>4</v>
      </c>
      <c r="D4446" s="14">
        <f>IF(A4446&gt;LastWeek-364,1,0)</f>
        <v/>
      </c>
      <c r="E4446" s="14">
        <f>C4446^2*D4446</f>
        <v/>
      </c>
    </row>
    <row r="4447">
      <c r="A4447" s="26" t="n">
        <v>45831</v>
      </c>
      <c r="B4447" s="14" t="inlineStr">
        <is>
          <t>NB-0043</t>
        </is>
      </c>
      <c r="C4447" s="14" t="n">
        <v>7</v>
      </c>
      <c r="D4447" s="14">
        <f>IF(A4447&gt;LastWeek-364,1,0)</f>
        <v/>
      </c>
      <c r="E4447" s="14">
        <f>C4447^2*D4447</f>
        <v/>
      </c>
    </row>
    <row r="4448">
      <c r="A4448" s="26" t="n">
        <v>45838</v>
      </c>
      <c r="B4448" s="14" t="inlineStr">
        <is>
          <t>NB-0043</t>
        </is>
      </c>
      <c r="C4448" s="14" t="n">
        <v>6</v>
      </c>
      <c r="D4448" s="14">
        <f>IF(A4448&gt;LastWeek-364,1,0)</f>
        <v/>
      </c>
      <c r="E4448" s="14">
        <f>C4448^2*D4448</f>
        <v/>
      </c>
    </row>
    <row r="4449">
      <c r="A4449" s="26" t="n">
        <v>45845</v>
      </c>
      <c r="B4449" s="14" t="inlineStr">
        <is>
          <t>NB-0043</t>
        </is>
      </c>
      <c r="C4449" s="14" t="n">
        <v>4</v>
      </c>
      <c r="D4449" s="14">
        <f>IF(A4449&gt;LastWeek-364,1,0)</f>
        <v/>
      </c>
      <c r="E4449" s="14">
        <f>C4449^2*D4449</f>
        <v/>
      </c>
    </row>
    <row r="4450">
      <c r="A4450" s="26" t="n">
        <v>45852</v>
      </c>
      <c r="B4450" s="14" t="inlineStr">
        <is>
          <t>NB-0043</t>
        </is>
      </c>
      <c r="C4450" s="14" t="n">
        <v>8</v>
      </c>
      <c r="D4450" s="14">
        <f>IF(A4450&gt;LastWeek-364,1,0)</f>
        <v/>
      </c>
      <c r="E4450" s="14">
        <f>C4450^2*D4450</f>
        <v/>
      </c>
    </row>
    <row r="4451">
      <c r="A4451" s="26" t="n">
        <v>45859</v>
      </c>
      <c r="B4451" s="14" t="inlineStr">
        <is>
          <t>NB-0043</t>
        </is>
      </c>
      <c r="C4451" s="14" t="n">
        <v>4</v>
      </c>
      <c r="D4451" s="14">
        <f>IF(A4451&gt;LastWeek-364,1,0)</f>
        <v/>
      </c>
      <c r="E4451" s="14">
        <f>C4451^2*D4451</f>
        <v/>
      </c>
    </row>
    <row r="4452">
      <c r="A4452" s="26" t="n">
        <v>45866</v>
      </c>
      <c r="B4452" s="14" t="inlineStr">
        <is>
          <t>NB-0043</t>
        </is>
      </c>
      <c r="C4452" s="14" t="n">
        <v>4</v>
      </c>
      <c r="D4452" s="14">
        <f>IF(A4452&gt;LastWeek-364,1,0)</f>
        <v/>
      </c>
      <c r="E4452" s="14">
        <f>C4452^2*D4452</f>
        <v/>
      </c>
    </row>
    <row r="4453">
      <c r="A4453" s="26" t="n">
        <v>45873</v>
      </c>
      <c r="B4453" s="14" t="inlineStr">
        <is>
          <t>NB-0043</t>
        </is>
      </c>
      <c r="C4453" s="14" t="n">
        <v>9</v>
      </c>
      <c r="D4453" s="14">
        <f>IF(A4453&gt;LastWeek-364,1,0)</f>
        <v/>
      </c>
      <c r="E4453" s="14">
        <f>C4453^2*D4453</f>
        <v/>
      </c>
    </row>
    <row r="4454">
      <c r="A4454" s="26" t="n">
        <v>45880</v>
      </c>
      <c r="B4454" s="14" t="inlineStr">
        <is>
          <t>NB-0043</t>
        </is>
      </c>
      <c r="C4454" s="14" t="n">
        <v>8</v>
      </c>
      <c r="D4454" s="14">
        <f>IF(A4454&gt;LastWeek-364,1,0)</f>
        <v/>
      </c>
      <c r="E4454" s="14">
        <f>C4454^2*D4454</f>
        <v/>
      </c>
    </row>
    <row r="4455">
      <c r="A4455" s="26" t="n">
        <v>45887</v>
      </c>
      <c r="B4455" s="14" t="inlineStr">
        <is>
          <t>NB-0043</t>
        </is>
      </c>
      <c r="C4455" s="14" t="n">
        <v>5</v>
      </c>
      <c r="D4455" s="14">
        <f>IF(A4455&gt;LastWeek-364,1,0)</f>
        <v/>
      </c>
      <c r="E4455" s="14">
        <f>C4455^2*D4455</f>
        <v/>
      </c>
    </row>
    <row r="4456">
      <c r="A4456" s="26" t="n">
        <v>45894</v>
      </c>
      <c r="B4456" s="14" t="inlineStr">
        <is>
          <t>NB-0043</t>
        </is>
      </c>
      <c r="C4456" s="14" t="n">
        <v>6</v>
      </c>
      <c r="D4456" s="14">
        <f>IF(A4456&gt;LastWeek-364,1,0)</f>
        <v/>
      </c>
      <c r="E4456" s="14">
        <f>C4456^2*D4456</f>
        <v/>
      </c>
    </row>
    <row r="4457">
      <c r="A4457" s="26" t="n">
        <v>45901</v>
      </c>
      <c r="B4457" s="14" t="inlineStr">
        <is>
          <t>NB-0043</t>
        </is>
      </c>
      <c r="C4457" s="14" t="n">
        <v>6</v>
      </c>
      <c r="D4457" s="14">
        <f>IF(A4457&gt;LastWeek-364,1,0)</f>
        <v/>
      </c>
      <c r="E4457" s="14">
        <f>C4457^2*D4457</f>
        <v/>
      </c>
    </row>
    <row r="4458">
      <c r="A4458" s="26" t="n">
        <v>45908</v>
      </c>
      <c r="B4458" s="14" t="inlineStr">
        <is>
          <t>NB-0043</t>
        </is>
      </c>
      <c r="C4458" s="14" t="n">
        <v>0</v>
      </c>
      <c r="D4458" s="14">
        <f>IF(A4458&gt;LastWeek-364,1,0)</f>
        <v/>
      </c>
      <c r="E4458" s="14">
        <f>C4458^2*D4458</f>
        <v/>
      </c>
    </row>
    <row r="4459">
      <c r="A4459" s="26" t="n">
        <v>45915</v>
      </c>
      <c r="B4459" s="14" t="inlineStr">
        <is>
          <t>NB-0043</t>
        </is>
      </c>
      <c r="C4459" s="14" t="n">
        <v>4</v>
      </c>
      <c r="D4459" s="14">
        <f>IF(A4459&gt;LastWeek-364,1,0)</f>
        <v/>
      </c>
      <c r="E4459" s="14">
        <f>C4459^2*D4459</f>
        <v/>
      </c>
    </row>
    <row r="4460">
      <c r="A4460" s="26" t="n">
        <v>45922</v>
      </c>
      <c r="B4460" s="14" t="inlineStr">
        <is>
          <t>NB-0043</t>
        </is>
      </c>
      <c r="C4460" s="14" t="n">
        <v>6</v>
      </c>
      <c r="D4460" s="14">
        <f>IF(A4460&gt;LastWeek-364,1,0)</f>
        <v/>
      </c>
      <c r="E4460" s="14">
        <f>C4460^2*D4460</f>
        <v/>
      </c>
    </row>
    <row r="4461">
      <c r="A4461" s="26" t="n">
        <v>45929</v>
      </c>
      <c r="B4461" s="14" t="inlineStr">
        <is>
          <t>NB-0043</t>
        </is>
      </c>
      <c r="C4461" s="14" t="n">
        <v>5</v>
      </c>
      <c r="D4461" s="14">
        <f>IF(A4461&gt;LastWeek-364,1,0)</f>
        <v/>
      </c>
      <c r="E4461" s="14">
        <f>C4461^2*D4461</f>
        <v/>
      </c>
    </row>
    <row r="4462">
      <c r="A4462" s="26" t="n">
        <v>45936</v>
      </c>
      <c r="B4462" s="14" t="inlineStr">
        <is>
          <t>NB-0043</t>
        </is>
      </c>
      <c r="C4462" s="14" t="n">
        <v>7</v>
      </c>
      <c r="D4462" s="14">
        <f>IF(A4462&gt;LastWeek-364,1,0)</f>
        <v/>
      </c>
      <c r="E4462" s="14">
        <f>C4462^2*D4462</f>
        <v/>
      </c>
    </row>
    <row r="4463">
      <c r="A4463" s="26" t="n">
        <v>45943</v>
      </c>
      <c r="B4463" s="14" t="inlineStr">
        <is>
          <t>NB-0043</t>
        </is>
      </c>
      <c r="C4463" s="14" t="n">
        <v>9</v>
      </c>
      <c r="D4463" s="14">
        <f>IF(A4463&gt;LastWeek-364,1,0)</f>
        <v/>
      </c>
      <c r="E4463" s="14">
        <f>C4463^2*D4463</f>
        <v/>
      </c>
    </row>
    <row r="4464">
      <c r="A4464" s="26" t="n">
        <v>45950</v>
      </c>
      <c r="B4464" s="14" t="inlineStr">
        <is>
          <t>NB-0043</t>
        </is>
      </c>
      <c r="C4464" s="14" t="n">
        <v>6</v>
      </c>
      <c r="D4464" s="14">
        <f>IF(A4464&gt;LastWeek-364,1,0)</f>
        <v/>
      </c>
      <c r="E4464" s="14">
        <f>C4464^2*D4464</f>
        <v/>
      </c>
    </row>
    <row r="4465">
      <c r="A4465" s="26" t="n">
        <v>45957</v>
      </c>
      <c r="B4465" s="14" t="inlineStr">
        <is>
          <t>NB-0043</t>
        </is>
      </c>
      <c r="C4465" s="14" t="n">
        <v>4</v>
      </c>
      <c r="D4465" s="14">
        <f>IF(A4465&gt;LastWeek-364,1,0)</f>
        <v/>
      </c>
      <c r="E4465" s="14">
        <f>C4465^2*D4465</f>
        <v/>
      </c>
    </row>
    <row r="4466">
      <c r="A4466" s="26" t="n">
        <v>45964</v>
      </c>
      <c r="B4466" s="14" t="inlineStr">
        <is>
          <t>NB-0043</t>
        </is>
      </c>
      <c r="C4466" s="14" t="n">
        <v>8</v>
      </c>
      <c r="D4466" s="14">
        <f>IF(A4466&gt;LastWeek-364,1,0)</f>
        <v/>
      </c>
      <c r="E4466" s="14">
        <f>C4466^2*D4466</f>
        <v/>
      </c>
    </row>
    <row r="4467">
      <c r="A4467" s="26" t="n">
        <v>45971</v>
      </c>
      <c r="B4467" s="14" t="inlineStr">
        <is>
          <t>NB-0043</t>
        </is>
      </c>
      <c r="C4467" s="14" t="n">
        <v>6</v>
      </c>
      <c r="D4467" s="14">
        <f>IF(A4467&gt;LastWeek-364,1,0)</f>
        <v/>
      </c>
      <c r="E4467" s="14">
        <f>C4467^2*D4467</f>
        <v/>
      </c>
    </row>
    <row r="4468">
      <c r="A4468" s="26" t="n">
        <v>45978</v>
      </c>
      <c r="B4468" s="14" t="inlineStr">
        <is>
          <t>NB-0043</t>
        </is>
      </c>
      <c r="C4468" s="14" t="n">
        <v>7</v>
      </c>
      <c r="D4468" s="14">
        <f>IF(A4468&gt;LastWeek-364,1,0)</f>
        <v/>
      </c>
      <c r="E4468" s="14">
        <f>C4468^2*D4468</f>
        <v/>
      </c>
    </row>
    <row r="4469">
      <c r="A4469" s="26" t="n">
        <v>45985</v>
      </c>
      <c r="B4469" s="14" t="inlineStr">
        <is>
          <t>NB-0043</t>
        </is>
      </c>
      <c r="C4469" s="14" t="n">
        <v>6</v>
      </c>
      <c r="D4469" s="14">
        <f>IF(A4469&gt;LastWeek-364,1,0)</f>
        <v/>
      </c>
      <c r="E4469" s="14">
        <f>C4469^2*D4469</f>
        <v/>
      </c>
    </row>
    <row r="4470">
      <c r="A4470" s="26" t="n">
        <v>45992</v>
      </c>
      <c r="B4470" s="14" t="inlineStr">
        <is>
          <t>NB-0043</t>
        </is>
      </c>
      <c r="C4470" s="14" t="n">
        <v>13</v>
      </c>
      <c r="D4470" s="14">
        <f>IF(A4470&gt;LastWeek-364,1,0)</f>
        <v/>
      </c>
      <c r="E4470" s="14">
        <f>C4470^2*D4470</f>
        <v/>
      </c>
    </row>
    <row r="4471">
      <c r="A4471" s="26" t="n">
        <v>45999</v>
      </c>
      <c r="B4471" s="14" t="inlineStr">
        <is>
          <t>NB-0043</t>
        </is>
      </c>
      <c r="C4471" s="14" t="n">
        <v>1</v>
      </c>
      <c r="D4471" s="14">
        <f>IF(A4471&gt;LastWeek-364,1,0)</f>
        <v/>
      </c>
      <c r="E4471" s="14">
        <f>C4471^2*D4471</f>
        <v/>
      </c>
    </row>
    <row r="4472">
      <c r="A4472" s="26" t="n">
        <v>46006</v>
      </c>
      <c r="B4472" s="14" t="inlineStr">
        <is>
          <t>NB-0043</t>
        </is>
      </c>
      <c r="C4472" s="14" t="n">
        <v>6</v>
      </c>
      <c r="D4472" s="14">
        <f>IF(A4472&gt;LastWeek-364,1,0)</f>
        <v/>
      </c>
      <c r="E4472" s="14">
        <f>C4472^2*D4472</f>
        <v/>
      </c>
    </row>
    <row r="4473">
      <c r="A4473" s="26" t="n">
        <v>46013</v>
      </c>
      <c r="B4473" s="14" t="inlineStr">
        <is>
          <t>NB-0043</t>
        </is>
      </c>
      <c r="C4473" s="14" t="n">
        <v>7</v>
      </c>
      <c r="D4473" s="14">
        <f>IF(A4473&gt;LastWeek-364,1,0)</f>
        <v/>
      </c>
      <c r="E4473" s="14">
        <f>C4473^2*D4473</f>
        <v/>
      </c>
    </row>
    <row r="4474">
      <c r="A4474" s="26" t="n">
        <v>45292</v>
      </c>
      <c r="B4474" s="14" t="inlineStr">
        <is>
          <t>NB-0044</t>
        </is>
      </c>
      <c r="C4474" s="14" t="n">
        <v>13</v>
      </c>
      <c r="D4474" s="14">
        <f>IF(A4474&gt;LastWeek-364,1,0)</f>
        <v/>
      </c>
      <c r="E4474" s="14">
        <f>C4474^2*D4474</f>
        <v/>
      </c>
    </row>
    <row r="4475">
      <c r="A4475" s="26" t="n">
        <v>45299</v>
      </c>
      <c r="B4475" s="14" t="inlineStr">
        <is>
          <t>NB-0044</t>
        </is>
      </c>
      <c r="C4475" s="14" t="n">
        <v>17</v>
      </c>
      <c r="D4475" s="14">
        <f>IF(A4475&gt;LastWeek-364,1,0)</f>
        <v/>
      </c>
      <c r="E4475" s="14">
        <f>C4475^2*D4475</f>
        <v/>
      </c>
    </row>
    <row r="4476">
      <c r="A4476" s="26" t="n">
        <v>45306</v>
      </c>
      <c r="B4476" s="14" t="inlineStr">
        <is>
          <t>NB-0044</t>
        </is>
      </c>
      <c r="C4476" s="14" t="n">
        <v>16</v>
      </c>
      <c r="D4476" s="14">
        <f>IF(A4476&gt;LastWeek-364,1,0)</f>
        <v/>
      </c>
      <c r="E4476" s="14">
        <f>C4476^2*D4476</f>
        <v/>
      </c>
    </row>
    <row r="4477">
      <c r="A4477" s="26" t="n">
        <v>45313</v>
      </c>
      <c r="B4477" s="14" t="inlineStr">
        <is>
          <t>NB-0044</t>
        </is>
      </c>
      <c r="C4477" s="14" t="n">
        <v>14</v>
      </c>
      <c r="D4477" s="14">
        <f>IF(A4477&gt;LastWeek-364,1,0)</f>
        <v/>
      </c>
      <c r="E4477" s="14">
        <f>C4477^2*D4477</f>
        <v/>
      </c>
    </row>
    <row r="4478">
      <c r="A4478" s="26" t="n">
        <v>45320</v>
      </c>
      <c r="B4478" s="14" t="inlineStr">
        <is>
          <t>NB-0044</t>
        </is>
      </c>
      <c r="C4478" s="14" t="n">
        <v>14</v>
      </c>
      <c r="D4478" s="14">
        <f>IF(A4478&gt;LastWeek-364,1,0)</f>
        <v/>
      </c>
      <c r="E4478" s="14">
        <f>C4478^2*D4478</f>
        <v/>
      </c>
    </row>
    <row r="4479">
      <c r="A4479" s="26" t="n">
        <v>45327</v>
      </c>
      <c r="B4479" s="14" t="inlineStr">
        <is>
          <t>NB-0044</t>
        </is>
      </c>
      <c r="C4479" s="14" t="n">
        <v>14</v>
      </c>
      <c r="D4479" s="14">
        <f>IF(A4479&gt;LastWeek-364,1,0)</f>
        <v/>
      </c>
      <c r="E4479" s="14">
        <f>C4479^2*D4479</f>
        <v/>
      </c>
    </row>
    <row r="4480">
      <c r="A4480" s="26" t="n">
        <v>45334</v>
      </c>
      <c r="B4480" s="14" t="inlineStr">
        <is>
          <t>NB-0044</t>
        </is>
      </c>
      <c r="C4480" s="14" t="n">
        <v>14</v>
      </c>
      <c r="D4480" s="14">
        <f>IF(A4480&gt;LastWeek-364,1,0)</f>
        <v/>
      </c>
      <c r="E4480" s="14">
        <f>C4480^2*D4480</f>
        <v/>
      </c>
    </row>
    <row r="4481">
      <c r="A4481" s="26" t="n">
        <v>45341</v>
      </c>
      <c r="B4481" s="14" t="inlineStr">
        <is>
          <t>NB-0044</t>
        </is>
      </c>
      <c r="C4481" s="14" t="n">
        <v>14</v>
      </c>
      <c r="D4481" s="14">
        <f>IF(A4481&gt;LastWeek-364,1,0)</f>
        <v/>
      </c>
      <c r="E4481" s="14">
        <f>C4481^2*D4481</f>
        <v/>
      </c>
    </row>
    <row r="4482">
      <c r="A4482" s="26" t="n">
        <v>45348</v>
      </c>
      <c r="B4482" s="14" t="inlineStr">
        <is>
          <t>NB-0044</t>
        </is>
      </c>
      <c r="C4482" s="14" t="n">
        <v>13</v>
      </c>
      <c r="D4482" s="14">
        <f>IF(A4482&gt;LastWeek-364,1,0)</f>
        <v/>
      </c>
      <c r="E4482" s="14">
        <f>C4482^2*D4482</f>
        <v/>
      </c>
    </row>
    <row r="4483">
      <c r="A4483" s="26" t="n">
        <v>45355</v>
      </c>
      <c r="B4483" s="14" t="inlineStr">
        <is>
          <t>NB-0044</t>
        </is>
      </c>
      <c r="C4483" s="14" t="n">
        <v>14</v>
      </c>
      <c r="D4483" s="14">
        <f>IF(A4483&gt;LastWeek-364,1,0)</f>
        <v/>
      </c>
      <c r="E4483" s="14">
        <f>C4483^2*D4483</f>
        <v/>
      </c>
    </row>
    <row r="4484">
      <c r="A4484" s="26" t="n">
        <v>45362</v>
      </c>
      <c r="B4484" s="14" t="inlineStr">
        <is>
          <t>NB-0044</t>
        </is>
      </c>
      <c r="C4484" s="14" t="n">
        <v>15</v>
      </c>
      <c r="D4484" s="14">
        <f>IF(A4484&gt;LastWeek-364,1,0)</f>
        <v/>
      </c>
      <c r="E4484" s="14">
        <f>C4484^2*D4484</f>
        <v/>
      </c>
    </row>
    <row r="4485">
      <c r="A4485" s="26" t="n">
        <v>45369</v>
      </c>
      <c r="B4485" s="14" t="inlineStr">
        <is>
          <t>NB-0044</t>
        </is>
      </c>
      <c r="C4485" s="14" t="n">
        <v>11</v>
      </c>
      <c r="D4485" s="14">
        <f>IF(A4485&gt;LastWeek-364,1,0)</f>
        <v/>
      </c>
      <c r="E4485" s="14">
        <f>C4485^2*D4485</f>
        <v/>
      </c>
    </row>
    <row r="4486">
      <c r="A4486" s="26" t="n">
        <v>45376</v>
      </c>
      <c r="B4486" s="14" t="inlineStr">
        <is>
          <t>NB-0044</t>
        </is>
      </c>
      <c r="C4486" s="14" t="n">
        <v>11</v>
      </c>
      <c r="D4486" s="14">
        <f>IF(A4486&gt;LastWeek-364,1,0)</f>
        <v/>
      </c>
      <c r="E4486" s="14">
        <f>C4486^2*D4486</f>
        <v/>
      </c>
    </row>
    <row r="4487">
      <c r="A4487" s="26" t="n">
        <v>45383</v>
      </c>
      <c r="B4487" s="14" t="inlineStr">
        <is>
          <t>NB-0044</t>
        </is>
      </c>
      <c r="C4487" s="14" t="n">
        <v>9</v>
      </c>
      <c r="D4487" s="14">
        <f>IF(A4487&gt;LastWeek-364,1,0)</f>
        <v/>
      </c>
      <c r="E4487" s="14">
        <f>C4487^2*D4487</f>
        <v/>
      </c>
    </row>
    <row r="4488">
      <c r="A4488" s="26" t="n">
        <v>45390</v>
      </c>
      <c r="B4488" s="14" t="inlineStr">
        <is>
          <t>NB-0044</t>
        </is>
      </c>
      <c r="C4488" s="14" t="n">
        <v>15</v>
      </c>
      <c r="D4488" s="14">
        <f>IF(A4488&gt;LastWeek-364,1,0)</f>
        <v/>
      </c>
      <c r="E4488" s="14">
        <f>C4488^2*D4488</f>
        <v/>
      </c>
    </row>
    <row r="4489">
      <c r="A4489" s="26" t="n">
        <v>45397</v>
      </c>
      <c r="B4489" s="14" t="inlineStr">
        <is>
          <t>NB-0044</t>
        </is>
      </c>
      <c r="C4489" s="14" t="n">
        <v>13</v>
      </c>
      <c r="D4489" s="14">
        <f>IF(A4489&gt;LastWeek-364,1,0)</f>
        <v/>
      </c>
      <c r="E4489" s="14">
        <f>C4489^2*D4489</f>
        <v/>
      </c>
    </row>
    <row r="4490">
      <c r="A4490" s="26" t="n">
        <v>45404</v>
      </c>
      <c r="B4490" s="14" t="inlineStr">
        <is>
          <t>NB-0044</t>
        </is>
      </c>
      <c r="C4490" s="14" t="n">
        <v>13</v>
      </c>
      <c r="D4490" s="14">
        <f>IF(A4490&gt;LastWeek-364,1,0)</f>
        <v/>
      </c>
      <c r="E4490" s="14">
        <f>C4490^2*D4490</f>
        <v/>
      </c>
    </row>
    <row r="4491">
      <c r="A4491" s="26" t="n">
        <v>45411</v>
      </c>
      <c r="B4491" s="14" t="inlineStr">
        <is>
          <t>NB-0044</t>
        </is>
      </c>
      <c r="C4491" s="14" t="n">
        <v>9</v>
      </c>
      <c r="D4491" s="14">
        <f>IF(A4491&gt;LastWeek-364,1,0)</f>
        <v/>
      </c>
      <c r="E4491" s="14">
        <f>C4491^2*D4491</f>
        <v/>
      </c>
    </row>
    <row r="4492">
      <c r="A4492" s="26" t="n">
        <v>45418</v>
      </c>
      <c r="B4492" s="14" t="inlineStr">
        <is>
          <t>NB-0044</t>
        </is>
      </c>
      <c r="C4492" s="14" t="n">
        <v>15</v>
      </c>
      <c r="D4492" s="14">
        <f>IF(A4492&gt;LastWeek-364,1,0)</f>
        <v/>
      </c>
      <c r="E4492" s="14">
        <f>C4492^2*D4492</f>
        <v/>
      </c>
    </row>
    <row r="4493">
      <c r="A4493" s="26" t="n">
        <v>45425</v>
      </c>
      <c r="B4493" s="14" t="inlineStr">
        <is>
          <t>NB-0044</t>
        </is>
      </c>
      <c r="C4493" s="14" t="n">
        <v>10</v>
      </c>
      <c r="D4493" s="14">
        <f>IF(A4493&gt;LastWeek-364,1,0)</f>
        <v/>
      </c>
      <c r="E4493" s="14">
        <f>C4493^2*D4493</f>
        <v/>
      </c>
    </row>
    <row r="4494">
      <c r="A4494" s="26" t="n">
        <v>45432</v>
      </c>
      <c r="B4494" s="14" t="inlineStr">
        <is>
          <t>NB-0044</t>
        </is>
      </c>
      <c r="C4494" s="14" t="n">
        <v>12</v>
      </c>
      <c r="D4494" s="14">
        <f>IF(A4494&gt;LastWeek-364,1,0)</f>
        <v/>
      </c>
      <c r="E4494" s="14">
        <f>C4494^2*D4494</f>
        <v/>
      </c>
    </row>
    <row r="4495">
      <c r="A4495" s="26" t="n">
        <v>45439</v>
      </c>
      <c r="B4495" s="14" t="inlineStr">
        <is>
          <t>NB-0044</t>
        </is>
      </c>
      <c r="C4495" s="14" t="n">
        <v>13</v>
      </c>
      <c r="D4495" s="14">
        <f>IF(A4495&gt;LastWeek-364,1,0)</f>
        <v/>
      </c>
      <c r="E4495" s="14">
        <f>C4495^2*D4495</f>
        <v/>
      </c>
    </row>
    <row r="4496">
      <c r="A4496" s="26" t="n">
        <v>45446</v>
      </c>
      <c r="B4496" s="14" t="inlineStr">
        <is>
          <t>NB-0044</t>
        </is>
      </c>
      <c r="C4496" s="14" t="n">
        <v>9</v>
      </c>
      <c r="D4496" s="14">
        <f>IF(A4496&gt;LastWeek-364,1,0)</f>
        <v/>
      </c>
      <c r="E4496" s="14">
        <f>C4496^2*D4496</f>
        <v/>
      </c>
    </row>
    <row r="4497">
      <c r="A4497" s="26" t="n">
        <v>45453</v>
      </c>
      <c r="B4497" s="14" t="inlineStr">
        <is>
          <t>NB-0044</t>
        </is>
      </c>
      <c r="C4497" s="14" t="n">
        <v>10</v>
      </c>
      <c r="D4497" s="14">
        <f>IF(A4497&gt;LastWeek-364,1,0)</f>
        <v/>
      </c>
      <c r="E4497" s="14">
        <f>C4497^2*D4497</f>
        <v/>
      </c>
    </row>
    <row r="4498">
      <c r="A4498" s="26" t="n">
        <v>45460</v>
      </c>
      <c r="B4498" s="14" t="inlineStr">
        <is>
          <t>NB-0044</t>
        </is>
      </c>
      <c r="C4498" s="14" t="n">
        <v>11</v>
      </c>
      <c r="D4498" s="14">
        <f>IF(A4498&gt;LastWeek-364,1,0)</f>
        <v/>
      </c>
      <c r="E4498" s="14">
        <f>C4498^2*D4498</f>
        <v/>
      </c>
    </row>
    <row r="4499">
      <c r="A4499" s="26" t="n">
        <v>45467</v>
      </c>
      <c r="B4499" s="14" t="inlineStr">
        <is>
          <t>NB-0044</t>
        </is>
      </c>
      <c r="C4499" s="14" t="n">
        <v>16</v>
      </c>
      <c r="D4499" s="14">
        <f>IF(A4499&gt;LastWeek-364,1,0)</f>
        <v/>
      </c>
      <c r="E4499" s="14">
        <f>C4499^2*D4499</f>
        <v/>
      </c>
    </row>
    <row r="4500">
      <c r="A4500" s="26" t="n">
        <v>45474</v>
      </c>
      <c r="B4500" s="14" t="inlineStr">
        <is>
          <t>NB-0044</t>
        </is>
      </c>
      <c r="C4500" s="14" t="n">
        <v>11</v>
      </c>
      <c r="D4500" s="14">
        <f>IF(A4500&gt;LastWeek-364,1,0)</f>
        <v/>
      </c>
      <c r="E4500" s="14">
        <f>C4500^2*D4500</f>
        <v/>
      </c>
    </row>
    <row r="4501">
      <c r="A4501" s="26" t="n">
        <v>45481</v>
      </c>
      <c r="B4501" s="14" t="inlineStr">
        <is>
          <t>NB-0044</t>
        </is>
      </c>
      <c r="C4501" s="14" t="n">
        <v>14</v>
      </c>
      <c r="D4501" s="14">
        <f>IF(A4501&gt;LastWeek-364,1,0)</f>
        <v/>
      </c>
      <c r="E4501" s="14">
        <f>C4501^2*D4501</f>
        <v/>
      </c>
    </row>
    <row r="4502">
      <c r="A4502" s="26" t="n">
        <v>45488</v>
      </c>
      <c r="B4502" s="14" t="inlineStr">
        <is>
          <t>NB-0044</t>
        </is>
      </c>
      <c r="C4502" s="14" t="n">
        <v>13</v>
      </c>
      <c r="D4502" s="14">
        <f>IF(A4502&gt;LastWeek-364,1,0)</f>
        <v/>
      </c>
      <c r="E4502" s="14">
        <f>C4502^2*D4502</f>
        <v/>
      </c>
    </row>
    <row r="4503">
      <c r="A4503" s="26" t="n">
        <v>45495</v>
      </c>
      <c r="B4503" s="14" t="inlineStr">
        <is>
          <t>NB-0044</t>
        </is>
      </c>
      <c r="C4503" s="14" t="n">
        <v>12</v>
      </c>
      <c r="D4503" s="14">
        <f>IF(A4503&gt;LastWeek-364,1,0)</f>
        <v/>
      </c>
      <c r="E4503" s="14">
        <f>C4503^2*D4503</f>
        <v/>
      </c>
    </row>
    <row r="4504">
      <c r="A4504" s="26" t="n">
        <v>45502</v>
      </c>
      <c r="B4504" s="14" t="inlineStr">
        <is>
          <t>NB-0044</t>
        </is>
      </c>
      <c r="C4504" s="14" t="n">
        <v>9</v>
      </c>
      <c r="D4504" s="14">
        <f>IF(A4504&gt;LastWeek-364,1,0)</f>
        <v/>
      </c>
      <c r="E4504" s="14">
        <f>C4504^2*D4504</f>
        <v/>
      </c>
    </row>
    <row r="4505">
      <c r="A4505" s="26" t="n">
        <v>45509</v>
      </c>
      <c r="B4505" s="14" t="inlineStr">
        <is>
          <t>NB-0044</t>
        </is>
      </c>
      <c r="C4505" s="14" t="n">
        <v>13</v>
      </c>
      <c r="D4505" s="14">
        <f>IF(A4505&gt;LastWeek-364,1,0)</f>
        <v/>
      </c>
      <c r="E4505" s="14">
        <f>C4505^2*D4505</f>
        <v/>
      </c>
    </row>
    <row r="4506">
      <c r="A4506" s="26" t="n">
        <v>45516</v>
      </c>
      <c r="B4506" s="14" t="inlineStr">
        <is>
          <t>NB-0044</t>
        </is>
      </c>
      <c r="C4506" s="14" t="n">
        <v>8</v>
      </c>
      <c r="D4506" s="14">
        <f>IF(A4506&gt;LastWeek-364,1,0)</f>
        <v/>
      </c>
      <c r="E4506" s="14">
        <f>C4506^2*D4506</f>
        <v/>
      </c>
    </row>
    <row r="4507">
      <c r="A4507" s="26" t="n">
        <v>45523</v>
      </c>
      <c r="B4507" s="14" t="inlineStr">
        <is>
          <t>NB-0044</t>
        </is>
      </c>
      <c r="C4507" s="14" t="n">
        <v>14</v>
      </c>
      <c r="D4507" s="14">
        <f>IF(A4507&gt;LastWeek-364,1,0)</f>
        <v/>
      </c>
      <c r="E4507" s="14">
        <f>C4507^2*D4507</f>
        <v/>
      </c>
    </row>
    <row r="4508">
      <c r="A4508" s="26" t="n">
        <v>45530</v>
      </c>
      <c r="B4508" s="14" t="inlineStr">
        <is>
          <t>NB-0044</t>
        </is>
      </c>
      <c r="C4508" s="14" t="n">
        <v>12</v>
      </c>
      <c r="D4508" s="14">
        <f>IF(A4508&gt;LastWeek-364,1,0)</f>
        <v/>
      </c>
      <c r="E4508" s="14">
        <f>C4508^2*D4508</f>
        <v/>
      </c>
    </row>
    <row r="4509">
      <c r="A4509" s="26" t="n">
        <v>45537</v>
      </c>
      <c r="B4509" s="14" t="inlineStr">
        <is>
          <t>NB-0044</t>
        </is>
      </c>
      <c r="C4509" s="14" t="n">
        <v>6</v>
      </c>
      <c r="D4509" s="14">
        <f>IF(A4509&gt;LastWeek-364,1,0)</f>
        <v/>
      </c>
      <c r="E4509" s="14">
        <f>C4509^2*D4509</f>
        <v/>
      </c>
    </row>
    <row r="4510">
      <c r="A4510" s="26" t="n">
        <v>45544</v>
      </c>
      <c r="B4510" s="14" t="inlineStr">
        <is>
          <t>NB-0044</t>
        </is>
      </c>
      <c r="C4510" s="14" t="n">
        <v>11</v>
      </c>
      <c r="D4510" s="14">
        <f>IF(A4510&gt;LastWeek-364,1,0)</f>
        <v/>
      </c>
      <c r="E4510" s="14">
        <f>C4510^2*D4510</f>
        <v/>
      </c>
    </row>
    <row r="4511">
      <c r="A4511" s="26" t="n">
        <v>45551</v>
      </c>
      <c r="B4511" s="14" t="inlineStr">
        <is>
          <t>NB-0044</t>
        </is>
      </c>
      <c r="C4511" s="14" t="n">
        <v>13</v>
      </c>
      <c r="D4511" s="14">
        <f>IF(A4511&gt;LastWeek-364,1,0)</f>
        <v/>
      </c>
      <c r="E4511" s="14">
        <f>C4511^2*D4511</f>
        <v/>
      </c>
    </row>
    <row r="4512">
      <c r="A4512" s="26" t="n">
        <v>45558</v>
      </c>
      <c r="B4512" s="14" t="inlineStr">
        <is>
          <t>NB-0044</t>
        </is>
      </c>
      <c r="C4512" s="14" t="n">
        <v>12</v>
      </c>
      <c r="D4512" s="14">
        <f>IF(A4512&gt;LastWeek-364,1,0)</f>
        <v/>
      </c>
      <c r="E4512" s="14">
        <f>C4512^2*D4512</f>
        <v/>
      </c>
    </row>
    <row r="4513">
      <c r="A4513" s="26" t="n">
        <v>45565</v>
      </c>
      <c r="B4513" s="14" t="inlineStr">
        <is>
          <t>NB-0044</t>
        </is>
      </c>
      <c r="C4513" s="14" t="n">
        <v>14</v>
      </c>
      <c r="D4513" s="14">
        <f>IF(A4513&gt;LastWeek-364,1,0)</f>
        <v/>
      </c>
      <c r="E4513" s="14">
        <f>C4513^2*D4513</f>
        <v/>
      </c>
    </row>
    <row r="4514">
      <c r="A4514" s="26" t="n">
        <v>45572</v>
      </c>
      <c r="B4514" s="14" t="inlineStr">
        <is>
          <t>NB-0044</t>
        </is>
      </c>
      <c r="C4514" s="14" t="n">
        <v>11</v>
      </c>
      <c r="D4514" s="14">
        <f>IF(A4514&gt;LastWeek-364,1,0)</f>
        <v/>
      </c>
      <c r="E4514" s="14">
        <f>C4514^2*D4514</f>
        <v/>
      </c>
    </row>
    <row r="4515">
      <c r="A4515" s="26" t="n">
        <v>45579</v>
      </c>
      <c r="B4515" s="14" t="inlineStr">
        <is>
          <t>NB-0044</t>
        </is>
      </c>
      <c r="C4515" s="14" t="n">
        <v>10</v>
      </c>
      <c r="D4515" s="14">
        <f>IF(A4515&gt;LastWeek-364,1,0)</f>
        <v/>
      </c>
      <c r="E4515" s="14">
        <f>C4515^2*D4515</f>
        <v/>
      </c>
    </row>
    <row r="4516">
      <c r="A4516" s="26" t="n">
        <v>45586</v>
      </c>
      <c r="B4516" s="14" t="inlineStr">
        <is>
          <t>NB-0044</t>
        </is>
      </c>
      <c r="C4516" s="14" t="n">
        <v>13</v>
      </c>
      <c r="D4516" s="14">
        <f>IF(A4516&gt;LastWeek-364,1,0)</f>
        <v/>
      </c>
      <c r="E4516" s="14">
        <f>C4516^2*D4516</f>
        <v/>
      </c>
    </row>
    <row r="4517">
      <c r="A4517" s="26" t="n">
        <v>45593</v>
      </c>
      <c r="B4517" s="14" t="inlineStr">
        <is>
          <t>NB-0044</t>
        </is>
      </c>
      <c r="C4517" s="14" t="n">
        <v>13</v>
      </c>
      <c r="D4517" s="14">
        <f>IF(A4517&gt;LastWeek-364,1,0)</f>
        <v/>
      </c>
      <c r="E4517" s="14">
        <f>C4517^2*D4517</f>
        <v/>
      </c>
    </row>
    <row r="4518">
      <c r="A4518" s="26" t="n">
        <v>45600</v>
      </c>
      <c r="B4518" s="14" t="inlineStr">
        <is>
          <t>NB-0044</t>
        </is>
      </c>
      <c r="C4518" s="14" t="n">
        <v>12</v>
      </c>
      <c r="D4518" s="14">
        <f>IF(A4518&gt;LastWeek-364,1,0)</f>
        <v/>
      </c>
      <c r="E4518" s="14">
        <f>C4518^2*D4518</f>
        <v/>
      </c>
    </row>
    <row r="4519">
      <c r="A4519" s="26" t="n">
        <v>45607</v>
      </c>
      <c r="B4519" s="14" t="inlineStr">
        <is>
          <t>NB-0044</t>
        </is>
      </c>
      <c r="C4519" s="14" t="n">
        <v>16</v>
      </c>
      <c r="D4519" s="14">
        <f>IF(A4519&gt;LastWeek-364,1,0)</f>
        <v/>
      </c>
      <c r="E4519" s="14">
        <f>C4519^2*D4519</f>
        <v/>
      </c>
    </row>
    <row r="4520">
      <c r="A4520" s="26" t="n">
        <v>45614</v>
      </c>
      <c r="B4520" s="14" t="inlineStr">
        <is>
          <t>NB-0044</t>
        </is>
      </c>
      <c r="C4520" s="14" t="n">
        <v>12</v>
      </c>
      <c r="D4520" s="14">
        <f>IF(A4520&gt;LastWeek-364,1,0)</f>
        <v/>
      </c>
      <c r="E4520" s="14">
        <f>C4520^2*D4520</f>
        <v/>
      </c>
    </row>
    <row r="4521">
      <c r="A4521" s="26" t="n">
        <v>45621</v>
      </c>
      <c r="B4521" s="14" t="inlineStr">
        <is>
          <t>NB-0044</t>
        </is>
      </c>
      <c r="C4521" s="14" t="n">
        <v>14</v>
      </c>
      <c r="D4521" s="14">
        <f>IF(A4521&gt;LastWeek-364,1,0)</f>
        <v/>
      </c>
      <c r="E4521" s="14">
        <f>C4521^2*D4521</f>
        <v/>
      </c>
    </row>
    <row r="4522">
      <c r="A4522" s="26" t="n">
        <v>45628</v>
      </c>
      <c r="B4522" s="14" t="inlineStr">
        <is>
          <t>NB-0044</t>
        </is>
      </c>
      <c r="C4522" s="14" t="n">
        <v>14</v>
      </c>
      <c r="D4522" s="14">
        <f>IF(A4522&gt;LastWeek-364,1,0)</f>
        <v/>
      </c>
      <c r="E4522" s="14">
        <f>C4522^2*D4522</f>
        <v/>
      </c>
    </row>
    <row r="4523">
      <c r="A4523" s="26" t="n">
        <v>45635</v>
      </c>
      <c r="B4523" s="14" t="inlineStr">
        <is>
          <t>NB-0044</t>
        </is>
      </c>
      <c r="C4523" s="14" t="n">
        <v>10</v>
      </c>
      <c r="D4523" s="14">
        <f>IF(A4523&gt;LastWeek-364,1,0)</f>
        <v/>
      </c>
      <c r="E4523" s="14">
        <f>C4523^2*D4523</f>
        <v/>
      </c>
    </row>
    <row r="4524">
      <c r="A4524" s="26" t="n">
        <v>45642</v>
      </c>
      <c r="B4524" s="14" t="inlineStr">
        <is>
          <t>NB-0044</t>
        </is>
      </c>
      <c r="C4524" s="14" t="n">
        <v>11</v>
      </c>
      <c r="D4524" s="14">
        <f>IF(A4524&gt;LastWeek-364,1,0)</f>
        <v/>
      </c>
      <c r="E4524" s="14">
        <f>C4524^2*D4524</f>
        <v/>
      </c>
    </row>
    <row r="4525">
      <c r="A4525" s="26" t="n">
        <v>45649</v>
      </c>
      <c r="B4525" s="14" t="inlineStr">
        <is>
          <t>NB-0044</t>
        </is>
      </c>
      <c r="C4525" s="14" t="n">
        <v>14</v>
      </c>
      <c r="D4525" s="14">
        <f>IF(A4525&gt;LastWeek-364,1,0)</f>
        <v/>
      </c>
      <c r="E4525" s="14">
        <f>C4525^2*D4525</f>
        <v/>
      </c>
    </row>
    <row r="4526">
      <c r="A4526" s="26" t="n">
        <v>45656</v>
      </c>
      <c r="B4526" s="14" t="inlineStr">
        <is>
          <t>NB-0044</t>
        </is>
      </c>
      <c r="C4526" s="14" t="n">
        <v>19</v>
      </c>
      <c r="D4526" s="14">
        <f>IF(A4526&gt;LastWeek-364,1,0)</f>
        <v/>
      </c>
      <c r="E4526" s="14">
        <f>C4526^2*D4526</f>
        <v/>
      </c>
    </row>
    <row r="4527">
      <c r="A4527" s="26" t="n">
        <v>45663</v>
      </c>
      <c r="B4527" s="14" t="inlineStr">
        <is>
          <t>NB-0044</t>
        </is>
      </c>
      <c r="C4527" s="14" t="n">
        <v>15</v>
      </c>
      <c r="D4527" s="14">
        <f>IF(A4527&gt;LastWeek-364,1,0)</f>
        <v/>
      </c>
      <c r="E4527" s="14">
        <f>C4527^2*D4527</f>
        <v/>
      </c>
    </row>
    <row r="4528">
      <c r="A4528" s="26" t="n">
        <v>45670</v>
      </c>
      <c r="B4528" s="14" t="inlineStr">
        <is>
          <t>NB-0044</t>
        </is>
      </c>
      <c r="C4528" s="14" t="n">
        <v>10</v>
      </c>
      <c r="D4528" s="14">
        <f>IF(A4528&gt;LastWeek-364,1,0)</f>
        <v/>
      </c>
      <c r="E4528" s="14">
        <f>C4528^2*D4528</f>
        <v/>
      </c>
    </row>
    <row r="4529">
      <c r="A4529" s="26" t="n">
        <v>45677</v>
      </c>
      <c r="B4529" s="14" t="inlineStr">
        <is>
          <t>NB-0044</t>
        </is>
      </c>
      <c r="C4529" s="14" t="n">
        <v>7</v>
      </c>
      <c r="D4529" s="14">
        <f>IF(A4529&gt;LastWeek-364,1,0)</f>
        <v/>
      </c>
      <c r="E4529" s="14">
        <f>C4529^2*D4529</f>
        <v/>
      </c>
    </row>
    <row r="4530">
      <c r="A4530" s="26" t="n">
        <v>45684</v>
      </c>
      <c r="B4530" s="14" t="inlineStr">
        <is>
          <t>NB-0044</t>
        </is>
      </c>
      <c r="C4530" s="14" t="n">
        <v>16</v>
      </c>
      <c r="D4530" s="14">
        <f>IF(A4530&gt;LastWeek-364,1,0)</f>
        <v/>
      </c>
      <c r="E4530" s="14">
        <f>C4530^2*D4530</f>
        <v/>
      </c>
    </row>
    <row r="4531">
      <c r="A4531" s="26" t="n">
        <v>45691</v>
      </c>
      <c r="B4531" s="14" t="inlineStr">
        <is>
          <t>NB-0044</t>
        </is>
      </c>
      <c r="C4531" s="14" t="n">
        <v>14</v>
      </c>
      <c r="D4531" s="14">
        <f>IF(A4531&gt;LastWeek-364,1,0)</f>
        <v/>
      </c>
      <c r="E4531" s="14">
        <f>C4531^2*D4531</f>
        <v/>
      </c>
    </row>
    <row r="4532">
      <c r="A4532" s="26" t="n">
        <v>45698</v>
      </c>
      <c r="B4532" s="14" t="inlineStr">
        <is>
          <t>NB-0044</t>
        </is>
      </c>
      <c r="C4532" s="14" t="n">
        <v>16</v>
      </c>
      <c r="D4532" s="14">
        <f>IF(A4532&gt;LastWeek-364,1,0)</f>
        <v/>
      </c>
      <c r="E4532" s="14">
        <f>C4532^2*D4532</f>
        <v/>
      </c>
    </row>
    <row r="4533">
      <c r="A4533" s="26" t="n">
        <v>45705</v>
      </c>
      <c r="B4533" s="14" t="inlineStr">
        <is>
          <t>NB-0044</t>
        </is>
      </c>
      <c r="C4533" s="14" t="n">
        <v>12</v>
      </c>
      <c r="D4533" s="14">
        <f>IF(A4533&gt;LastWeek-364,1,0)</f>
        <v/>
      </c>
      <c r="E4533" s="14">
        <f>C4533^2*D4533</f>
        <v/>
      </c>
    </row>
    <row r="4534">
      <c r="A4534" s="26" t="n">
        <v>45712</v>
      </c>
      <c r="B4534" s="14" t="inlineStr">
        <is>
          <t>NB-0044</t>
        </is>
      </c>
      <c r="C4534" s="14" t="n">
        <v>14</v>
      </c>
      <c r="D4534" s="14">
        <f>IF(A4534&gt;LastWeek-364,1,0)</f>
        <v/>
      </c>
      <c r="E4534" s="14">
        <f>C4534^2*D4534</f>
        <v/>
      </c>
    </row>
    <row r="4535">
      <c r="A4535" s="26" t="n">
        <v>45719</v>
      </c>
      <c r="B4535" s="14" t="inlineStr">
        <is>
          <t>NB-0044</t>
        </is>
      </c>
      <c r="C4535" s="14" t="n">
        <v>15</v>
      </c>
      <c r="D4535" s="14">
        <f>IF(A4535&gt;LastWeek-364,1,0)</f>
        <v/>
      </c>
      <c r="E4535" s="14">
        <f>C4535^2*D4535</f>
        <v/>
      </c>
    </row>
    <row r="4536">
      <c r="A4536" s="26" t="n">
        <v>45726</v>
      </c>
      <c r="B4536" s="14" t="inlineStr">
        <is>
          <t>NB-0044</t>
        </is>
      </c>
      <c r="C4536" s="14" t="n">
        <v>12</v>
      </c>
      <c r="D4536" s="14">
        <f>IF(A4536&gt;LastWeek-364,1,0)</f>
        <v/>
      </c>
      <c r="E4536" s="14">
        <f>C4536^2*D4536</f>
        <v/>
      </c>
    </row>
    <row r="4537">
      <c r="A4537" s="26" t="n">
        <v>45733</v>
      </c>
      <c r="B4537" s="14" t="inlineStr">
        <is>
          <t>NB-0044</t>
        </is>
      </c>
      <c r="C4537" s="14" t="n">
        <v>12</v>
      </c>
      <c r="D4537" s="14">
        <f>IF(A4537&gt;LastWeek-364,1,0)</f>
        <v/>
      </c>
      <c r="E4537" s="14">
        <f>C4537^2*D4537</f>
        <v/>
      </c>
    </row>
    <row r="4538">
      <c r="A4538" s="26" t="n">
        <v>45740</v>
      </c>
      <c r="B4538" s="14" t="inlineStr">
        <is>
          <t>NB-0044</t>
        </is>
      </c>
      <c r="C4538" s="14" t="n">
        <v>13</v>
      </c>
      <c r="D4538" s="14">
        <f>IF(A4538&gt;LastWeek-364,1,0)</f>
        <v/>
      </c>
      <c r="E4538" s="14">
        <f>C4538^2*D4538</f>
        <v/>
      </c>
    </row>
    <row r="4539">
      <c r="A4539" s="26" t="n">
        <v>45747</v>
      </c>
      <c r="B4539" s="14" t="inlineStr">
        <is>
          <t>NB-0044</t>
        </is>
      </c>
      <c r="C4539" s="14" t="n">
        <v>14</v>
      </c>
      <c r="D4539" s="14">
        <f>IF(A4539&gt;LastWeek-364,1,0)</f>
        <v/>
      </c>
      <c r="E4539" s="14">
        <f>C4539^2*D4539</f>
        <v/>
      </c>
    </row>
    <row r="4540">
      <c r="A4540" s="26" t="n">
        <v>45754</v>
      </c>
      <c r="B4540" s="14" t="inlineStr">
        <is>
          <t>NB-0044</t>
        </is>
      </c>
      <c r="C4540" s="14" t="n">
        <v>12</v>
      </c>
      <c r="D4540" s="14">
        <f>IF(A4540&gt;LastWeek-364,1,0)</f>
        <v/>
      </c>
      <c r="E4540" s="14">
        <f>C4540^2*D4540</f>
        <v/>
      </c>
    </row>
    <row r="4541">
      <c r="A4541" s="26" t="n">
        <v>45761</v>
      </c>
      <c r="B4541" s="14" t="inlineStr">
        <is>
          <t>NB-0044</t>
        </is>
      </c>
      <c r="C4541" s="14" t="n">
        <v>14</v>
      </c>
      <c r="D4541" s="14">
        <f>IF(A4541&gt;LastWeek-364,1,0)</f>
        <v/>
      </c>
      <c r="E4541" s="14">
        <f>C4541^2*D4541</f>
        <v/>
      </c>
    </row>
    <row r="4542">
      <c r="A4542" s="26" t="n">
        <v>45768</v>
      </c>
      <c r="B4542" s="14" t="inlineStr">
        <is>
          <t>NB-0044</t>
        </is>
      </c>
      <c r="C4542" s="14" t="n">
        <v>11</v>
      </c>
      <c r="D4542" s="14">
        <f>IF(A4542&gt;LastWeek-364,1,0)</f>
        <v/>
      </c>
      <c r="E4542" s="14">
        <f>C4542^2*D4542</f>
        <v/>
      </c>
    </row>
    <row r="4543">
      <c r="A4543" s="26" t="n">
        <v>45775</v>
      </c>
      <c r="B4543" s="14" t="inlineStr">
        <is>
          <t>NB-0044</t>
        </is>
      </c>
      <c r="C4543" s="14" t="n">
        <v>9</v>
      </c>
      <c r="D4543" s="14">
        <f>IF(A4543&gt;LastWeek-364,1,0)</f>
        <v/>
      </c>
      <c r="E4543" s="14">
        <f>C4543^2*D4543</f>
        <v/>
      </c>
    </row>
    <row r="4544">
      <c r="A4544" s="26" t="n">
        <v>45782</v>
      </c>
      <c r="B4544" s="14" t="inlineStr">
        <is>
          <t>NB-0044</t>
        </is>
      </c>
      <c r="C4544" s="14" t="n">
        <v>15</v>
      </c>
      <c r="D4544" s="14">
        <f>IF(A4544&gt;LastWeek-364,1,0)</f>
        <v/>
      </c>
      <c r="E4544" s="14">
        <f>C4544^2*D4544</f>
        <v/>
      </c>
    </row>
    <row r="4545">
      <c r="A4545" s="26" t="n">
        <v>45789</v>
      </c>
      <c r="B4545" s="14" t="inlineStr">
        <is>
          <t>NB-0044</t>
        </is>
      </c>
      <c r="C4545" s="14" t="n">
        <v>10</v>
      </c>
      <c r="D4545" s="14">
        <f>IF(A4545&gt;LastWeek-364,1,0)</f>
        <v/>
      </c>
      <c r="E4545" s="14">
        <f>C4545^2*D4545</f>
        <v/>
      </c>
    </row>
    <row r="4546">
      <c r="A4546" s="26" t="n">
        <v>45796</v>
      </c>
      <c r="B4546" s="14" t="inlineStr">
        <is>
          <t>NB-0044</t>
        </is>
      </c>
      <c r="C4546" s="14" t="n">
        <v>10</v>
      </c>
      <c r="D4546" s="14">
        <f>IF(A4546&gt;LastWeek-364,1,0)</f>
        <v/>
      </c>
      <c r="E4546" s="14">
        <f>C4546^2*D4546</f>
        <v/>
      </c>
    </row>
    <row r="4547">
      <c r="A4547" s="26" t="n">
        <v>45803</v>
      </c>
      <c r="B4547" s="14" t="inlineStr">
        <is>
          <t>NB-0044</t>
        </is>
      </c>
      <c r="C4547" s="14" t="n">
        <v>11</v>
      </c>
      <c r="D4547" s="14">
        <f>IF(A4547&gt;LastWeek-364,1,0)</f>
        <v/>
      </c>
      <c r="E4547" s="14">
        <f>C4547^2*D4547</f>
        <v/>
      </c>
    </row>
    <row r="4548">
      <c r="A4548" s="26" t="n">
        <v>45810</v>
      </c>
      <c r="B4548" s="14" t="inlineStr">
        <is>
          <t>NB-0044</t>
        </is>
      </c>
      <c r="C4548" s="14" t="n">
        <v>11</v>
      </c>
      <c r="D4548" s="14">
        <f>IF(A4548&gt;LastWeek-364,1,0)</f>
        <v/>
      </c>
      <c r="E4548" s="14">
        <f>C4548^2*D4548</f>
        <v/>
      </c>
    </row>
    <row r="4549">
      <c r="A4549" s="26" t="n">
        <v>45817</v>
      </c>
      <c r="B4549" s="14" t="inlineStr">
        <is>
          <t>NB-0044</t>
        </is>
      </c>
      <c r="C4549" s="14" t="n">
        <v>10</v>
      </c>
      <c r="D4549" s="14">
        <f>IF(A4549&gt;LastWeek-364,1,0)</f>
        <v/>
      </c>
      <c r="E4549" s="14">
        <f>C4549^2*D4549</f>
        <v/>
      </c>
    </row>
    <row r="4550">
      <c r="A4550" s="26" t="n">
        <v>45824</v>
      </c>
      <c r="B4550" s="14" t="inlineStr">
        <is>
          <t>NB-0044</t>
        </is>
      </c>
      <c r="C4550" s="14" t="n">
        <v>11</v>
      </c>
      <c r="D4550" s="14">
        <f>IF(A4550&gt;LastWeek-364,1,0)</f>
        <v/>
      </c>
      <c r="E4550" s="14">
        <f>C4550^2*D4550</f>
        <v/>
      </c>
    </row>
    <row r="4551">
      <c r="A4551" s="26" t="n">
        <v>45831</v>
      </c>
      <c r="B4551" s="14" t="inlineStr">
        <is>
          <t>NB-0044</t>
        </is>
      </c>
      <c r="C4551" s="14" t="n">
        <v>10</v>
      </c>
      <c r="D4551" s="14">
        <f>IF(A4551&gt;LastWeek-364,1,0)</f>
        <v/>
      </c>
      <c r="E4551" s="14">
        <f>C4551^2*D4551</f>
        <v/>
      </c>
    </row>
    <row r="4552">
      <c r="A4552" s="26" t="n">
        <v>45838</v>
      </c>
      <c r="B4552" s="14" t="inlineStr">
        <is>
          <t>NB-0044</t>
        </is>
      </c>
      <c r="C4552" s="14" t="n">
        <v>11</v>
      </c>
      <c r="D4552" s="14">
        <f>IF(A4552&gt;LastWeek-364,1,0)</f>
        <v/>
      </c>
      <c r="E4552" s="14">
        <f>C4552^2*D4552</f>
        <v/>
      </c>
    </row>
    <row r="4553">
      <c r="A4553" s="26" t="n">
        <v>45845</v>
      </c>
      <c r="B4553" s="14" t="inlineStr">
        <is>
          <t>NB-0044</t>
        </is>
      </c>
      <c r="C4553" s="14" t="n">
        <v>6</v>
      </c>
      <c r="D4553" s="14">
        <f>IF(A4553&gt;LastWeek-364,1,0)</f>
        <v/>
      </c>
      <c r="E4553" s="14">
        <f>C4553^2*D4553</f>
        <v/>
      </c>
    </row>
    <row r="4554">
      <c r="A4554" s="26" t="n">
        <v>45852</v>
      </c>
      <c r="B4554" s="14" t="inlineStr">
        <is>
          <t>NB-0044</t>
        </is>
      </c>
      <c r="C4554" s="14" t="n">
        <v>14</v>
      </c>
      <c r="D4554" s="14">
        <f>IF(A4554&gt;LastWeek-364,1,0)</f>
        <v/>
      </c>
      <c r="E4554" s="14">
        <f>C4554^2*D4554</f>
        <v/>
      </c>
    </row>
    <row r="4555">
      <c r="A4555" s="26" t="n">
        <v>45859</v>
      </c>
      <c r="B4555" s="14" t="inlineStr">
        <is>
          <t>NB-0044</t>
        </is>
      </c>
      <c r="C4555" s="14" t="n">
        <v>10</v>
      </c>
      <c r="D4555" s="14">
        <f>IF(A4555&gt;LastWeek-364,1,0)</f>
        <v/>
      </c>
      <c r="E4555" s="14">
        <f>C4555^2*D4555</f>
        <v/>
      </c>
    </row>
    <row r="4556">
      <c r="A4556" s="26" t="n">
        <v>45866</v>
      </c>
      <c r="B4556" s="14" t="inlineStr">
        <is>
          <t>NB-0044</t>
        </is>
      </c>
      <c r="C4556" s="14" t="n">
        <v>12</v>
      </c>
      <c r="D4556" s="14">
        <f>IF(A4556&gt;LastWeek-364,1,0)</f>
        <v/>
      </c>
      <c r="E4556" s="14">
        <f>C4556^2*D4556</f>
        <v/>
      </c>
    </row>
    <row r="4557">
      <c r="A4557" s="26" t="n">
        <v>45873</v>
      </c>
      <c r="B4557" s="14" t="inlineStr">
        <is>
          <t>NB-0044</t>
        </is>
      </c>
      <c r="C4557" s="14" t="n">
        <v>8</v>
      </c>
      <c r="D4557" s="14">
        <f>IF(A4557&gt;LastWeek-364,1,0)</f>
        <v/>
      </c>
      <c r="E4557" s="14">
        <f>C4557^2*D4557</f>
        <v/>
      </c>
    </row>
    <row r="4558">
      <c r="A4558" s="26" t="n">
        <v>45880</v>
      </c>
      <c r="B4558" s="14" t="inlineStr">
        <is>
          <t>NB-0044</t>
        </is>
      </c>
      <c r="C4558" s="14" t="n">
        <v>10</v>
      </c>
      <c r="D4558" s="14">
        <f>IF(A4558&gt;LastWeek-364,1,0)</f>
        <v/>
      </c>
      <c r="E4558" s="14">
        <f>C4558^2*D4558</f>
        <v/>
      </c>
    </row>
    <row r="4559">
      <c r="A4559" s="26" t="n">
        <v>45887</v>
      </c>
      <c r="B4559" s="14" t="inlineStr">
        <is>
          <t>NB-0044</t>
        </is>
      </c>
      <c r="C4559" s="14" t="n">
        <v>10</v>
      </c>
      <c r="D4559" s="14">
        <f>IF(A4559&gt;LastWeek-364,1,0)</f>
        <v/>
      </c>
      <c r="E4559" s="14">
        <f>C4559^2*D4559</f>
        <v/>
      </c>
    </row>
    <row r="4560">
      <c r="A4560" s="26" t="n">
        <v>45894</v>
      </c>
      <c r="B4560" s="14" t="inlineStr">
        <is>
          <t>NB-0044</t>
        </is>
      </c>
      <c r="C4560" s="14" t="n">
        <v>14</v>
      </c>
      <c r="D4560" s="14">
        <f>IF(A4560&gt;LastWeek-364,1,0)</f>
        <v/>
      </c>
      <c r="E4560" s="14">
        <f>C4560^2*D4560</f>
        <v/>
      </c>
    </row>
    <row r="4561">
      <c r="A4561" s="26" t="n">
        <v>45901</v>
      </c>
      <c r="B4561" s="14" t="inlineStr">
        <is>
          <t>NB-0044</t>
        </is>
      </c>
      <c r="C4561" s="14" t="n">
        <v>10</v>
      </c>
      <c r="D4561" s="14">
        <f>IF(A4561&gt;LastWeek-364,1,0)</f>
        <v/>
      </c>
      <c r="E4561" s="14">
        <f>C4561^2*D4561</f>
        <v/>
      </c>
    </row>
    <row r="4562">
      <c r="A4562" s="26" t="n">
        <v>45908</v>
      </c>
      <c r="B4562" s="14" t="inlineStr">
        <is>
          <t>NB-0044</t>
        </is>
      </c>
      <c r="C4562" s="14" t="n">
        <v>13</v>
      </c>
      <c r="D4562" s="14">
        <f>IF(A4562&gt;LastWeek-364,1,0)</f>
        <v/>
      </c>
      <c r="E4562" s="14">
        <f>C4562^2*D4562</f>
        <v/>
      </c>
    </row>
    <row r="4563">
      <c r="A4563" s="26" t="n">
        <v>45915</v>
      </c>
      <c r="B4563" s="14" t="inlineStr">
        <is>
          <t>NB-0044</t>
        </is>
      </c>
      <c r="C4563" s="14" t="n">
        <v>10</v>
      </c>
      <c r="D4563" s="14">
        <f>IF(A4563&gt;LastWeek-364,1,0)</f>
        <v/>
      </c>
      <c r="E4563" s="14">
        <f>C4563^2*D4563</f>
        <v/>
      </c>
    </row>
    <row r="4564">
      <c r="A4564" s="26" t="n">
        <v>45922</v>
      </c>
      <c r="B4564" s="14" t="inlineStr">
        <is>
          <t>NB-0044</t>
        </is>
      </c>
      <c r="C4564" s="14" t="n">
        <v>11</v>
      </c>
      <c r="D4564" s="14">
        <f>IF(A4564&gt;LastWeek-364,1,0)</f>
        <v/>
      </c>
      <c r="E4564" s="14">
        <f>C4564^2*D4564</f>
        <v/>
      </c>
    </row>
    <row r="4565">
      <c r="A4565" s="26" t="n">
        <v>45929</v>
      </c>
      <c r="B4565" s="14" t="inlineStr">
        <is>
          <t>NB-0044</t>
        </is>
      </c>
      <c r="C4565" s="14" t="n">
        <v>11</v>
      </c>
      <c r="D4565" s="14">
        <f>IF(A4565&gt;LastWeek-364,1,0)</f>
        <v/>
      </c>
      <c r="E4565" s="14">
        <f>C4565^2*D4565</f>
        <v/>
      </c>
    </row>
    <row r="4566">
      <c r="A4566" s="26" t="n">
        <v>45936</v>
      </c>
      <c r="B4566" s="14" t="inlineStr">
        <is>
          <t>NB-0044</t>
        </is>
      </c>
      <c r="C4566" s="14" t="n">
        <v>15</v>
      </c>
      <c r="D4566" s="14">
        <f>IF(A4566&gt;LastWeek-364,1,0)</f>
        <v/>
      </c>
      <c r="E4566" s="14">
        <f>C4566^2*D4566</f>
        <v/>
      </c>
    </row>
    <row r="4567">
      <c r="A4567" s="26" t="n">
        <v>45943</v>
      </c>
      <c r="B4567" s="14" t="inlineStr">
        <is>
          <t>NB-0044</t>
        </is>
      </c>
      <c r="C4567" s="14" t="n">
        <v>8</v>
      </c>
      <c r="D4567" s="14">
        <f>IF(A4567&gt;LastWeek-364,1,0)</f>
        <v/>
      </c>
      <c r="E4567" s="14">
        <f>C4567^2*D4567</f>
        <v/>
      </c>
    </row>
    <row r="4568">
      <c r="A4568" s="26" t="n">
        <v>45950</v>
      </c>
      <c r="B4568" s="14" t="inlineStr">
        <is>
          <t>NB-0044</t>
        </is>
      </c>
      <c r="C4568" s="14" t="n">
        <v>10</v>
      </c>
      <c r="D4568" s="14">
        <f>IF(A4568&gt;LastWeek-364,1,0)</f>
        <v/>
      </c>
      <c r="E4568" s="14">
        <f>C4568^2*D4568</f>
        <v/>
      </c>
    </row>
    <row r="4569">
      <c r="A4569" s="26" t="n">
        <v>45957</v>
      </c>
      <c r="B4569" s="14" t="inlineStr">
        <is>
          <t>NB-0044</t>
        </is>
      </c>
      <c r="C4569" s="14" t="n">
        <v>9</v>
      </c>
      <c r="D4569" s="14">
        <f>IF(A4569&gt;LastWeek-364,1,0)</f>
        <v/>
      </c>
      <c r="E4569" s="14">
        <f>C4569^2*D4569</f>
        <v/>
      </c>
    </row>
    <row r="4570">
      <c r="A4570" s="26" t="n">
        <v>45964</v>
      </c>
      <c r="B4570" s="14" t="inlineStr">
        <is>
          <t>NB-0044</t>
        </is>
      </c>
      <c r="C4570" s="14" t="n">
        <v>11</v>
      </c>
      <c r="D4570" s="14">
        <f>IF(A4570&gt;LastWeek-364,1,0)</f>
        <v/>
      </c>
      <c r="E4570" s="14">
        <f>C4570^2*D4570</f>
        <v/>
      </c>
    </row>
    <row r="4571">
      <c r="A4571" s="26" t="n">
        <v>45971</v>
      </c>
      <c r="B4571" s="14" t="inlineStr">
        <is>
          <t>NB-0044</t>
        </is>
      </c>
      <c r="C4571" s="14" t="n">
        <v>11</v>
      </c>
      <c r="D4571" s="14">
        <f>IF(A4571&gt;LastWeek-364,1,0)</f>
        <v/>
      </c>
      <c r="E4571" s="14">
        <f>C4571^2*D4571</f>
        <v/>
      </c>
    </row>
    <row r="4572">
      <c r="A4572" s="26" t="n">
        <v>45978</v>
      </c>
      <c r="B4572" s="14" t="inlineStr">
        <is>
          <t>NB-0044</t>
        </is>
      </c>
      <c r="C4572" s="14" t="n">
        <v>10</v>
      </c>
      <c r="D4572" s="14">
        <f>IF(A4572&gt;LastWeek-364,1,0)</f>
        <v/>
      </c>
      <c r="E4572" s="14">
        <f>C4572^2*D4572</f>
        <v/>
      </c>
    </row>
    <row r="4573">
      <c r="A4573" s="26" t="n">
        <v>45985</v>
      </c>
      <c r="B4573" s="14" t="inlineStr">
        <is>
          <t>NB-0044</t>
        </is>
      </c>
      <c r="C4573" s="14" t="n">
        <v>12</v>
      </c>
      <c r="D4573" s="14">
        <f>IF(A4573&gt;LastWeek-364,1,0)</f>
        <v/>
      </c>
      <c r="E4573" s="14">
        <f>C4573^2*D4573</f>
        <v/>
      </c>
    </row>
    <row r="4574">
      <c r="A4574" s="26" t="n">
        <v>45992</v>
      </c>
      <c r="B4574" s="14" t="inlineStr">
        <is>
          <t>NB-0044</t>
        </is>
      </c>
      <c r="C4574" s="14" t="n">
        <v>9</v>
      </c>
      <c r="D4574" s="14">
        <f>IF(A4574&gt;LastWeek-364,1,0)</f>
        <v/>
      </c>
      <c r="E4574" s="14">
        <f>C4574^2*D4574</f>
        <v/>
      </c>
    </row>
    <row r="4575">
      <c r="A4575" s="26" t="n">
        <v>45999</v>
      </c>
      <c r="B4575" s="14" t="inlineStr">
        <is>
          <t>NB-0044</t>
        </is>
      </c>
      <c r="C4575" s="14" t="n">
        <v>11</v>
      </c>
      <c r="D4575" s="14">
        <f>IF(A4575&gt;LastWeek-364,1,0)</f>
        <v/>
      </c>
      <c r="E4575" s="14">
        <f>C4575^2*D4575</f>
        <v/>
      </c>
    </row>
    <row r="4576">
      <c r="A4576" s="26" t="n">
        <v>46006</v>
      </c>
      <c r="B4576" s="14" t="inlineStr">
        <is>
          <t>NB-0044</t>
        </is>
      </c>
      <c r="C4576" s="14" t="n">
        <v>16</v>
      </c>
      <c r="D4576" s="14">
        <f>IF(A4576&gt;LastWeek-364,1,0)</f>
        <v/>
      </c>
      <c r="E4576" s="14">
        <f>C4576^2*D4576</f>
        <v/>
      </c>
    </row>
    <row r="4577">
      <c r="A4577" s="26" t="n">
        <v>46013</v>
      </c>
      <c r="B4577" s="14" t="inlineStr">
        <is>
          <t>NB-0044</t>
        </is>
      </c>
      <c r="C4577" s="14" t="n">
        <v>15</v>
      </c>
      <c r="D4577" s="14">
        <f>IF(A4577&gt;LastWeek-364,1,0)</f>
        <v/>
      </c>
      <c r="E4577" s="14">
        <f>C4577^2*D4577</f>
        <v/>
      </c>
    </row>
    <row r="4578">
      <c r="A4578" s="26" t="n">
        <v>45292</v>
      </c>
      <c r="B4578" s="14" t="inlineStr">
        <is>
          <t>NB-0045</t>
        </is>
      </c>
      <c r="C4578" s="14" t="n">
        <v>16</v>
      </c>
      <c r="D4578" s="14">
        <f>IF(A4578&gt;LastWeek-364,1,0)</f>
        <v/>
      </c>
      <c r="E4578" s="14">
        <f>C4578^2*D4578</f>
        <v/>
      </c>
    </row>
    <row r="4579">
      <c r="A4579" s="26" t="n">
        <v>45299</v>
      </c>
      <c r="B4579" s="14" t="inlineStr">
        <is>
          <t>NB-0045</t>
        </is>
      </c>
      <c r="C4579" s="14" t="n">
        <v>12</v>
      </c>
      <c r="D4579" s="14">
        <f>IF(A4579&gt;LastWeek-364,1,0)</f>
        <v/>
      </c>
      <c r="E4579" s="14">
        <f>C4579^2*D4579</f>
        <v/>
      </c>
    </row>
    <row r="4580">
      <c r="A4580" s="26" t="n">
        <v>45306</v>
      </c>
      <c r="B4580" s="14" t="inlineStr">
        <is>
          <t>NB-0045</t>
        </is>
      </c>
      <c r="C4580" s="14" t="n">
        <v>10</v>
      </c>
      <c r="D4580" s="14">
        <f>IF(A4580&gt;LastWeek-364,1,0)</f>
        <v/>
      </c>
      <c r="E4580" s="14">
        <f>C4580^2*D4580</f>
        <v/>
      </c>
    </row>
    <row r="4581">
      <c r="A4581" s="26" t="n">
        <v>45313</v>
      </c>
      <c r="B4581" s="14" t="inlineStr">
        <is>
          <t>NB-0045</t>
        </is>
      </c>
      <c r="C4581" s="14" t="n">
        <v>11</v>
      </c>
      <c r="D4581" s="14">
        <f>IF(A4581&gt;LastWeek-364,1,0)</f>
        <v/>
      </c>
      <c r="E4581" s="14">
        <f>C4581^2*D4581</f>
        <v/>
      </c>
    </row>
    <row r="4582">
      <c r="A4582" s="26" t="n">
        <v>45320</v>
      </c>
      <c r="B4582" s="14" t="inlineStr">
        <is>
          <t>NB-0045</t>
        </is>
      </c>
      <c r="C4582" s="14" t="n">
        <v>15</v>
      </c>
      <c r="D4582" s="14">
        <f>IF(A4582&gt;LastWeek-364,1,0)</f>
        <v/>
      </c>
      <c r="E4582" s="14">
        <f>C4582^2*D4582</f>
        <v/>
      </c>
    </row>
    <row r="4583">
      <c r="A4583" s="26" t="n">
        <v>45327</v>
      </c>
      <c r="B4583" s="14" t="inlineStr">
        <is>
          <t>NB-0045</t>
        </is>
      </c>
      <c r="C4583" s="14" t="n">
        <v>18</v>
      </c>
      <c r="D4583" s="14">
        <f>IF(A4583&gt;LastWeek-364,1,0)</f>
        <v/>
      </c>
      <c r="E4583" s="14">
        <f>C4583^2*D4583</f>
        <v/>
      </c>
    </row>
    <row r="4584">
      <c r="A4584" s="26" t="n">
        <v>45334</v>
      </c>
      <c r="B4584" s="14" t="inlineStr">
        <is>
          <t>NB-0045</t>
        </is>
      </c>
      <c r="C4584" s="14" t="n">
        <v>18</v>
      </c>
      <c r="D4584" s="14">
        <f>IF(A4584&gt;LastWeek-364,1,0)</f>
        <v/>
      </c>
      <c r="E4584" s="14">
        <f>C4584^2*D4584</f>
        <v/>
      </c>
    </row>
    <row r="4585">
      <c r="A4585" s="26" t="n">
        <v>45341</v>
      </c>
      <c r="B4585" s="14" t="inlineStr">
        <is>
          <t>NB-0045</t>
        </is>
      </c>
      <c r="C4585" s="14" t="n">
        <v>17</v>
      </c>
      <c r="D4585" s="14">
        <f>IF(A4585&gt;LastWeek-364,1,0)</f>
        <v/>
      </c>
      <c r="E4585" s="14">
        <f>C4585^2*D4585</f>
        <v/>
      </c>
    </row>
    <row r="4586">
      <c r="A4586" s="26" t="n">
        <v>45348</v>
      </c>
      <c r="B4586" s="14" t="inlineStr">
        <is>
          <t>NB-0045</t>
        </is>
      </c>
      <c r="C4586" s="14" t="n">
        <v>13</v>
      </c>
      <c r="D4586" s="14">
        <f>IF(A4586&gt;LastWeek-364,1,0)</f>
        <v/>
      </c>
      <c r="E4586" s="14">
        <f>C4586^2*D4586</f>
        <v/>
      </c>
    </row>
    <row r="4587">
      <c r="A4587" s="26" t="n">
        <v>45355</v>
      </c>
      <c r="B4587" s="14" t="inlineStr">
        <is>
          <t>NB-0045</t>
        </is>
      </c>
      <c r="C4587" s="14" t="n">
        <v>15</v>
      </c>
      <c r="D4587" s="14">
        <f>IF(A4587&gt;LastWeek-364,1,0)</f>
        <v/>
      </c>
      <c r="E4587" s="14">
        <f>C4587^2*D4587</f>
        <v/>
      </c>
    </row>
    <row r="4588">
      <c r="A4588" s="26" t="n">
        <v>45362</v>
      </c>
      <c r="B4588" s="14" t="inlineStr">
        <is>
          <t>NB-0045</t>
        </is>
      </c>
      <c r="C4588" s="14" t="n">
        <v>14</v>
      </c>
      <c r="D4588" s="14">
        <f>IF(A4588&gt;LastWeek-364,1,0)</f>
        <v/>
      </c>
      <c r="E4588" s="14">
        <f>C4588^2*D4588</f>
        <v/>
      </c>
    </row>
    <row r="4589">
      <c r="A4589" s="26" t="n">
        <v>45369</v>
      </c>
      <c r="B4589" s="14" t="inlineStr">
        <is>
          <t>NB-0045</t>
        </is>
      </c>
      <c r="C4589" s="14" t="n">
        <v>15</v>
      </c>
      <c r="D4589" s="14">
        <f>IF(A4589&gt;LastWeek-364,1,0)</f>
        <v/>
      </c>
      <c r="E4589" s="14">
        <f>C4589^2*D4589</f>
        <v/>
      </c>
    </row>
    <row r="4590">
      <c r="A4590" s="26" t="n">
        <v>45376</v>
      </c>
      <c r="B4590" s="14" t="inlineStr">
        <is>
          <t>NB-0045</t>
        </is>
      </c>
      <c r="C4590" s="14" t="n">
        <v>22</v>
      </c>
      <c r="D4590" s="14">
        <f>IF(A4590&gt;LastWeek-364,1,0)</f>
        <v/>
      </c>
      <c r="E4590" s="14">
        <f>C4590^2*D4590</f>
        <v/>
      </c>
    </row>
    <row r="4591">
      <c r="A4591" s="26" t="n">
        <v>45383</v>
      </c>
      <c r="B4591" s="14" t="inlineStr">
        <is>
          <t>NB-0045</t>
        </is>
      </c>
      <c r="C4591" s="14" t="n">
        <v>9</v>
      </c>
      <c r="D4591" s="14">
        <f>IF(A4591&gt;LastWeek-364,1,0)</f>
        <v/>
      </c>
      <c r="E4591" s="14">
        <f>C4591^2*D4591</f>
        <v/>
      </c>
    </row>
    <row r="4592">
      <c r="A4592" s="26" t="n">
        <v>45390</v>
      </c>
      <c r="B4592" s="14" t="inlineStr">
        <is>
          <t>NB-0045</t>
        </is>
      </c>
      <c r="C4592" s="14" t="n">
        <v>15</v>
      </c>
      <c r="D4592" s="14">
        <f>IF(A4592&gt;LastWeek-364,1,0)</f>
        <v/>
      </c>
      <c r="E4592" s="14">
        <f>C4592^2*D4592</f>
        <v/>
      </c>
    </row>
    <row r="4593">
      <c r="A4593" s="26" t="n">
        <v>45397</v>
      </c>
      <c r="B4593" s="14" t="inlineStr">
        <is>
          <t>NB-0045</t>
        </is>
      </c>
      <c r="C4593" s="14" t="n">
        <v>19</v>
      </c>
      <c r="D4593" s="14">
        <f>IF(A4593&gt;LastWeek-364,1,0)</f>
        <v/>
      </c>
      <c r="E4593" s="14">
        <f>C4593^2*D4593</f>
        <v/>
      </c>
    </row>
    <row r="4594">
      <c r="A4594" s="26" t="n">
        <v>45404</v>
      </c>
      <c r="B4594" s="14" t="inlineStr">
        <is>
          <t>NB-0045</t>
        </is>
      </c>
      <c r="C4594" s="14" t="n">
        <v>10</v>
      </c>
      <c r="D4594" s="14">
        <f>IF(A4594&gt;LastWeek-364,1,0)</f>
        <v/>
      </c>
      <c r="E4594" s="14">
        <f>C4594^2*D4594</f>
        <v/>
      </c>
    </row>
    <row r="4595">
      <c r="A4595" s="26" t="n">
        <v>45411</v>
      </c>
      <c r="B4595" s="14" t="inlineStr">
        <is>
          <t>NB-0045</t>
        </is>
      </c>
      <c r="C4595" s="14" t="n">
        <v>13</v>
      </c>
      <c r="D4595" s="14">
        <f>IF(A4595&gt;LastWeek-364,1,0)</f>
        <v/>
      </c>
      <c r="E4595" s="14">
        <f>C4595^2*D4595</f>
        <v/>
      </c>
    </row>
    <row r="4596">
      <c r="A4596" s="26" t="n">
        <v>45418</v>
      </c>
      <c r="B4596" s="14" t="inlineStr">
        <is>
          <t>NB-0045</t>
        </is>
      </c>
      <c r="C4596" s="14" t="n">
        <v>14</v>
      </c>
      <c r="D4596" s="14">
        <f>IF(A4596&gt;LastWeek-364,1,0)</f>
        <v/>
      </c>
      <c r="E4596" s="14">
        <f>C4596^2*D4596</f>
        <v/>
      </c>
    </row>
    <row r="4597">
      <c r="A4597" s="26" t="n">
        <v>45425</v>
      </c>
      <c r="B4597" s="14" t="inlineStr">
        <is>
          <t>NB-0045</t>
        </is>
      </c>
      <c r="C4597" s="14" t="n">
        <v>15</v>
      </c>
      <c r="D4597" s="14">
        <f>IF(A4597&gt;LastWeek-364,1,0)</f>
        <v/>
      </c>
      <c r="E4597" s="14">
        <f>C4597^2*D4597</f>
        <v/>
      </c>
    </row>
    <row r="4598">
      <c r="A4598" s="26" t="n">
        <v>45432</v>
      </c>
      <c r="B4598" s="14" t="inlineStr">
        <is>
          <t>NB-0045</t>
        </is>
      </c>
      <c r="C4598" s="14" t="n">
        <v>10</v>
      </c>
      <c r="D4598" s="14">
        <f>IF(A4598&gt;LastWeek-364,1,0)</f>
        <v/>
      </c>
      <c r="E4598" s="14">
        <f>C4598^2*D4598</f>
        <v/>
      </c>
    </row>
    <row r="4599">
      <c r="A4599" s="26" t="n">
        <v>45439</v>
      </c>
      <c r="B4599" s="14" t="inlineStr">
        <is>
          <t>NB-0045</t>
        </is>
      </c>
      <c r="C4599" s="14" t="n">
        <v>17</v>
      </c>
      <c r="D4599" s="14">
        <f>IF(A4599&gt;LastWeek-364,1,0)</f>
        <v/>
      </c>
      <c r="E4599" s="14">
        <f>C4599^2*D4599</f>
        <v/>
      </c>
    </row>
    <row r="4600">
      <c r="A4600" s="26" t="n">
        <v>45446</v>
      </c>
      <c r="B4600" s="14" t="inlineStr">
        <is>
          <t>NB-0045</t>
        </is>
      </c>
      <c r="C4600" s="14" t="n">
        <v>18</v>
      </c>
      <c r="D4600" s="14">
        <f>IF(A4600&gt;LastWeek-364,1,0)</f>
        <v/>
      </c>
      <c r="E4600" s="14">
        <f>C4600^2*D4600</f>
        <v/>
      </c>
    </row>
    <row r="4601">
      <c r="A4601" s="26" t="n">
        <v>45453</v>
      </c>
      <c r="B4601" s="14" t="inlineStr">
        <is>
          <t>NB-0045</t>
        </is>
      </c>
      <c r="C4601" s="14" t="n">
        <v>17</v>
      </c>
      <c r="D4601" s="14">
        <f>IF(A4601&gt;LastWeek-364,1,0)</f>
        <v/>
      </c>
      <c r="E4601" s="14">
        <f>C4601^2*D4601</f>
        <v/>
      </c>
    </row>
    <row r="4602">
      <c r="A4602" s="26" t="n">
        <v>45460</v>
      </c>
      <c r="B4602" s="14" t="inlineStr">
        <is>
          <t>NB-0045</t>
        </is>
      </c>
      <c r="C4602" s="14" t="n">
        <v>13</v>
      </c>
      <c r="D4602" s="14">
        <f>IF(A4602&gt;LastWeek-364,1,0)</f>
        <v/>
      </c>
      <c r="E4602" s="14">
        <f>C4602^2*D4602</f>
        <v/>
      </c>
    </row>
    <row r="4603">
      <c r="A4603" s="26" t="n">
        <v>45467</v>
      </c>
      <c r="B4603" s="14" t="inlineStr">
        <is>
          <t>NB-0045</t>
        </is>
      </c>
      <c r="C4603" s="14" t="n">
        <v>16</v>
      </c>
      <c r="D4603" s="14">
        <f>IF(A4603&gt;LastWeek-364,1,0)</f>
        <v/>
      </c>
      <c r="E4603" s="14">
        <f>C4603^2*D4603</f>
        <v/>
      </c>
    </row>
    <row r="4604">
      <c r="A4604" s="26" t="n">
        <v>45474</v>
      </c>
      <c r="B4604" s="14" t="inlineStr">
        <is>
          <t>NB-0045</t>
        </is>
      </c>
      <c r="C4604" s="14" t="n">
        <v>13</v>
      </c>
      <c r="D4604" s="14">
        <f>IF(A4604&gt;LastWeek-364,1,0)</f>
        <v/>
      </c>
      <c r="E4604" s="14">
        <f>C4604^2*D4604</f>
        <v/>
      </c>
    </row>
    <row r="4605">
      <c r="A4605" s="26" t="n">
        <v>45481</v>
      </c>
      <c r="B4605" s="14" t="inlineStr">
        <is>
          <t>NB-0045</t>
        </is>
      </c>
      <c r="C4605" s="14" t="n">
        <v>14</v>
      </c>
      <c r="D4605" s="14">
        <f>IF(A4605&gt;LastWeek-364,1,0)</f>
        <v/>
      </c>
      <c r="E4605" s="14">
        <f>C4605^2*D4605</f>
        <v/>
      </c>
    </row>
    <row r="4606">
      <c r="A4606" s="26" t="n">
        <v>45488</v>
      </c>
      <c r="B4606" s="14" t="inlineStr">
        <is>
          <t>NB-0045</t>
        </is>
      </c>
      <c r="C4606" s="14" t="n">
        <v>23</v>
      </c>
      <c r="D4606" s="14">
        <f>IF(A4606&gt;LastWeek-364,1,0)</f>
        <v/>
      </c>
      <c r="E4606" s="14">
        <f>C4606^2*D4606</f>
        <v/>
      </c>
    </row>
    <row r="4607">
      <c r="A4607" s="26" t="n">
        <v>45495</v>
      </c>
      <c r="B4607" s="14" t="inlineStr">
        <is>
          <t>NB-0045</t>
        </is>
      </c>
      <c r="C4607" s="14" t="n">
        <v>16</v>
      </c>
      <c r="D4607" s="14">
        <f>IF(A4607&gt;LastWeek-364,1,0)</f>
        <v/>
      </c>
      <c r="E4607" s="14">
        <f>C4607^2*D4607</f>
        <v/>
      </c>
    </row>
    <row r="4608">
      <c r="A4608" s="26" t="n">
        <v>45502</v>
      </c>
      <c r="B4608" s="14" t="inlineStr">
        <is>
          <t>NB-0045</t>
        </is>
      </c>
      <c r="C4608" s="14" t="n">
        <v>12</v>
      </c>
      <c r="D4608" s="14">
        <f>IF(A4608&gt;LastWeek-364,1,0)</f>
        <v/>
      </c>
      <c r="E4608" s="14">
        <f>C4608^2*D4608</f>
        <v/>
      </c>
    </row>
    <row r="4609">
      <c r="A4609" s="26" t="n">
        <v>45509</v>
      </c>
      <c r="B4609" s="14" t="inlineStr">
        <is>
          <t>NB-0045</t>
        </is>
      </c>
      <c r="C4609" s="14" t="n">
        <v>16</v>
      </c>
      <c r="D4609" s="14">
        <f>IF(A4609&gt;LastWeek-364,1,0)</f>
        <v/>
      </c>
      <c r="E4609" s="14">
        <f>C4609^2*D4609</f>
        <v/>
      </c>
    </row>
    <row r="4610">
      <c r="A4610" s="26" t="n">
        <v>45516</v>
      </c>
      <c r="B4610" s="14" t="inlineStr">
        <is>
          <t>NB-0045</t>
        </is>
      </c>
      <c r="C4610" s="14" t="n">
        <v>11</v>
      </c>
      <c r="D4610" s="14">
        <f>IF(A4610&gt;LastWeek-364,1,0)</f>
        <v/>
      </c>
      <c r="E4610" s="14">
        <f>C4610^2*D4610</f>
        <v/>
      </c>
    </row>
    <row r="4611">
      <c r="A4611" s="26" t="n">
        <v>45523</v>
      </c>
      <c r="B4611" s="14" t="inlineStr">
        <is>
          <t>NB-0045</t>
        </is>
      </c>
      <c r="C4611" s="14" t="n">
        <v>12</v>
      </c>
      <c r="D4611" s="14">
        <f>IF(A4611&gt;LastWeek-364,1,0)</f>
        <v/>
      </c>
      <c r="E4611" s="14">
        <f>C4611^2*D4611</f>
        <v/>
      </c>
    </row>
    <row r="4612">
      <c r="A4612" s="26" t="n">
        <v>45530</v>
      </c>
      <c r="B4612" s="14" t="inlineStr">
        <is>
          <t>NB-0045</t>
        </is>
      </c>
      <c r="C4612" s="14" t="n">
        <v>12</v>
      </c>
      <c r="D4612" s="14">
        <f>IF(A4612&gt;LastWeek-364,1,0)</f>
        <v/>
      </c>
      <c r="E4612" s="14">
        <f>C4612^2*D4612</f>
        <v/>
      </c>
    </row>
    <row r="4613">
      <c r="A4613" s="26" t="n">
        <v>45537</v>
      </c>
      <c r="B4613" s="14" t="inlineStr">
        <is>
          <t>NB-0045</t>
        </is>
      </c>
      <c r="C4613" s="14" t="n">
        <v>14</v>
      </c>
      <c r="D4613" s="14">
        <f>IF(A4613&gt;LastWeek-364,1,0)</f>
        <v/>
      </c>
      <c r="E4613" s="14">
        <f>C4613^2*D4613</f>
        <v/>
      </c>
    </row>
    <row r="4614">
      <c r="A4614" s="26" t="n">
        <v>45544</v>
      </c>
      <c r="B4614" s="14" t="inlineStr">
        <is>
          <t>NB-0045</t>
        </is>
      </c>
      <c r="C4614" s="14" t="n">
        <v>19</v>
      </c>
      <c r="D4614" s="14">
        <f>IF(A4614&gt;LastWeek-364,1,0)</f>
        <v/>
      </c>
      <c r="E4614" s="14">
        <f>C4614^2*D4614</f>
        <v/>
      </c>
    </row>
    <row r="4615">
      <c r="A4615" s="26" t="n">
        <v>45551</v>
      </c>
      <c r="B4615" s="14" t="inlineStr">
        <is>
          <t>NB-0045</t>
        </is>
      </c>
      <c r="C4615" s="14" t="n">
        <v>18</v>
      </c>
      <c r="D4615" s="14">
        <f>IF(A4615&gt;LastWeek-364,1,0)</f>
        <v/>
      </c>
      <c r="E4615" s="14">
        <f>C4615^2*D4615</f>
        <v/>
      </c>
    </row>
    <row r="4616">
      <c r="A4616" s="26" t="n">
        <v>45558</v>
      </c>
      <c r="B4616" s="14" t="inlineStr">
        <is>
          <t>NB-0045</t>
        </is>
      </c>
      <c r="C4616" s="14" t="n">
        <v>18</v>
      </c>
      <c r="D4616" s="14">
        <f>IF(A4616&gt;LastWeek-364,1,0)</f>
        <v/>
      </c>
      <c r="E4616" s="14">
        <f>C4616^2*D4616</f>
        <v/>
      </c>
    </row>
    <row r="4617">
      <c r="A4617" s="26" t="n">
        <v>45565</v>
      </c>
      <c r="B4617" s="14" t="inlineStr">
        <is>
          <t>NB-0045</t>
        </is>
      </c>
      <c r="C4617" s="14" t="n">
        <v>12</v>
      </c>
      <c r="D4617" s="14">
        <f>IF(A4617&gt;LastWeek-364,1,0)</f>
        <v/>
      </c>
      <c r="E4617" s="14">
        <f>C4617^2*D4617</f>
        <v/>
      </c>
    </row>
    <row r="4618">
      <c r="A4618" s="26" t="n">
        <v>45572</v>
      </c>
      <c r="B4618" s="14" t="inlineStr">
        <is>
          <t>NB-0045</t>
        </is>
      </c>
      <c r="C4618" s="14" t="n">
        <v>14</v>
      </c>
      <c r="D4618" s="14">
        <f>IF(A4618&gt;LastWeek-364,1,0)</f>
        <v/>
      </c>
      <c r="E4618" s="14">
        <f>C4618^2*D4618</f>
        <v/>
      </c>
    </row>
    <row r="4619">
      <c r="A4619" s="26" t="n">
        <v>45579</v>
      </c>
      <c r="B4619" s="14" t="inlineStr">
        <is>
          <t>NB-0045</t>
        </is>
      </c>
      <c r="C4619" s="14" t="n">
        <v>17</v>
      </c>
      <c r="D4619" s="14">
        <f>IF(A4619&gt;LastWeek-364,1,0)</f>
        <v/>
      </c>
      <c r="E4619" s="14">
        <f>C4619^2*D4619</f>
        <v/>
      </c>
    </row>
    <row r="4620">
      <c r="A4620" s="26" t="n">
        <v>45586</v>
      </c>
      <c r="B4620" s="14" t="inlineStr">
        <is>
          <t>NB-0045</t>
        </is>
      </c>
      <c r="C4620" s="14" t="n">
        <v>14</v>
      </c>
      <c r="D4620" s="14">
        <f>IF(A4620&gt;LastWeek-364,1,0)</f>
        <v/>
      </c>
      <c r="E4620" s="14">
        <f>C4620^2*D4620</f>
        <v/>
      </c>
    </row>
    <row r="4621">
      <c r="A4621" s="26" t="n">
        <v>45593</v>
      </c>
      <c r="B4621" s="14" t="inlineStr">
        <is>
          <t>NB-0045</t>
        </is>
      </c>
      <c r="C4621" s="14" t="n">
        <v>15</v>
      </c>
      <c r="D4621" s="14">
        <f>IF(A4621&gt;LastWeek-364,1,0)</f>
        <v/>
      </c>
      <c r="E4621" s="14">
        <f>C4621^2*D4621</f>
        <v/>
      </c>
    </row>
    <row r="4622">
      <c r="A4622" s="26" t="n">
        <v>45600</v>
      </c>
      <c r="B4622" s="14" t="inlineStr">
        <is>
          <t>NB-0045</t>
        </is>
      </c>
      <c r="C4622" s="14" t="n">
        <v>17</v>
      </c>
      <c r="D4622" s="14">
        <f>IF(A4622&gt;LastWeek-364,1,0)</f>
        <v/>
      </c>
      <c r="E4622" s="14">
        <f>C4622^2*D4622</f>
        <v/>
      </c>
    </row>
    <row r="4623">
      <c r="A4623" s="26" t="n">
        <v>45607</v>
      </c>
      <c r="B4623" s="14" t="inlineStr">
        <is>
          <t>NB-0045</t>
        </is>
      </c>
      <c r="C4623" s="14" t="n">
        <v>15</v>
      </c>
      <c r="D4623" s="14">
        <f>IF(A4623&gt;LastWeek-364,1,0)</f>
        <v/>
      </c>
      <c r="E4623" s="14">
        <f>C4623^2*D4623</f>
        <v/>
      </c>
    </row>
    <row r="4624">
      <c r="A4624" s="26" t="n">
        <v>45614</v>
      </c>
      <c r="B4624" s="14" t="inlineStr">
        <is>
          <t>NB-0045</t>
        </is>
      </c>
      <c r="C4624" s="14" t="n">
        <v>17</v>
      </c>
      <c r="D4624" s="14">
        <f>IF(A4624&gt;LastWeek-364,1,0)</f>
        <v/>
      </c>
      <c r="E4624" s="14">
        <f>C4624^2*D4624</f>
        <v/>
      </c>
    </row>
    <row r="4625">
      <c r="A4625" s="26" t="n">
        <v>45621</v>
      </c>
      <c r="B4625" s="14" t="inlineStr">
        <is>
          <t>NB-0045</t>
        </is>
      </c>
      <c r="C4625" s="14" t="n">
        <v>22</v>
      </c>
      <c r="D4625" s="14">
        <f>IF(A4625&gt;LastWeek-364,1,0)</f>
        <v/>
      </c>
      <c r="E4625" s="14">
        <f>C4625^2*D4625</f>
        <v/>
      </c>
    </row>
    <row r="4626">
      <c r="A4626" s="26" t="n">
        <v>45628</v>
      </c>
      <c r="B4626" s="14" t="inlineStr">
        <is>
          <t>NB-0045</t>
        </is>
      </c>
      <c r="C4626" s="14" t="n">
        <v>15</v>
      </c>
      <c r="D4626" s="14">
        <f>IF(A4626&gt;LastWeek-364,1,0)</f>
        <v/>
      </c>
      <c r="E4626" s="14">
        <f>C4626^2*D4626</f>
        <v/>
      </c>
    </row>
    <row r="4627">
      <c r="A4627" s="26" t="n">
        <v>45635</v>
      </c>
      <c r="B4627" s="14" t="inlineStr">
        <is>
          <t>NB-0045</t>
        </is>
      </c>
      <c r="C4627" s="14" t="n">
        <v>20</v>
      </c>
      <c r="D4627" s="14">
        <f>IF(A4627&gt;LastWeek-364,1,0)</f>
        <v/>
      </c>
      <c r="E4627" s="14">
        <f>C4627^2*D4627</f>
        <v/>
      </c>
    </row>
    <row r="4628">
      <c r="A4628" s="26" t="n">
        <v>45642</v>
      </c>
      <c r="B4628" s="14" t="inlineStr">
        <is>
          <t>NB-0045</t>
        </is>
      </c>
      <c r="C4628" s="14" t="n">
        <v>18</v>
      </c>
      <c r="D4628" s="14">
        <f>IF(A4628&gt;LastWeek-364,1,0)</f>
        <v/>
      </c>
      <c r="E4628" s="14">
        <f>C4628^2*D4628</f>
        <v/>
      </c>
    </row>
    <row r="4629">
      <c r="A4629" s="26" t="n">
        <v>45649</v>
      </c>
      <c r="B4629" s="14" t="inlineStr">
        <is>
          <t>NB-0045</t>
        </is>
      </c>
      <c r="C4629" s="14" t="n">
        <v>11</v>
      </c>
      <c r="D4629" s="14">
        <f>IF(A4629&gt;LastWeek-364,1,0)</f>
        <v/>
      </c>
      <c r="E4629" s="14">
        <f>C4629^2*D4629</f>
        <v/>
      </c>
    </row>
    <row r="4630">
      <c r="A4630" s="26" t="n">
        <v>45656</v>
      </c>
      <c r="B4630" s="14" t="inlineStr">
        <is>
          <t>NB-0045</t>
        </is>
      </c>
      <c r="C4630" s="14" t="n">
        <v>12</v>
      </c>
      <c r="D4630" s="14">
        <f>IF(A4630&gt;LastWeek-364,1,0)</f>
        <v/>
      </c>
      <c r="E4630" s="14">
        <f>C4630^2*D4630</f>
        <v/>
      </c>
    </row>
    <row r="4631">
      <c r="A4631" s="26" t="n">
        <v>45663</v>
      </c>
      <c r="B4631" s="14" t="inlineStr">
        <is>
          <t>NB-0045</t>
        </is>
      </c>
      <c r="C4631" s="14" t="n">
        <v>13</v>
      </c>
      <c r="D4631" s="14">
        <f>IF(A4631&gt;LastWeek-364,1,0)</f>
        <v/>
      </c>
      <c r="E4631" s="14">
        <f>C4631^2*D4631</f>
        <v/>
      </c>
    </row>
    <row r="4632">
      <c r="A4632" s="26" t="n">
        <v>45670</v>
      </c>
      <c r="B4632" s="14" t="inlineStr">
        <is>
          <t>NB-0045</t>
        </is>
      </c>
      <c r="C4632" s="14" t="n">
        <v>13</v>
      </c>
      <c r="D4632" s="14">
        <f>IF(A4632&gt;LastWeek-364,1,0)</f>
        <v/>
      </c>
      <c r="E4632" s="14">
        <f>C4632^2*D4632</f>
        <v/>
      </c>
    </row>
    <row r="4633">
      <c r="A4633" s="26" t="n">
        <v>45677</v>
      </c>
      <c r="B4633" s="14" t="inlineStr">
        <is>
          <t>NB-0045</t>
        </is>
      </c>
      <c r="C4633" s="14" t="n">
        <v>16</v>
      </c>
      <c r="D4633" s="14">
        <f>IF(A4633&gt;LastWeek-364,1,0)</f>
        <v/>
      </c>
      <c r="E4633" s="14">
        <f>C4633^2*D4633</f>
        <v/>
      </c>
    </row>
    <row r="4634">
      <c r="A4634" s="26" t="n">
        <v>45684</v>
      </c>
      <c r="B4634" s="14" t="inlineStr">
        <is>
          <t>NB-0045</t>
        </is>
      </c>
      <c r="C4634" s="14" t="n">
        <v>18</v>
      </c>
      <c r="D4634" s="14">
        <f>IF(A4634&gt;LastWeek-364,1,0)</f>
        <v/>
      </c>
      <c r="E4634" s="14">
        <f>C4634^2*D4634</f>
        <v/>
      </c>
    </row>
    <row r="4635">
      <c r="A4635" s="26" t="n">
        <v>45691</v>
      </c>
      <c r="B4635" s="14" t="inlineStr">
        <is>
          <t>NB-0045</t>
        </is>
      </c>
      <c r="C4635" s="14" t="n">
        <v>21</v>
      </c>
      <c r="D4635" s="14">
        <f>IF(A4635&gt;LastWeek-364,1,0)</f>
        <v/>
      </c>
      <c r="E4635" s="14">
        <f>C4635^2*D4635</f>
        <v/>
      </c>
    </row>
    <row r="4636">
      <c r="A4636" s="26" t="n">
        <v>45698</v>
      </c>
      <c r="B4636" s="14" t="inlineStr">
        <is>
          <t>NB-0045</t>
        </is>
      </c>
      <c r="C4636" s="14" t="n">
        <v>17</v>
      </c>
      <c r="D4636" s="14">
        <f>IF(A4636&gt;LastWeek-364,1,0)</f>
        <v/>
      </c>
      <c r="E4636" s="14">
        <f>C4636^2*D4636</f>
        <v/>
      </c>
    </row>
    <row r="4637">
      <c r="A4637" s="26" t="n">
        <v>45705</v>
      </c>
      <c r="B4637" s="14" t="inlineStr">
        <is>
          <t>NB-0045</t>
        </is>
      </c>
      <c r="C4637" s="14" t="n">
        <v>15</v>
      </c>
      <c r="D4637" s="14">
        <f>IF(A4637&gt;LastWeek-364,1,0)</f>
        <v/>
      </c>
      <c r="E4637" s="14">
        <f>C4637^2*D4637</f>
        <v/>
      </c>
    </row>
    <row r="4638">
      <c r="A4638" s="26" t="n">
        <v>45712</v>
      </c>
      <c r="B4638" s="14" t="inlineStr">
        <is>
          <t>NB-0045</t>
        </is>
      </c>
      <c r="C4638" s="14" t="n">
        <v>9</v>
      </c>
      <c r="D4638" s="14">
        <f>IF(A4638&gt;LastWeek-364,1,0)</f>
        <v/>
      </c>
      <c r="E4638" s="14">
        <f>C4638^2*D4638</f>
        <v/>
      </c>
    </row>
    <row r="4639">
      <c r="A4639" s="26" t="n">
        <v>45719</v>
      </c>
      <c r="B4639" s="14" t="inlineStr">
        <is>
          <t>NB-0045</t>
        </is>
      </c>
      <c r="C4639" s="14" t="n">
        <v>17</v>
      </c>
      <c r="D4639" s="14">
        <f>IF(A4639&gt;LastWeek-364,1,0)</f>
        <v/>
      </c>
      <c r="E4639" s="14">
        <f>C4639^2*D4639</f>
        <v/>
      </c>
    </row>
    <row r="4640">
      <c r="A4640" s="26" t="n">
        <v>45726</v>
      </c>
      <c r="B4640" s="14" t="inlineStr">
        <is>
          <t>NB-0045</t>
        </is>
      </c>
      <c r="C4640" s="14" t="n">
        <v>16</v>
      </c>
      <c r="D4640" s="14">
        <f>IF(A4640&gt;LastWeek-364,1,0)</f>
        <v/>
      </c>
      <c r="E4640" s="14">
        <f>C4640^2*D4640</f>
        <v/>
      </c>
    </row>
    <row r="4641">
      <c r="A4641" s="26" t="n">
        <v>45733</v>
      </c>
      <c r="B4641" s="14" t="inlineStr">
        <is>
          <t>NB-0045</t>
        </is>
      </c>
      <c r="C4641" s="14" t="n">
        <v>17</v>
      </c>
      <c r="D4641" s="14">
        <f>IF(A4641&gt;LastWeek-364,1,0)</f>
        <v/>
      </c>
      <c r="E4641" s="14">
        <f>C4641^2*D4641</f>
        <v/>
      </c>
    </row>
    <row r="4642">
      <c r="A4642" s="26" t="n">
        <v>45740</v>
      </c>
      <c r="B4642" s="14" t="inlineStr">
        <is>
          <t>NB-0045</t>
        </is>
      </c>
      <c r="C4642" s="14" t="n">
        <v>24</v>
      </c>
      <c r="D4642" s="14">
        <f>IF(A4642&gt;LastWeek-364,1,0)</f>
        <v/>
      </c>
      <c r="E4642" s="14">
        <f>C4642^2*D4642</f>
        <v/>
      </c>
    </row>
    <row r="4643">
      <c r="A4643" s="26" t="n">
        <v>45747</v>
      </c>
      <c r="B4643" s="14" t="inlineStr">
        <is>
          <t>NB-0045</t>
        </is>
      </c>
      <c r="C4643" s="14" t="n">
        <v>21</v>
      </c>
      <c r="D4643" s="14">
        <f>IF(A4643&gt;LastWeek-364,1,0)</f>
        <v/>
      </c>
      <c r="E4643" s="14">
        <f>C4643^2*D4643</f>
        <v/>
      </c>
    </row>
    <row r="4644">
      <c r="A4644" s="26" t="n">
        <v>45754</v>
      </c>
      <c r="B4644" s="14" t="inlineStr">
        <is>
          <t>NB-0045</t>
        </is>
      </c>
      <c r="C4644" s="14" t="n">
        <v>19</v>
      </c>
      <c r="D4644" s="14">
        <f>IF(A4644&gt;LastWeek-364,1,0)</f>
        <v/>
      </c>
      <c r="E4644" s="14">
        <f>C4644^2*D4644</f>
        <v/>
      </c>
    </row>
    <row r="4645">
      <c r="A4645" s="26" t="n">
        <v>45761</v>
      </c>
      <c r="B4645" s="14" t="inlineStr">
        <is>
          <t>NB-0045</t>
        </is>
      </c>
      <c r="C4645" s="14" t="n">
        <v>13</v>
      </c>
      <c r="D4645" s="14">
        <f>IF(A4645&gt;LastWeek-364,1,0)</f>
        <v/>
      </c>
      <c r="E4645" s="14">
        <f>C4645^2*D4645</f>
        <v/>
      </c>
    </row>
    <row r="4646">
      <c r="A4646" s="26" t="n">
        <v>45768</v>
      </c>
      <c r="B4646" s="14" t="inlineStr">
        <is>
          <t>NB-0045</t>
        </is>
      </c>
      <c r="C4646" s="14" t="n">
        <v>15</v>
      </c>
      <c r="D4646" s="14">
        <f>IF(A4646&gt;LastWeek-364,1,0)</f>
        <v/>
      </c>
      <c r="E4646" s="14">
        <f>C4646^2*D4646</f>
        <v/>
      </c>
    </row>
    <row r="4647">
      <c r="A4647" s="26" t="n">
        <v>45775</v>
      </c>
      <c r="B4647" s="14" t="inlineStr">
        <is>
          <t>NB-0045</t>
        </is>
      </c>
      <c r="C4647" s="14" t="n">
        <v>16</v>
      </c>
      <c r="D4647" s="14">
        <f>IF(A4647&gt;LastWeek-364,1,0)</f>
        <v/>
      </c>
      <c r="E4647" s="14">
        <f>C4647^2*D4647</f>
        <v/>
      </c>
    </row>
    <row r="4648">
      <c r="A4648" s="26" t="n">
        <v>45782</v>
      </c>
      <c r="B4648" s="14" t="inlineStr">
        <is>
          <t>NB-0045</t>
        </is>
      </c>
      <c r="C4648" s="14" t="n">
        <v>14</v>
      </c>
      <c r="D4648" s="14">
        <f>IF(A4648&gt;LastWeek-364,1,0)</f>
        <v/>
      </c>
      <c r="E4648" s="14">
        <f>C4648^2*D4648</f>
        <v/>
      </c>
    </row>
    <row r="4649">
      <c r="A4649" s="26" t="n">
        <v>45789</v>
      </c>
      <c r="B4649" s="14" t="inlineStr">
        <is>
          <t>NB-0045</t>
        </is>
      </c>
      <c r="C4649" s="14" t="n">
        <v>18</v>
      </c>
      <c r="D4649" s="14">
        <f>IF(A4649&gt;LastWeek-364,1,0)</f>
        <v/>
      </c>
      <c r="E4649" s="14">
        <f>C4649^2*D4649</f>
        <v/>
      </c>
    </row>
    <row r="4650">
      <c r="A4650" s="26" t="n">
        <v>45796</v>
      </c>
      <c r="B4650" s="14" t="inlineStr">
        <is>
          <t>NB-0045</t>
        </is>
      </c>
      <c r="C4650" s="14" t="n">
        <v>18</v>
      </c>
      <c r="D4650" s="14">
        <f>IF(A4650&gt;LastWeek-364,1,0)</f>
        <v/>
      </c>
      <c r="E4650" s="14">
        <f>C4650^2*D4650</f>
        <v/>
      </c>
    </row>
    <row r="4651">
      <c r="A4651" s="26" t="n">
        <v>45803</v>
      </c>
      <c r="B4651" s="14" t="inlineStr">
        <is>
          <t>NB-0045</t>
        </is>
      </c>
      <c r="C4651" s="14" t="n">
        <v>13</v>
      </c>
      <c r="D4651" s="14">
        <f>IF(A4651&gt;LastWeek-364,1,0)</f>
        <v/>
      </c>
      <c r="E4651" s="14">
        <f>C4651^2*D4651</f>
        <v/>
      </c>
    </row>
    <row r="4652">
      <c r="A4652" s="26" t="n">
        <v>45810</v>
      </c>
      <c r="B4652" s="14" t="inlineStr">
        <is>
          <t>NB-0045</t>
        </is>
      </c>
      <c r="C4652" s="14" t="n">
        <v>21</v>
      </c>
      <c r="D4652" s="14">
        <f>IF(A4652&gt;LastWeek-364,1,0)</f>
        <v/>
      </c>
      <c r="E4652" s="14">
        <f>C4652^2*D4652</f>
        <v/>
      </c>
    </row>
    <row r="4653">
      <c r="A4653" s="26" t="n">
        <v>45817</v>
      </c>
      <c r="B4653" s="14" t="inlineStr">
        <is>
          <t>NB-0045</t>
        </is>
      </c>
      <c r="C4653" s="14" t="n">
        <v>17</v>
      </c>
      <c r="D4653" s="14">
        <f>IF(A4653&gt;LastWeek-364,1,0)</f>
        <v/>
      </c>
      <c r="E4653" s="14">
        <f>C4653^2*D4653</f>
        <v/>
      </c>
    </row>
    <row r="4654">
      <c r="A4654" s="26" t="n">
        <v>45824</v>
      </c>
      <c r="B4654" s="14" t="inlineStr">
        <is>
          <t>NB-0045</t>
        </is>
      </c>
      <c r="C4654" s="14" t="n">
        <v>10</v>
      </c>
      <c r="D4654" s="14">
        <f>IF(A4654&gt;LastWeek-364,1,0)</f>
        <v/>
      </c>
      <c r="E4654" s="14">
        <f>C4654^2*D4654</f>
        <v/>
      </c>
    </row>
    <row r="4655">
      <c r="A4655" s="26" t="n">
        <v>45831</v>
      </c>
      <c r="B4655" s="14" t="inlineStr">
        <is>
          <t>NB-0045</t>
        </is>
      </c>
      <c r="C4655" s="14" t="n">
        <v>16</v>
      </c>
      <c r="D4655" s="14">
        <f>IF(A4655&gt;LastWeek-364,1,0)</f>
        <v/>
      </c>
      <c r="E4655" s="14">
        <f>C4655^2*D4655</f>
        <v/>
      </c>
    </row>
    <row r="4656">
      <c r="A4656" s="26" t="n">
        <v>45838</v>
      </c>
      <c r="B4656" s="14" t="inlineStr">
        <is>
          <t>NB-0045</t>
        </is>
      </c>
      <c r="C4656" s="14" t="n">
        <v>18</v>
      </c>
      <c r="D4656" s="14">
        <f>IF(A4656&gt;LastWeek-364,1,0)</f>
        <v/>
      </c>
      <c r="E4656" s="14">
        <f>C4656^2*D4656</f>
        <v/>
      </c>
    </row>
    <row r="4657">
      <c r="A4657" s="26" t="n">
        <v>45845</v>
      </c>
      <c r="B4657" s="14" t="inlineStr">
        <is>
          <t>NB-0045</t>
        </is>
      </c>
      <c r="C4657" s="14" t="n">
        <v>20</v>
      </c>
      <c r="D4657" s="14">
        <f>IF(A4657&gt;LastWeek-364,1,0)</f>
        <v/>
      </c>
      <c r="E4657" s="14">
        <f>C4657^2*D4657</f>
        <v/>
      </c>
    </row>
    <row r="4658">
      <c r="A4658" s="26" t="n">
        <v>45852</v>
      </c>
      <c r="B4658" s="14" t="inlineStr">
        <is>
          <t>NB-0045</t>
        </is>
      </c>
      <c r="C4658" s="14" t="n">
        <v>15</v>
      </c>
      <c r="D4658" s="14">
        <f>IF(A4658&gt;LastWeek-364,1,0)</f>
        <v/>
      </c>
      <c r="E4658" s="14">
        <f>C4658^2*D4658</f>
        <v/>
      </c>
    </row>
    <row r="4659">
      <c r="A4659" s="26" t="n">
        <v>45859</v>
      </c>
      <c r="B4659" s="14" t="inlineStr">
        <is>
          <t>NB-0045</t>
        </is>
      </c>
      <c r="C4659" s="14" t="n">
        <v>20</v>
      </c>
      <c r="D4659" s="14">
        <f>IF(A4659&gt;LastWeek-364,1,0)</f>
        <v/>
      </c>
      <c r="E4659" s="14">
        <f>C4659^2*D4659</f>
        <v/>
      </c>
    </row>
    <row r="4660">
      <c r="A4660" s="26" t="n">
        <v>45866</v>
      </c>
      <c r="B4660" s="14" t="inlineStr">
        <is>
          <t>NB-0045</t>
        </is>
      </c>
      <c r="C4660" s="14" t="n">
        <v>17</v>
      </c>
      <c r="D4660" s="14">
        <f>IF(A4660&gt;LastWeek-364,1,0)</f>
        <v/>
      </c>
      <c r="E4660" s="14">
        <f>C4660^2*D4660</f>
        <v/>
      </c>
    </row>
    <row r="4661">
      <c r="A4661" s="26" t="n">
        <v>45873</v>
      </c>
      <c r="B4661" s="14" t="inlineStr">
        <is>
          <t>NB-0045</t>
        </is>
      </c>
      <c r="C4661" s="14" t="n">
        <v>12</v>
      </c>
      <c r="D4661" s="14">
        <f>IF(A4661&gt;LastWeek-364,1,0)</f>
        <v/>
      </c>
      <c r="E4661" s="14">
        <f>C4661^2*D4661</f>
        <v/>
      </c>
    </row>
    <row r="4662">
      <c r="A4662" s="26" t="n">
        <v>45880</v>
      </c>
      <c r="B4662" s="14" t="inlineStr">
        <is>
          <t>NB-0045</t>
        </is>
      </c>
      <c r="C4662" s="14" t="n">
        <v>12</v>
      </c>
      <c r="D4662" s="14">
        <f>IF(A4662&gt;LastWeek-364,1,0)</f>
        <v/>
      </c>
      <c r="E4662" s="14">
        <f>C4662^2*D4662</f>
        <v/>
      </c>
    </row>
    <row r="4663">
      <c r="A4663" s="26" t="n">
        <v>45887</v>
      </c>
      <c r="B4663" s="14" t="inlineStr">
        <is>
          <t>NB-0045</t>
        </is>
      </c>
      <c r="C4663" s="14" t="n">
        <v>21</v>
      </c>
      <c r="D4663" s="14">
        <f>IF(A4663&gt;LastWeek-364,1,0)</f>
        <v/>
      </c>
      <c r="E4663" s="14">
        <f>C4663^2*D4663</f>
        <v/>
      </c>
    </row>
    <row r="4664">
      <c r="A4664" s="26" t="n">
        <v>45894</v>
      </c>
      <c r="B4664" s="14" t="inlineStr">
        <is>
          <t>NB-0045</t>
        </is>
      </c>
      <c r="C4664" s="14" t="n">
        <v>21</v>
      </c>
      <c r="D4664" s="14">
        <f>IF(A4664&gt;LastWeek-364,1,0)</f>
        <v/>
      </c>
      <c r="E4664" s="14">
        <f>C4664^2*D4664</f>
        <v/>
      </c>
    </row>
    <row r="4665">
      <c r="A4665" s="26" t="n">
        <v>45901</v>
      </c>
      <c r="B4665" s="14" t="inlineStr">
        <is>
          <t>NB-0045</t>
        </is>
      </c>
      <c r="C4665" s="14" t="n">
        <v>18</v>
      </c>
      <c r="D4665" s="14">
        <f>IF(A4665&gt;LastWeek-364,1,0)</f>
        <v/>
      </c>
      <c r="E4665" s="14">
        <f>C4665^2*D4665</f>
        <v/>
      </c>
    </row>
    <row r="4666">
      <c r="A4666" s="26" t="n">
        <v>45908</v>
      </c>
      <c r="B4666" s="14" t="inlineStr">
        <is>
          <t>NB-0045</t>
        </is>
      </c>
      <c r="C4666" s="14" t="n">
        <v>22</v>
      </c>
      <c r="D4666" s="14">
        <f>IF(A4666&gt;LastWeek-364,1,0)</f>
        <v/>
      </c>
      <c r="E4666" s="14">
        <f>C4666^2*D4666</f>
        <v/>
      </c>
    </row>
    <row r="4667">
      <c r="A4667" s="26" t="n">
        <v>45915</v>
      </c>
      <c r="B4667" s="14" t="inlineStr">
        <is>
          <t>NB-0045</t>
        </is>
      </c>
      <c r="C4667" s="14" t="n">
        <v>21</v>
      </c>
      <c r="D4667" s="14">
        <f>IF(A4667&gt;LastWeek-364,1,0)</f>
        <v/>
      </c>
      <c r="E4667" s="14">
        <f>C4667^2*D4667</f>
        <v/>
      </c>
    </row>
    <row r="4668">
      <c r="A4668" s="26" t="n">
        <v>45922</v>
      </c>
      <c r="B4668" s="14" t="inlineStr">
        <is>
          <t>NB-0045</t>
        </is>
      </c>
      <c r="C4668" s="14" t="n">
        <v>19</v>
      </c>
      <c r="D4668" s="14">
        <f>IF(A4668&gt;LastWeek-364,1,0)</f>
        <v/>
      </c>
      <c r="E4668" s="14">
        <f>C4668^2*D4668</f>
        <v/>
      </c>
    </row>
    <row r="4669">
      <c r="A4669" s="26" t="n">
        <v>45929</v>
      </c>
      <c r="B4669" s="14" t="inlineStr">
        <is>
          <t>NB-0045</t>
        </is>
      </c>
      <c r="C4669" s="14" t="n">
        <v>14</v>
      </c>
      <c r="D4669" s="14">
        <f>IF(A4669&gt;LastWeek-364,1,0)</f>
        <v/>
      </c>
      <c r="E4669" s="14">
        <f>C4669^2*D4669</f>
        <v/>
      </c>
    </row>
    <row r="4670">
      <c r="A4670" s="26" t="n">
        <v>45936</v>
      </c>
      <c r="B4670" s="14" t="inlineStr">
        <is>
          <t>NB-0045</t>
        </is>
      </c>
      <c r="C4670" s="14" t="n">
        <v>23</v>
      </c>
      <c r="D4670" s="14">
        <f>IF(A4670&gt;LastWeek-364,1,0)</f>
        <v/>
      </c>
      <c r="E4670" s="14">
        <f>C4670^2*D4670</f>
        <v/>
      </c>
    </row>
    <row r="4671">
      <c r="A4671" s="26" t="n">
        <v>45943</v>
      </c>
      <c r="B4671" s="14" t="inlineStr">
        <is>
          <t>NB-0045</t>
        </is>
      </c>
      <c r="C4671" s="14" t="n">
        <v>19</v>
      </c>
      <c r="D4671" s="14">
        <f>IF(A4671&gt;LastWeek-364,1,0)</f>
        <v/>
      </c>
      <c r="E4671" s="14">
        <f>C4671^2*D4671</f>
        <v/>
      </c>
    </row>
    <row r="4672">
      <c r="A4672" s="26" t="n">
        <v>45950</v>
      </c>
      <c r="B4672" s="14" t="inlineStr">
        <is>
          <t>NB-0045</t>
        </is>
      </c>
      <c r="C4672" s="14" t="n">
        <v>16</v>
      </c>
      <c r="D4672" s="14">
        <f>IF(A4672&gt;LastWeek-364,1,0)</f>
        <v/>
      </c>
      <c r="E4672" s="14">
        <f>C4672^2*D4672</f>
        <v/>
      </c>
    </row>
    <row r="4673">
      <c r="A4673" s="26" t="n">
        <v>45957</v>
      </c>
      <c r="B4673" s="14" t="inlineStr">
        <is>
          <t>NB-0045</t>
        </is>
      </c>
      <c r="C4673" s="14" t="n">
        <v>15</v>
      </c>
      <c r="D4673" s="14">
        <f>IF(A4673&gt;LastWeek-364,1,0)</f>
        <v/>
      </c>
      <c r="E4673" s="14">
        <f>C4673^2*D4673</f>
        <v/>
      </c>
    </row>
    <row r="4674">
      <c r="A4674" s="26" t="n">
        <v>45964</v>
      </c>
      <c r="B4674" s="14" t="inlineStr">
        <is>
          <t>NB-0045</t>
        </is>
      </c>
      <c r="C4674" s="14" t="n">
        <v>18</v>
      </c>
      <c r="D4674" s="14">
        <f>IF(A4674&gt;LastWeek-364,1,0)</f>
        <v/>
      </c>
      <c r="E4674" s="14">
        <f>C4674^2*D4674</f>
        <v/>
      </c>
    </row>
    <row r="4675">
      <c r="A4675" s="26" t="n">
        <v>45971</v>
      </c>
      <c r="B4675" s="14" t="inlineStr">
        <is>
          <t>NB-0045</t>
        </is>
      </c>
      <c r="C4675" s="14" t="n">
        <v>11</v>
      </c>
      <c r="D4675" s="14">
        <f>IF(A4675&gt;LastWeek-364,1,0)</f>
        <v/>
      </c>
      <c r="E4675" s="14">
        <f>C4675^2*D4675</f>
        <v/>
      </c>
    </row>
    <row r="4676">
      <c r="A4676" s="26" t="n">
        <v>45978</v>
      </c>
      <c r="B4676" s="14" t="inlineStr">
        <is>
          <t>NB-0045</t>
        </is>
      </c>
      <c r="C4676" s="14" t="n">
        <v>20</v>
      </c>
      <c r="D4676" s="14">
        <f>IF(A4676&gt;LastWeek-364,1,0)</f>
        <v/>
      </c>
      <c r="E4676" s="14">
        <f>C4676^2*D4676</f>
        <v/>
      </c>
    </row>
    <row r="4677">
      <c r="A4677" s="26" t="n">
        <v>45985</v>
      </c>
      <c r="B4677" s="14" t="inlineStr">
        <is>
          <t>NB-0045</t>
        </is>
      </c>
      <c r="C4677" s="14" t="n">
        <v>14</v>
      </c>
      <c r="D4677" s="14">
        <f>IF(A4677&gt;LastWeek-364,1,0)</f>
        <v/>
      </c>
      <c r="E4677" s="14">
        <f>C4677^2*D4677</f>
        <v/>
      </c>
    </row>
    <row r="4678">
      <c r="A4678" s="26" t="n">
        <v>45992</v>
      </c>
      <c r="B4678" s="14" t="inlineStr">
        <is>
          <t>NB-0045</t>
        </is>
      </c>
      <c r="C4678" s="14" t="n">
        <v>19</v>
      </c>
      <c r="D4678" s="14">
        <f>IF(A4678&gt;LastWeek-364,1,0)</f>
        <v/>
      </c>
      <c r="E4678" s="14">
        <f>C4678^2*D4678</f>
        <v/>
      </c>
    </row>
    <row r="4679">
      <c r="A4679" s="26" t="n">
        <v>45999</v>
      </c>
      <c r="B4679" s="14" t="inlineStr">
        <is>
          <t>NB-0045</t>
        </is>
      </c>
      <c r="C4679" s="14" t="n">
        <v>15</v>
      </c>
      <c r="D4679" s="14">
        <f>IF(A4679&gt;LastWeek-364,1,0)</f>
        <v/>
      </c>
      <c r="E4679" s="14">
        <f>C4679^2*D4679</f>
        <v/>
      </c>
    </row>
    <row r="4680">
      <c r="A4680" s="26" t="n">
        <v>46006</v>
      </c>
      <c r="B4680" s="14" t="inlineStr">
        <is>
          <t>NB-0045</t>
        </is>
      </c>
      <c r="C4680" s="14" t="n">
        <v>16</v>
      </c>
      <c r="D4680" s="14">
        <f>IF(A4680&gt;LastWeek-364,1,0)</f>
        <v/>
      </c>
      <c r="E4680" s="14">
        <f>C4680^2*D4680</f>
        <v/>
      </c>
    </row>
    <row r="4681">
      <c r="A4681" s="26" t="n">
        <v>46013</v>
      </c>
      <c r="B4681" s="14" t="inlineStr">
        <is>
          <t>NB-0045</t>
        </is>
      </c>
      <c r="C4681" s="14" t="n">
        <v>14</v>
      </c>
      <c r="D4681" s="14">
        <f>IF(A4681&gt;LastWeek-364,1,0)</f>
        <v/>
      </c>
      <c r="E4681" s="14">
        <f>C4681^2*D4681</f>
        <v/>
      </c>
    </row>
    <row r="4682">
      <c r="A4682" s="26" t="n">
        <v>45292</v>
      </c>
      <c r="B4682" s="14" t="inlineStr">
        <is>
          <t>NB-0046</t>
        </is>
      </c>
      <c r="C4682" s="14" t="n">
        <v>4</v>
      </c>
      <c r="D4682" s="14">
        <f>IF(A4682&gt;LastWeek-364,1,0)</f>
        <v/>
      </c>
      <c r="E4682" s="14">
        <f>C4682^2*D4682</f>
        <v/>
      </c>
    </row>
    <row r="4683">
      <c r="A4683" s="26" t="n">
        <v>45299</v>
      </c>
      <c r="B4683" s="14" t="inlineStr">
        <is>
          <t>NB-0046</t>
        </is>
      </c>
      <c r="C4683" s="14" t="n">
        <v>6</v>
      </c>
      <c r="D4683" s="14">
        <f>IF(A4683&gt;LastWeek-364,1,0)</f>
        <v/>
      </c>
      <c r="E4683" s="14">
        <f>C4683^2*D4683</f>
        <v/>
      </c>
    </row>
    <row r="4684">
      <c r="A4684" s="26" t="n">
        <v>45306</v>
      </c>
      <c r="B4684" s="14" t="inlineStr">
        <is>
          <t>NB-0046</t>
        </is>
      </c>
      <c r="C4684" s="14" t="n">
        <v>6</v>
      </c>
      <c r="D4684" s="14">
        <f>IF(A4684&gt;LastWeek-364,1,0)</f>
        <v/>
      </c>
      <c r="E4684" s="14">
        <f>C4684^2*D4684</f>
        <v/>
      </c>
    </row>
    <row r="4685">
      <c r="A4685" s="26" t="n">
        <v>45313</v>
      </c>
      <c r="B4685" s="14" t="inlineStr">
        <is>
          <t>NB-0046</t>
        </is>
      </c>
      <c r="C4685" s="14" t="n">
        <v>5</v>
      </c>
      <c r="D4685" s="14">
        <f>IF(A4685&gt;LastWeek-364,1,0)</f>
        <v/>
      </c>
      <c r="E4685" s="14">
        <f>C4685^2*D4685</f>
        <v/>
      </c>
    </row>
    <row r="4686">
      <c r="A4686" s="26" t="n">
        <v>45320</v>
      </c>
      <c r="B4686" s="14" t="inlineStr">
        <is>
          <t>NB-0046</t>
        </is>
      </c>
      <c r="C4686" s="14" t="n">
        <v>4</v>
      </c>
      <c r="D4686" s="14">
        <f>IF(A4686&gt;LastWeek-364,1,0)</f>
        <v/>
      </c>
      <c r="E4686" s="14">
        <f>C4686^2*D4686</f>
        <v/>
      </c>
    </row>
    <row r="4687">
      <c r="A4687" s="26" t="n">
        <v>45327</v>
      </c>
      <c r="B4687" s="14" t="inlineStr">
        <is>
          <t>NB-0046</t>
        </is>
      </c>
      <c r="C4687" s="14" t="n">
        <v>5</v>
      </c>
      <c r="D4687" s="14">
        <f>IF(A4687&gt;LastWeek-364,1,0)</f>
        <v/>
      </c>
      <c r="E4687" s="14">
        <f>C4687^2*D4687</f>
        <v/>
      </c>
    </row>
    <row r="4688">
      <c r="A4688" s="26" t="n">
        <v>45334</v>
      </c>
      <c r="B4688" s="14" t="inlineStr">
        <is>
          <t>NB-0046</t>
        </is>
      </c>
      <c r="C4688" s="14" t="n">
        <v>5</v>
      </c>
      <c r="D4688" s="14">
        <f>IF(A4688&gt;LastWeek-364,1,0)</f>
        <v/>
      </c>
      <c r="E4688" s="14">
        <f>C4688^2*D4688</f>
        <v/>
      </c>
    </row>
    <row r="4689">
      <c r="A4689" s="26" t="n">
        <v>45341</v>
      </c>
      <c r="B4689" s="14" t="inlineStr">
        <is>
          <t>NB-0046</t>
        </is>
      </c>
      <c r="C4689" s="14" t="n">
        <v>4</v>
      </c>
      <c r="D4689" s="14">
        <f>IF(A4689&gt;LastWeek-364,1,0)</f>
        <v/>
      </c>
      <c r="E4689" s="14">
        <f>C4689^2*D4689</f>
        <v/>
      </c>
    </row>
    <row r="4690">
      <c r="A4690" s="26" t="n">
        <v>45348</v>
      </c>
      <c r="B4690" s="14" t="inlineStr">
        <is>
          <t>NB-0046</t>
        </is>
      </c>
      <c r="C4690" s="14" t="n">
        <v>4</v>
      </c>
      <c r="D4690" s="14">
        <f>IF(A4690&gt;LastWeek-364,1,0)</f>
        <v/>
      </c>
      <c r="E4690" s="14">
        <f>C4690^2*D4690</f>
        <v/>
      </c>
    </row>
    <row r="4691">
      <c r="A4691" s="26" t="n">
        <v>45355</v>
      </c>
      <c r="B4691" s="14" t="inlineStr">
        <is>
          <t>NB-0046</t>
        </is>
      </c>
      <c r="C4691" s="14" t="n">
        <v>3</v>
      </c>
      <c r="D4691" s="14">
        <f>IF(A4691&gt;LastWeek-364,1,0)</f>
        <v/>
      </c>
      <c r="E4691" s="14">
        <f>C4691^2*D4691</f>
        <v/>
      </c>
    </row>
    <row r="4692">
      <c r="A4692" s="26" t="n">
        <v>45362</v>
      </c>
      <c r="B4692" s="14" t="inlineStr">
        <is>
          <t>NB-0046</t>
        </is>
      </c>
      <c r="C4692" s="14" t="n">
        <v>5</v>
      </c>
      <c r="D4692" s="14">
        <f>IF(A4692&gt;LastWeek-364,1,0)</f>
        <v/>
      </c>
      <c r="E4692" s="14">
        <f>C4692^2*D4692</f>
        <v/>
      </c>
    </row>
    <row r="4693">
      <c r="A4693" s="26" t="n">
        <v>45369</v>
      </c>
      <c r="B4693" s="14" t="inlineStr">
        <is>
          <t>NB-0046</t>
        </is>
      </c>
      <c r="C4693" s="14" t="n">
        <v>6</v>
      </c>
      <c r="D4693" s="14">
        <f>IF(A4693&gt;LastWeek-364,1,0)</f>
        <v/>
      </c>
      <c r="E4693" s="14">
        <f>C4693^2*D4693</f>
        <v/>
      </c>
    </row>
    <row r="4694">
      <c r="A4694" s="26" t="n">
        <v>45376</v>
      </c>
      <c r="B4694" s="14" t="inlineStr">
        <is>
          <t>NB-0046</t>
        </is>
      </c>
      <c r="C4694" s="14" t="n">
        <v>4</v>
      </c>
      <c r="D4694" s="14">
        <f>IF(A4694&gt;LastWeek-364,1,0)</f>
        <v/>
      </c>
      <c r="E4694" s="14">
        <f>C4694^2*D4694</f>
        <v/>
      </c>
    </row>
    <row r="4695">
      <c r="A4695" s="26" t="n">
        <v>45383</v>
      </c>
      <c r="B4695" s="14" t="inlineStr">
        <is>
          <t>NB-0046</t>
        </is>
      </c>
      <c r="C4695" s="14" t="n">
        <v>3</v>
      </c>
      <c r="D4695" s="14">
        <f>IF(A4695&gt;LastWeek-364,1,0)</f>
        <v/>
      </c>
      <c r="E4695" s="14">
        <f>C4695^2*D4695</f>
        <v/>
      </c>
    </row>
    <row r="4696">
      <c r="A4696" s="26" t="n">
        <v>45390</v>
      </c>
      <c r="B4696" s="14" t="inlineStr">
        <is>
          <t>NB-0046</t>
        </is>
      </c>
      <c r="C4696" s="14" t="n">
        <v>5</v>
      </c>
      <c r="D4696" s="14">
        <f>IF(A4696&gt;LastWeek-364,1,0)</f>
        <v/>
      </c>
      <c r="E4696" s="14">
        <f>C4696^2*D4696</f>
        <v/>
      </c>
    </row>
    <row r="4697">
      <c r="A4697" s="26" t="n">
        <v>45397</v>
      </c>
      <c r="B4697" s="14" t="inlineStr">
        <is>
          <t>NB-0046</t>
        </is>
      </c>
      <c r="C4697" s="14" t="n">
        <v>4</v>
      </c>
      <c r="D4697" s="14">
        <f>IF(A4697&gt;LastWeek-364,1,0)</f>
        <v/>
      </c>
      <c r="E4697" s="14">
        <f>C4697^2*D4697</f>
        <v/>
      </c>
    </row>
    <row r="4698">
      <c r="A4698" s="26" t="n">
        <v>45404</v>
      </c>
      <c r="B4698" s="14" t="inlineStr">
        <is>
          <t>NB-0046</t>
        </is>
      </c>
      <c r="C4698" s="14" t="n">
        <v>4</v>
      </c>
      <c r="D4698" s="14">
        <f>IF(A4698&gt;LastWeek-364,1,0)</f>
        <v/>
      </c>
      <c r="E4698" s="14">
        <f>C4698^2*D4698</f>
        <v/>
      </c>
    </row>
    <row r="4699">
      <c r="A4699" s="26" t="n">
        <v>45411</v>
      </c>
      <c r="B4699" s="14" t="inlineStr">
        <is>
          <t>NB-0046</t>
        </is>
      </c>
      <c r="C4699" s="14" t="n">
        <v>5</v>
      </c>
      <c r="D4699" s="14">
        <f>IF(A4699&gt;LastWeek-364,1,0)</f>
        <v/>
      </c>
      <c r="E4699" s="14">
        <f>C4699^2*D4699</f>
        <v/>
      </c>
    </row>
    <row r="4700">
      <c r="A4700" s="26" t="n">
        <v>45418</v>
      </c>
      <c r="B4700" s="14" t="inlineStr">
        <is>
          <t>NB-0046</t>
        </is>
      </c>
      <c r="C4700" s="14" t="n">
        <v>5</v>
      </c>
      <c r="D4700" s="14">
        <f>IF(A4700&gt;LastWeek-364,1,0)</f>
        <v/>
      </c>
      <c r="E4700" s="14">
        <f>C4700^2*D4700</f>
        <v/>
      </c>
    </row>
    <row r="4701">
      <c r="A4701" s="26" t="n">
        <v>45425</v>
      </c>
      <c r="B4701" s="14" t="inlineStr">
        <is>
          <t>NB-0046</t>
        </is>
      </c>
      <c r="C4701" s="14" t="n">
        <v>4</v>
      </c>
      <c r="D4701" s="14">
        <f>IF(A4701&gt;LastWeek-364,1,0)</f>
        <v/>
      </c>
      <c r="E4701" s="14">
        <f>C4701^2*D4701</f>
        <v/>
      </c>
    </row>
    <row r="4702">
      <c r="A4702" s="26" t="n">
        <v>45432</v>
      </c>
      <c r="B4702" s="14" t="inlineStr">
        <is>
          <t>NB-0046</t>
        </is>
      </c>
      <c r="C4702" s="14" t="n">
        <v>4</v>
      </c>
      <c r="D4702" s="14">
        <f>IF(A4702&gt;LastWeek-364,1,0)</f>
        <v/>
      </c>
      <c r="E4702" s="14">
        <f>C4702^2*D4702</f>
        <v/>
      </c>
    </row>
    <row r="4703">
      <c r="A4703" s="26" t="n">
        <v>45439</v>
      </c>
      <c r="B4703" s="14" t="inlineStr">
        <is>
          <t>NB-0046</t>
        </is>
      </c>
      <c r="C4703" s="14" t="n">
        <v>4</v>
      </c>
      <c r="D4703" s="14">
        <f>IF(A4703&gt;LastWeek-364,1,0)</f>
        <v/>
      </c>
      <c r="E4703" s="14">
        <f>C4703^2*D4703</f>
        <v/>
      </c>
    </row>
    <row r="4704">
      <c r="A4704" s="26" t="n">
        <v>45446</v>
      </c>
      <c r="B4704" s="14" t="inlineStr">
        <is>
          <t>NB-0046</t>
        </is>
      </c>
      <c r="C4704" s="14" t="n">
        <v>4</v>
      </c>
      <c r="D4704" s="14">
        <f>IF(A4704&gt;LastWeek-364,1,0)</f>
        <v/>
      </c>
      <c r="E4704" s="14">
        <f>C4704^2*D4704</f>
        <v/>
      </c>
    </row>
    <row r="4705">
      <c r="A4705" s="26" t="n">
        <v>45453</v>
      </c>
      <c r="B4705" s="14" t="inlineStr">
        <is>
          <t>NB-0046</t>
        </is>
      </c>
      <c r="C4705" s="14" t="n">
        <v>4</v>
      </c>
      <c r="D4705" s="14">
        <f>IF(A4705&gt;LastWeek-364,1,0)</f>
        <v/>
      </c>
      <c r="E4705" s="14">
        <f>C4705^2*D4705</f>
        <v/>
      </c>
    </row>
    <row r="4706">
      <c r="A4706" s="26" t="n">
        <v>45460</v>
      </c>
      <c r="B4706" s="14" t="inlineStr">
        <is>
          <t>NB-0046</t>
        </is>
      </c>
      <c r="C4706" s="14" t="n">
        <v>4</v>
      </c>
      <c r="D4706" s="14">
        <f>IF(A4706&gt;LastWeek-364,1,0)</f>
        <v/>
      </c>
      <c r="E4706" s="14">
        <f>C4706^2*D4706</f>
        <v/>
      </c>
    </row>
    <row r="4707">
      <c r="A4707" s="26" t="n">
        <v>45467</v>
      </c>
      <c r="B4707" s="14" t="inlineStr">
        <is>
          <t>NB-0046</t>
        </is>
      </c>
      <c r="C4707" s="14" t="n">
        <v>5</v>
      </c>
      <c r="D4707" s="14">
        <f>IF(A4707&gt;LastWeek-364,1,0)</f>
        <v/>
      </c>
      <c r="E4707" s="14">
        <f>C4707^2*D4707</f>
        <v/>
      </c>
    </row>
    <row r="4708">
      <c r="A4708" s="26" t="n">
        <v>45474</v>
      </c>
      <c r="B4708" s="14" t="inlineStr">
        <is>
          <t>NB-0046</t>
        </is>
      </c>
      <c r="C4708" s="14" t="n">
        <v>4</v>
      </c>
      <c r="D4708" s="14">
        <f>IF(A4708&gt;LastWeek-364,1,0)</f>
        <v/>
      </c>
      <c r="E4708" s="14">
        <f>C4708^2*D4708</f>
        <v/>
      </c>
    </row>
    <row r="4709">
      <c r="A4709" s="26" t="n">
        <v>45481</v>
      </c>
      <c r="B4709" s="14" t="inlineStr">
        <is>
          <t>NB-0046</t>
        </is>
      </c>
      <c r="C4709" s="14" t="n">
        <v>3</v>
      </c>
      <c r="D4709" s="14">
        <f>IF(A4709&gt;LastWeek-364,1,0)</f>
        <v/>
      </c>
      <c r="E4709" s="14">
        <f>C4709^2*D4709</f>
        <v/>
      </c>
    </row>
    <row r="4710">
      <c r="A4710" s="26" t="n">
        <v>45488</v>
      </c>
      <c r="B4710" s="14" t="inlineStr">
        <is>
          <t>NB-0046</t>
        </is>
      </c>
      <c r="C4710" s="14" t="n">
        <v>5</v>
      </c>
      <c r="D4710" s="14">
        <f>IF(A4710&gt;LastWeek-364,1,0)</f>
        <v/>
      </c>
      <c r="E4710" s="14">
        <f>C4710^2*D4710</f>
        <v/>
      </c>
    </row>
    <row r="4711">
      <c r="A4711" s="26" t="n">
        <v>45495</v>
      </c>
      <c r="B4711" s="14" t="inlineStr">
        <is>
          <t>NB-0046</t>
        </is>
      </c>
      <c r="C4711" s="14" t="n">
        <v>2</v>
      </c>
      <c r="D4711" s="14">
        <f>IF(A4711&gt;LastWeek-364,1,0)</f>
        <v/>
      </c>
      <c r="E4711" s="14">
        <f>C4711^2*D4711</f>
        <v/>
      </c>
    </row>
    <row r="4712">
      <c r="A4712" s="26" t="n">
        <v>45502</v>
      </c>
      <c r="B4712" s="14" t="inlineStr">
        <is>
          <t>NB-0046</t>
        </is>
      </c>
      <c r="C4712" s="14" t="n">
        <v>4</v>
      </c>
      <c r="D4712" s="14">
        <f>IF(A4712&gt;LastWeek-364,1,0)</f>
        <v/>
      </c>
      <c r="E4712" s="14">
        <f>C4712^2*D4712</f>
        <v/>
      </c>
    </row>
    <row r="4713">
      <c r="A4713" s="26" t="n">
        <v>45509</v>
      </c>
      <c r="B4713" s="14" t="inlineStr">
        <is>
          <t>NB-0046</t>
        </is>
      </c>
      <c r="C4713" s="14" t="n">
        <v>4</v>
      </c>
      <c r="D4713" s="14">
        <f>IF(A4713&gt;LastWeek-364,1,0)</f>
        <v/>
      </c>
      <c r="E4713" s="14">
        <f>C4713^2*D4713</f>
        <v/>
      </c>
    </row>
    <row r="4714">
      <c r="A4714" s="26" t="n">
        <v>45516</v>
      </c>
      <c r="B4714" s="14" t="inlineStr">
        <is>
          <t>NB-0046</t>
        </is>
      </c>
      <c r="C4714" s="14" t="n">
        <v>4</v>
      </c>
      <c r="D4714" s="14">
        <f>IF(A4714&gt;LastWeek-364,1,0)</f>
        <v/>
      </c>
      <c r="E4714" s="14">
        <f>C4714^2*D4714</f>
        <v/>
      </c>
    </row>
    <row r="4715">
      <c r="A4715" s="26" t="n">
        <v>45523</v>
      </c>
      <c r="B4715" s="14" t="inlineStr">
        <is>
          <t>NB-0046</t>
        </is>
      </c>
      <c r="C4715" s="14" t="n">
        <v>5</v>
      </c>
      <c r="D4715" s="14">
        <f>IF(A4715&gt;LastWeek-364,1,0)</f>
        <v/>
      </c>
      <c r="E4715" s="14">
        <f>C4715^2*D4715</f>
        <v/>
      </c>
    </row>
    <row r="4716">
      <c r="A4716" s="26" t="n">
        <v>45530</v>
      </c>
      <c r="B4716" s="14" t="inlineStr">
        <is>
          <t>NB-0046</t>
        </is>
      </c>
      <c r="C4716" s="14" t="n">
        <v>5</v>
      </c>
      <c r="D4716" s="14">
        <f>IF(A4716&gt;LastWeek-364,1,0)</f>
        <v/>
      </c>
      <c r="E4716" s="14">
        <f>C4716^2*D4716</f>
        <v/>
      </c>
    </row>
    <row r="4717">
      <c r="A4717" s="26" t="n">
        <v>45537</v>
      </c>
      <c r="B4717" s="14" t="inlineStr">
        <is>
          <t>NB-0046</t>
        </is>
      </c>
      <c r="C4717" s="14" t="n">
        <v>4</v>
      </c>
      <c r="D4717" s="14">
        <f>IF(A4717&gt;LastWeek-364,1,0)</f>
        <v/>
      </c>
      <c r="E4717" s="14">
        <f>C4717^2*D4717</f>
        <v/>
      </c>
    </row>
    <row r="4718">
      <c r="A4718" s="26" t="n">
        <v>45544</v>
      </c>
      <c r="B4718" s="14" t="inlineStr">
        <is>
          <t>NB-0046</t>
        </is>
      </c>
      <c r="C4718" s="14" t="n">
        <v>5</v>
      </c>
      <c r="D4718" s="14">
        <f>IF(A4718&gt;LastWeek-364,1,0)</f>
        <v/>
      </c>
      <c r="E4718" s="14">
        <f>C4718^2*D4718</f>
        <v/>
      </c>
    </row>
    <row r="4719">
      <c r="A4719" s="26" t="n">
        <v>45551</v>
      </c>
      <c r="B4719" s="14" t="inlineStr">
        <is>
          <t>NB-0046</t>
        </is>
      </c>
      <c r="C4719" s="14" t="n">
        <v>4</v>
      </c>
      <c r="D4719" s="14">
        <f>IF(A4719&gt;LastWeek-364,1,0)</f>
        <v/>
      </c>
      <c r="E4719" s="14">
        <f>C4719^2*D4719</f>
        <v/>
      </c>
    </row>
    <row r="4720">
      <c r="A4720" s="26" t="n">
        <v>45558</v>
      </c>
      <c r="B4720" s="14" t="inlineStr">
        <is>
          <t>NB-0046</t>
        </is>
      </c>
      <c r="C4720" s="14" t="n">
        <v>3</v>
      </c>
      <c r="D4720" s="14">
        <f>IF(A4720&gt;LastWeek-364,1,0)</f>
        <v/>
      </c>
      <c r="E4720" s="14">
        <f>C4720^2*D4720</f>
        <v/>
      </c>
    </row>
    <row r="4721">
      <c r="A4721" s="26" t="n">
        <v>45565</v>
      </c>
      <c r="B4721" s="14" t="inlineStr">
        <is>
          <t>NB-0046</t>
        </is>
      </c>
      <c r="C4721" s="14" t="n">
        <v>6</v>
      </c>
      <c r="D4721" s="14">
        <f>IF(A4721&gt;LastWeek-364,1,0)</f>
        <v/>
      </c>
      <c r="E4721" s="14">
        <f>C4721^2*D4721</f>
        <v/>
      </c>
    </row>
    <row r="4722">
      <c r="A4722" s="26" t="n">
        <v>45572</v>
      </c>
      <c r="B4722" s="14" t="inlineStr">
        <is>
          <t>NB-0046</t>
        </is>
      </c>
      <c r="C4722" s="14" t="n">
        <v>3</v>
      </c>
      <c r="D4722" s="14">
        <f>IF(A4722&gt;LastWeek-364,1,0)</f>
        <v/>
      </c>
      <c r="E4722" s="14">
        <f>C4722^2*D4722</f>
        <v/>
      </c>
    </row>
    <row r="4723">
      <c r="A4723" s="26" t="n">
        <v>45579</v>
      </c>
      <c r="B4723" s="14" t="inlineStr">
        <is>
          <t>NB-0046</t>
        </is>
      </c>
      <c r="C4723" s="14" t="n">
        <v>5</v>
      </c>
      <c r="D4723" s="14">
        <f>IF(A4723&gt;LastWeek-364,1,0)</f>
        <v/>
      </c>
      <c r="E4723" s="14">
        <f>C4723^2*D4723</f>
        <v/>
      </c>
    </row>
    <row r="4724">
      <c r="A4724" s="26" t="n">
        <v>45586</v>
      </c>
      <c r="B4724" s="14" t="inlineStr">
        <is>
          <t>NB-0046</t>
        </is>
      </c>
      <c r="C4724" s="14" t="n">
        <v>5</v>
      </c>
      <c r="D4724" s="14">
        <f>IF(A4724&gt;LastWeek-364,1,0)</f>
        <v/>
      </c>
      <c r="E4724" s="14">
        <f>C4724^2*D4724</f>
        <v/>
      </c>
    </row>
    <row r="4725">
      <c r="A4725" s="26" t="n">
        <v>45593</v>
      </c>
      <c r="B4725" s="14" t="inlineStr">
        <is>
          <t>NB-0046</t>
        </is>
      </c>
      <c r="C4725" s="14" t="n">
        <v>5</v>
      </c>
      <c r="D4725" s="14">
        <f>IF(A4725&gt;LastWeek-364,1,0)</f>
        <v/>
      </c>
      <c r="E4725" s="14">
        <f>C4725^2*D4725</f>
        <v/>
      </c>
    </row>
    <row r="4726">
      <c r="A4726" s="26" t="n">
        <v>45600</v>
      </c>
      <c r="B4726" s="14" t="inlineStr">
        <is>
          <t>NB-0046</t>
        </is>
      </c>
      <c r="C4726" s="14" t="n">
        <v>4</v>
      </c>
      <c r="D4726" s="14">
        <f>IF(A4726&gt;LastWeek-364,1,0)</f>
        <v/>
      </c>
      <c r="E4726" s="14">
        <f>C4726^2*D4726</f>
        <v/>
      </c>
    </row>
    <row r="4727">
      <c r="A4727" s="26" t="n">
        <v>45607</v>
      </c>
      <c r="B4727" s="14" t="inlineStr">
        <is>
          <t>NB-0046</t>
        </is>
      </c>
      <c r="C4727" s="14" t="n">
        <v>5</v>
      </c>
      <c r="D4727" s="14">
        <f>IF(A4727&gt;LastWeek-364,1,0)</f>
        <v/>
      </c>
      <c r="E4727" s="14">
        <f>C4727^2*D4727</f>
        <v/>
      </c>
    </row>
    <row r="4728">
      <c r="A4728" s="26" t="n">
        <v>45614</v>
      </c>
      <c r="B4728" s="14" t="inlineStr">
        <is>
          <t>NB-0046</t>
        </is>
      </c>
      <c r="C4728" s="14" t="n">
        <v>3</v>
      </c>
      <c r="D4728" s="14">
        <f>IF(A4728&gt;LastWeek-364,1,0)</f>
        <v/>
      </c>
      <c r="E4728" s="14">
        <f>C4728^2*D4728</f>
        <v/>
      </c>
    </row>
    <row r="4729">
      <c r="A4729" s="26" t="n">
        <v>45621</v>
      </c>
      <c r="B4729" s="14" t="inlineStr">
        <is>
          <t>NB-0046</t>
        </is>
      </c>
      <c r="C4729" s="14" t="n">
        <v>4</v>
      </c>
      <c r="D4729" s="14">
        <f>IF(A4729&gt;LastWeek-364,1,0)</f>
        <v/>
      </c>
      <c r="E4729" s="14">
        <f>C4729^2*D4729</f>
        <v/>
      </c>
    </row>
    <row r="4730">
      <c r="A4730" s="26" t="n">
        <v>45628</v>
      </c>
      <c r="B4730" s="14" t="inlineStr">
        <is>
          <t>NB-0046</t>
        </is>
      </c>
      <c r="C4730" s="14" t="n">
        <v>4</v>
      </c>
      <c r="D4730" s="14">
        <f>IF(A4730&gt;LastWeek-364,1,0)</f>
        <v/>
      </c>
      <c r="E4730" s="14">
        <f>C4730^2*D4730</f>
        <v/>
      </c>
    </row>
    <row r="4731">
      <c r="A4731" s="26" t="n">
        <v>45635</v>
      </c>
      <c r="B4731" s="14" t="inlineStr">
        <is>
          <t>NB-0046</t>
        </is>
      </c>
      <c r="C4731" s="14" t="n">
        <v>4</v>
      </c>
      <c r="D4731" s="14">
        <f>IF(A4731&gt;LastWeek-364,1,0)</f>
        <v/>
      </c>
      <c r="E4731" s="14">
        <f>C4731^2*D4731</f>
        <v/>
      </c>
    </row>
    <row r="4732">
      <c r="A4732" s="26" t="n">
        <v>45642</v>
      </c>
      <c r="B4732" s="14" t="inlineStr">
        <is>
          <t>NB-0046</t>
        </is>
      </c>
      <c r="C4732" s="14" t="n">
        <v>5</v>
      </c>
      <c r="D4732" s="14">
        <f>IF(A4732&gt;LastWeek-364,1,0)</f>
        <v/>
      </c>
      <c r="E4732" s="14">
        <f>C4732^2*D4732</f>
        <v/>
      </c>
    </row>
    <row r="4733">
      <c r="A4733" s="26" t="n">
        <v>45649</v>
      </c>
      <c r="B4733" s="14" t="inlineStr">
        <is>
          <t>NB-0046</t>
        </is>
      </c>
      <c r="C4733" s="14" t="n">
        <v>5</v>
      </c>
      <c r="D4733" s="14">
        <f>IF(A4733&gt;LastWeek-364,1,0)</f>
        <v/>
      </c>
      <c r="E4733" s="14">
        <f>C4733^2*D4733</f>
        <v/>
      </c>
    </row>
    <row r="4734">
      <c r="A4734" s="26" t="n">
        <v>45656</v>
      </c>
      <c r="B4734" s="14" t="inlineStr">
        <is>
          <t>NB-0046</t>
        </is>
      </c>
      <c r="C4734" s="14" t="n">
        <v>4</v>
      </c>
      <c r="D4734" s="14">
        <f>IF(A4734&gt;LastWeek-364,1,0)</f>
        <v/>
      </c>
      <c r="E4734" s="14">
        <f>C4734^2*D4734</f>
        <v/>
      </c>
    </row>
    <row r="4735">
      <c r="A4735" s="26" t="n">
        <v>45663</v>
      </c>
      <c r="B4735" s="14" t="inlineStr">
        <is>
          <t>NB-0046</t>
        </is>
      </c>
      <c r="C4735" s="14" t="n">
        <v>5</v>
      </c>
      <c r="D4735" s="14">
        <f>IF(A4735&gt;LastWeek-364,1,0)</f>
        <v/>
      </c>
      <c r="E4735" s="14">
        <f>C4735^2*D4735</f>
        <v/>
      </c>
    </row>
    <row r="4736">
      <c r="A4736" s="26" t="n">
        <v>45670</v>
      </c>
      <c r="B4736" s="14" t="inlineStr">
        <is>
          <t>NB-0046</t>
        </is>
      </c>
      <c r="C4736" s="14" t="n">
        <v>4</v>
      </c>
      <c r="D4736" s="14">
        <f>IF(A4736&gt;LastWeek-364,1,0)</f>
        <v/>
      </c>
      <c r="E4736" s="14">
        <f>C4736^2*D4736</f>
        <v/>
      </c>
    </row>
    <row r="4737">
      <c r="A4737" s="26" t="n">
        <v>45677</v>
      </c>
      <c r="B4737" s="14" t="inlineStr">
        <is>
          <t>NB-0046</t>
        </is>
      </c>
      <c r="C4737" s="14" t="n">
        <v>4</v>
      </c>
      <c r="D4737" s="14">
        <f>IF(A4737&gt;LastWeek-364,1,0)</f>
        <v/>
      </c>
      <c r="E4737" s="14">
        <f>C4737^2*D4737</f>
        <v/>
      </c>
    </row>
    <row r="4738">
      <c r="A4738" s="26" t="n">
        <v>45684</v>
      </c>
      <c r="B4738" s="14" t="inlineStr">
        <is>
          <t>NB-0046</t>
        </is>
      </c>
      <c r="C4738" s="14" t="n">
        <v>4</v>
      </c>
      <c r="D4738" s="14">
        <f>IF(A4738&gt;LastWeek-364,1,0)</f>
        <v/>
      </c>
      <c r="E4738" s="14">
        <f>C4738^2*D4738</f>
        <v/>
      </c>
    </row>
    <row r="4739">
      <c r="A4739" s="26" t="n">
        <v>45691</v>
      </c>
      <c r="B4739" s="14" t="inlineStr">
        <is>
          <t>NB-0046</t>
        </is>
      </c>
      <c r="C4739" s="14" t="n">
        <v>4</v>
      </c>
      <c r="D4739" s="14">
        <f>IF(A4739&gt;LastWeek-364,1,0)</f>
        <v/>
      </c>
      <c r="E4739" s="14">
        <f>C4739^2*D4739</f>
        <v/>
      </c>
    </row>
    <row r="4740">
      <c r="A4740" s="26" t="n">
        <v>45698</v>
      </c>
      <c r="B4740" s="14" t="inlineStr">
        <is>
          <t>NB-0046</t>
        </is>
      </c>
      <c r="C4740" s="14" t="n">
        <v>4</v>
      </c>
      <c r="D4740" s="14">
        <f>IF(A4740&gt;LastWeek-364,1,0)</f>
        <v/>
      </c>
      <c r="E4740" s="14">
        <f>C4740^2*D4740</f>
        <v/>
      </c>
    </row>
    <row r="4741">
      <c r="A4741" s="26" t="n">
        <v>45705</v>
      </c>
      <c r="B4741" s="14" t="inlineStr">
        <is>
          <t>NB-0046</t>
        </is>
      </c>
      <c r="C4741" s="14" t="n">
        <v>5</v>
      </c>
      <c r="D4741" s="14">
        <f>IF(A4741&gt;LastWeek-364,1,0)</f>
        <v/>
      </c>
      <c r="E4741" s="14">
        <f>C4741^2*D4741</f>
        <v/>
      </c>
    </row>
    <row r="4742">
      <c r="A4742" s="26" t="n">
        <v>45712</v>
      </c>
      <c r="B4742" s="14" t="inlineStr">
        <is>
          <t>NB-0046</t>
        </is>
      </c>
      <c r="C4742" s="14" t="n">
        <v>4</v>
      </c>
      <c r="D4742" s="14">
        <f>IF(A4742&gt;LastWeek-364,1,0)</f>
        <v/>
      </c>
      <c r="E4742" s="14">
        <f>C4742^2*D4742</f>
        <v/>
      </c>
    </row>
    <row r="4743">
      <c r="A4743" s="26" t="n">
        <v>45719</v>
      </c>
      <c r="B4743" s="14" t="inlineStr">
        <is>
          <t>NB-0046</t>
        </is>
      </c>
      <c r="C4743" s="14" t="n">
        <v>3</v>
      </c>
      <c r="D4743" s="14">
        <f>IF(A4743&gt;LastWeek-364,1,0)</f>
        <v/>
      </c>
      <c r="E4743" s="14">
        <f>C4743^2*D4743</f>
        <v/>
      </c>
    </row>
    <row r="4744">
      <c r="A4744" s="26" t="n">
        <v>45726</v>
      </c>
      <c r="B4744" s="14" t="inlineStr">
        <is>
          <t>NB-0046</t>
        </is>
      </c>
      <c r="C4744" s="14" t="n">
        <v>3</v>
      </c>
      <c r="D4744" s="14">
        <f>IF(A4744&gt;LastWeek-364,1,0)</f>
        <v/>
      </c>
      <c r="E4744" s="14">
        <f>C4744^2*D4744</f>
        <v/>
      </c>
    </row>
    <row r="4745">
      <c r="A4745" s="26" t="n">
        <v>45733</v>
      </c>
      <c r="B4745" s="14" t="inlineStr">
        <is>
          <t>NB-0046</t>
        </is>
      </c>
      <c r="C4745" s="14" t="n">
        <v>5</v>
      </c>
      <c r="D4745" s="14">
        <f>IF(A4745&gt;LastWeek-364,1,0)</f>
        <v/>
      </c>
      <c r="E4745" s="14">
        <f>C4745^2*D4745</f>
        <v/>
      </c>
    </row>
    <row r="4746">
      <c r="A4746" s="26" t="n">
        <v>45740</v>
      </c>
      <c r="B4746" s="14" t="inlineStr">
        <is>
          <t>NB-0046</t>
        </is>
      </c>
      <c r="C4746" s="14" t="n">
        <v>4</v>
      </c>
      <c r="D4746" s="14">
        <f>IF(A4746&gt;LastWeek-364,1,0)</f>
        <v/>
      </c>
      <c r="E4746" s="14">
        <f>C4746^2*D4746</f>
        <v/>
      </c>
    </row>
    <row r="4747">
      <c r="A4747" s="26" t="n">
        <v>45747</v>
      </c>
      <c r="B4747" s="14" t="inlineStr">
        <is>
          <t>NB-0046</t>
        </is>
      </c>
      <c r="C4747" s="14" t="n">
        <v>4</v>
      </c>
      <c r="D4747" s="14">
        <f>IF(A4747&gt;LastWeek-364,1,0)</f>
        <v/>
      </c>
      <c r="E4747" s="14">
        <f>C4747^2*D4747</f>
        <v/>
      </c>
    </row>
    <row r="4748">
      <c r="A4748" s="26" t="n">
        <v>45754</v>
      </c>
      <c r="B4748" s="14" t="inlineStr">
        <is>
          <t>NB-0046</t>
        </is>
      </c>
      <c r="C4748" s="14" t="n">
        <v>5</v>
      </c>
      <c r="D4748" s="14">
        <f>IF(A4748&gt;LastWeek-364,1,0)</f>
        <v/>
      </c>
      <c r="E4748" s="14">
        <f>C4748^2*D4748</f>
        <v/>
      </c>
    </row>
    <row r="4749">
      <c r="A4749" s="26" t="n">
        <v>45761</v>
      </c>
      <c r="B4749" s="14" t="inlineStr">
        <is>
          <t>NB-0046</t>
        </is>
      </c>
      <c r="C4749" s="14" t="n">
        <v>3</v>
      </c>
      <c r="D4749" s="14">
        <f>IF(A4749&gt;LastWeek-364,1,0)</f>
        <v/>
      </c>
      <c r="E4749" s="14">
        <f>C4749^2*D4749</f>
        <v/>
      </c>
    </row>
    <row r="4750">
      <c r="A4750" s="26" t="n">
        <v>45768</v>
      </c>
      <c r="B4750" s="14" t="inlineStr">
        <is>
          <t>NB-0046</t>
        </is>
      </c>
      <c r="C4750" s="14" t="n">
        <v>3</v>
      </c>
      <c r="D4750" s="14">
        <f>IF(A4750&gt;LastWeek-364,1,0)</f>
        <v/>
      </c>
      <c r="E4750" s="14">
        <f>C4750^2*D4750</f>
        <v/>
      </c>
    </row>
    <row r="4751">
      <c r="A4751" s="26" t="n">
        <v>45775</v>
      </c>
      <c r="B4751" s="14" t="inlineStr">
        <is>
          <t>NB-0046</t>
        </is>
      </c>
      <c r="C4751" s="14" t="n">
        <v>5</v>
      </c>
      <c r="D4751" s="14">
        <f>IF(A4751&gt;LastWeek-364,1,0)</f>
        <v/>
      </c>
      <c r="E4751" s="14">
        <f>C4751^2*D4751</f>
        <v/>
      </c>
    </row>
    <row r="4752">
      <c r="A4752" s="26" t="n">
        <v>45782</v>
      </c>
      <c r="B4752" s="14" t="inlineStr">
        <is>
          <t>NB-0046</t>
        </is>
      </c>
      <c r="C4752" s="14" t="n">
        <v>4</v>
      </c>
      <c r="D4752" s="14">
        <f>IF(A4752&gt;LastWeek-364,1,0)</f>
        <v/>
      </c>
      <c r="E4752" s="14">
        <f>C4752^2*D4752</f>
        <v/>
      </c>
    </row>
    <row r="4753">
      <c r="A4753" s="26" t="n">
        <v>45789</v>
      </c>
      <c r="B4753" s="14" t="inlineStr">
        <is>
          <t>NB-0046</t>
        </is>
      </c>
      <c r="C4753" s="14" t="n">
        <v>4</v>
      </c>
      <c r="D4753" s="14">
        <f>IF(A4753&gt;LastWeek-364,1,0)</f>
        <v/>
      </c>
      <c r="E4753" s="14">
        <f>C4753^2*D4753</f>
        <v/>
      </c>
    </row>
    <row r="4754">
      <c r="A4754" s="26" t="n">
        <v>45796</v>
      </c>
      <c r="B4754" s="14" t="inlineStr">
        <is>
          <t>NB-0046</t>
        </is>
      </c>
      <c r="C4754" s="14" t="n">
        <v>4</v>
      </c>
      <c r="D4754" s="14">
        <f>IF(A4754&gt;LastWeek-364,1,0)</f>
        <v/>
      </c>
      <c r="E4754" s="14">
        <f>C4754^2*D4754</f>
        <v/>
      </c>
    </row>
    <row r="4755">
      <c r="A4755" s="26" t="n">
        <v>45803</v>
      </c>
      <c r="B4755" s="14" t="inlineStr">
        <is>
          <t>NB-0046</t>
        </is>
      </c>
      <c r="C4755" s="14" t="n">
        <v>4</v>
      </c>
      <c r="D4755" s="14">
        <f>IF(A4755&gt;LastWeek-364,1,0)</f>
        <v/>
      </c>
      <c r="E4755" s="14">
        <f>C4755^2*D4755</f>
        <v/>
      </c>
    </row>
    <row r="4756">
      <c r="A4756" s="26" t="n">
        <v>45810</v>
      </c>
      <c r="B4756" s="14" t="inlineStr">
        <is>
          <t>NB-0046</t>
        </is>
      </c>
      <c r="C4756" s="14" t="n">
        <v>3</v>
      </c>
      <c r="D4756" s="14">
        <f>IF(A4756&gt;LastWeek-364,1,0)</f>
        <v/>
      </c>
      <c r="E4756" s="14">
        <f>C4756^2*D4756</f>
        <v/>
      </c>
    </row>
    <row r="4757">
      <c r="A4757" s="26" t="n">
        <v>45817</v>
      </c>
      <c r="B4757" s="14" t="inlineStr">
        <is>
          <t>NB-0046</t>
        </is>
      </c>
      <c r="C4757" s="14" t="n">
        <v>5</v>
      </c>
      <c r="D4757" s="14">
        <f>IF(A4757&gt;LastWeek-364,1,0)</f>
        <v/>
      </c>
      <c r="E4757" s="14">
        <f>C4757^2*D4757</f>
        <v/>
      </c>
    </row>
    <row r="4758">
      <c r="A4758" s="26" t="n">
        <v>45824</v>
      </c>
      <c r="B4758" s="14" t="inlineStr">
        <is>
          <t>NB-0046</t>
        </is>
      </c>
      <c r="C4758" s="14" t="n">
        <v>4</v>
      </c>
      <c r="D4758" s="14">
        <f>IF(A4758&gt;LastWeek-364,1,0)</f>
        <v/>
      </c>
      <c r="E4758" s="14">
        <f>C4758^2*D4758</f>
        <v/>
      </c>
    </row>
    <row r="4759">
      <c r="A4759" s="26" t="n">
        <v>45831</v>
      </c>
      <c r="B4759" s="14" t="inlineStr">
        <is>
          <t>NB-0046</t>
        </is>
      </c>
      <c r="C4759" s="14" t="n">
        <v>5</v>
      </c>
      <c r="D4759" s="14">
        <f>IF(A4759&gt;LastWeek-364,1,0)</f>
        <v/>
      </c>
      <c r="E4759" s="14">
        <f>C4759^2*D4759</f>
        <v/>
      </c>
    </row>
    <row r="4760">
      <c r="A4760" s="26" t="n">
        <v>45838</v>
      </c>
      <c r="B4760" s="14" t="inlineStr">
        <is>
          <t>NB-0046</t>
        </is>
      </c>
      <c r="C4760" s="14" t="n">
        <v>4</v>
      </c>
      <c r="D4760" s="14">
        <f>IF(A4760&gt;LastWeek-364,1,0)</f>
        <v/>
      </c>
      <c r="E4760" s="14">
        <f>C4760^2*D4760</f>
        <v/>
      </c>
    </row>
    <row r="4761">
      <c r="A4761" s="26" t="n">
        <v>45845</v>
      </c>
      <c r="B4761" s="14" t="inlineStr">
        <is>
          <t>NB-0046</t>
        </is>
      </c>
      <c r="C4761" s="14" t="n">
        <v>3</v>
      </c>
      <c r="D4761" s="14">
        <f>IF(A4761&gt;LastWeek-364,1,0)</f>
        <v/>
      </c>
      <c r="E4761" s="14">
        <f>C4761^2*D4761</f>
        <v/>
      </c>
    </row>
    <row r="4762">
      <c r="A4762" s="26" t="n">
        <v>45852</v>
      </c>
      <c r="B4762" s="14" t="inlineStr">
        <is>
          <t>NB-0046</t>
        </is>
      </c>
      <c r="C4762" s="14" t="n">
        <v>4</v>
      </c>
      <c r="D4762" s="14">
        <f>IF(A4762&gt;LastWeek-364,1,0)</f>
        <v/>
      </c>
      <c r="E4762" s="14">
        <f>C4762^2*D4762</f>
        <v/>
      </c>
    </row>
    <row r="4763">
      <c r="A4763" s="26" t="n">
        <v>45859</v>
      </c>
      <c r="B4763" s="14" t="inlineStr">
        <is>
          <t>NB-0046</t>
        </is>
      </c>
      <c r="C4763" s="14" t="n">
        <v>2</v>
      </c>
      <c r="D4763" s="14">
        <f>IF(A4763&gt;LastWeek-364,1,0)</f>
        <v/>
      </c>
      <c r="E4763" s="14">
        <f>C4763^2*D4763</f>
        <v/>
      </c>
    </row>
    <row r="4764">
      <c r="A4764" s="26" t="n">
        <v>45866</v>
      </c>
      <c r="B4764" s="14" t="inlineStr">
        <is>
          <t>NB-0046</t>
        </is>
      </c>
      <c r="C4764" s="14" t="n">
        <v>4</v>
      </c>
      <c r="D4764" s="14">
        <f>IF(A4764&gt;LastWeek-364,1,0)</f>
        <v/>
      </c>
      <c r="E4764" s="14">
        <f>C4764^2*D4764</f>
        <v/>
      </c>
    </row>
    <row r="4765">
      <c r="A4765" s="26" t="n">
        <v>45873</v>
      </c>
      <c r="B4765" s="14" t="inlineStr">
        <is>
          <t>NB-0046</t>
        </is>
      </c>
      <c r="C4765" s="14" t="n">
        <v>4</v>
      </c>
      <c r="D4765" s="14">
        <f>IF(A4765&gt;LastWeek-364,1,0)</f>
        <v/>
      </c>
      <c r="E4765" s="14">
        <f>C4765^2*D4765</f>
        <v/>
      </c>
    </row>
    <row r="4766">
      <c r="A4766" s="26" t="n">
        <v>45880</v>
      </c>
      <c r="B4766" s="14" t="inlineStr">
        <is>
          <t>NB-0046</t>
        </is>
      </c>
      <c r="C4766" s="14" t="n">
        <v>5</v>
      </c>
      <c r="D4766" s="14">
        <f>IF(A4766&gt;LastWeek-364,1,0)</f>
        <v/>
      </c>
      <c r="E4766" s="14">
        <f>C4766^2*D4766</f>
        <v/>
      </c>
    </row>
    <row r="4767">
      <c r="A4767" s="26" t="n">
        <v>45887</v>
      </c>
      <c r="B4767" s="14" t="inlineStr">
        <is>
          <t>NB-0046</t>
        </is>
      </c>
      <c r="C4767" s="14" t="n">
        <v>3</v>
      </c>
      <c r="D4767" s="14">
        <f>IF(A4767&gt;LastWeek-364,1,0)</f>
        <v/>
      </c>
      <c r="E4767" s="14">
        <f>C4767^2*D4767</f>
        <v/>
      </c>
    </row>
    <row r="4768">
      <c r="A4768" s="26" t="n">
        <v>45894</v>
      </c>
      <c r="B4768" s="14" t="inlineStr">
        <is>
          <t>NB-0046</t>
        </is>
      </c>
      <c r="C4768" s="14" t="n">
        <v>5</v>
      </c>
      <c r="D4768" s="14">
        <f>IF(A4768&gt;LastWeek-364,1,0)</f>
        <v/>
      </c>
      <c r="E4768" s="14">
        <f>C4768^2*D4768</f>
        <v/>
      </c>
    </row>
    <row r="4769">
      <c r="A4769" s="26" t="n">
        <v>45901</v>
      </c>
      <c r="B4769" s="14" t="inlineStr">
        <is>
          <t>NB-0046</t>
        </is>
      </c>
      <c r="C4769" s="14" t="n">
        <v>5</v>
      </c>
      <c r="D4769" s="14">
        <f>IF(A4769&gt;LastWeek-364,1,0)</f>
        <v/>
      </c>
      <c r="E4769" s="14">
        <f>C4769^2*D4769</f>
        <v/>
      </c>
    </row>
    <row r="4770">
      <c r="A4770" s="26" t="n">
        <v>45908</v>
      </c>
      <c r="B4770" s="14" t="inlineStr">
        <is>
          <t>NB-0046</t>
        </is>
      </c>
      <c r="C4770" s="14" t="n">
        <v>5</v>
      </c>
      <c r="D4770" s="14">
        <f>IF(A4770&gt;LastWeek-364,1,0)</f>
        <v/>
      </c>
      <c r="E4770" s="14">
        <f>C4770^2*D4770</f>
        <v/>
      </c>
    </row>
    <row r="4771">
      <c r="A4771" s="26" t="n">
        <v>45915</v>
      </c>
      <c r="B4771" s="14" t="inlineStr">
        <is>
          <t>NB-0046</t>
        </is>
      </c>
      <c r="C4771" s="14" t="n">
        <v>4</v>
      </c>
      <c r="D4771" s="14">
        <f>IF(A4771&gt;LastWeek-364,1,0)</f>
        <v/>
      </c>
      <c r="E4771" s="14">
        <f>C4771^2*D4771</f>
        <v/>
      </c>
    </row>
    <row r="4772">
      <c r="A4772" s="26" t="n">
        <v>45922</v>
      </c>
      <c r="B4772" s="14" t="inlineStr">
        <is>
          <t>NB-0046</t>
        </is>
      </c>
      <c r="C4772" s="14" t="n">
        <v>5</v>
      </c>
      <c r="D4772" s="14">
        <f>IF(A4772&gt;LastWeek-364,1,0)</f>
        <v/>
      </c>
      <c r="E4772" s="14">
        <f>C4772^2*D4772</f>
        <v/>
      </c>
    </row>
    <row r="4773">
      <c r="A4773" s="26" t="n">
        <v>45929</v>
      </c>
      <c r="B4773" s="14" t="inlineStr">
        <is>
          <t>NB-0046</t>
        </is>
      </c>
      <c r="C4773" s="14" t="n">
        <v>3</v>
      </c>
      <c r="D4773" s="14">
        <f>IF(A4773&gt;LastWeek-364,1,0)</f>
        <v/>
      </c>
      <c r="E4773" s="14">
        <f>C4773^2*D4773</f>
        <v/>
      </c>
    </row>
    <row r="4774">
      <c r="A4774" s="26" t="n">
        <v>45936</v>
      </c>
      <c r="B4774" s="14" t="inlineStr">
        <is>
          <t>NB-0046</t>
        </is>
      </c>
      <c r="C4774" s="14" t="n">
        <v>5</v>
      </c>
      <c r="D4774" s="14">
        <f>IF(A4774&gt;LastWeek-364,1,0)</f>
        <v/>
      </c>
      <c r="E4774" s="14">
        <f>C4774^2*D4774</f>
        <v/>
      </c>
    </row>
    <row r="4775">
      <c r="A4775" s="26" t="n">
        <v>45943</v>
      </c>
      <c r="B4775" s="14" t="inlineStr">
        <is>
          <t>NB-0046</t>
        </is>
      </c>
      <c r="C4775" s="14" t="n">
        <v>4</v>
      </c>
      <c r="D4775" s="14">
        <f>IF(A4775&gt;LastWeek-364,1,0)</f>
        <v/>
      </c>
      <c r="E4775" s="14">
        <f>C4775^2*D4775</f>
        <v/>
      </c>
    </row>
    <row r="4776">
      <c r="A4776" s="26" t="n">
        <v>45950</v>
      </c>
      <c r="B4776" s="14" t="inlineStr">
        <is>
          <t>NB-0046</t>
        </is>
      </c>
      <c r="C4776" s="14" t="n">
        <v>3</v>
      </c>
      <c r="D4776" s="14">
        <f>IF(A4776&gt;LastWeek-364,1,0)</f>
        <v/>
      </c>
      <c r="E4776" s="14">
        <f>C4776^2*D4776</f>
        <v/>
      </c>
    </row>
    <row r="4777">
      <c r="A4777" s="26" t="n">
        <v>45957</v>
      </c>
      <c r="B4777" s="14" t="inlineStr">
        <is>
          <t>NB-0046</t>
        </is>
      </c>
      <c r="C4777" s="14" t="n">
        <v>3</v>
      </c>
      <c r="D4777" s="14">
        <f>IF(A4777&gt;LastWeek-364,1,0)</f>
        <v/>
      </c>
      <c r="E4777" s="14">
        <f>C4777^2*D4777</f>
        <v/>
      </c>
    </row>
    <row r="4778">
      <c r="A4778" s="26" t="n">
        <v>45964</v>
      </c>
      <c r="B4778" s="14" t="inlineStr">
        <is>
          <t>NB-0046</t>
        </is>
      </c>
      <c r="C4778" s="14" t="n">
        <v>4</v>
      </c>
      <c r="D4778" s="14">
        <f>IF(A4778&gt;LastWeek-364,1,0)</f>
        <v/>
      </c>
      <c r="E4778" s="14">
        <f>C4778^2*D4778</f>
        <v/>
      </c>
    </row>
    <row r="4779">
      <c r="A4779" s="26" t="n">
        <v>45971</v>
      </c>
      <c r="B4779" s="14" t="inlineStr">
        <is>
          <t>NB-0046</t>
        </is>
      </c>
      <c r="C4779" s="14" t="n">
        <v>4</v>
      </c>
      <c r="D4779" s="14">
        <f>IF(A4779&gt;LastWeek-364,1,0)</f>
        <v/>
      </c>
      <c r="E4779" s="14">
        <f>C4779^2*D4779</f>
        <v/>
      </c>
    </row>
    <row r="4780">
      <c r="A4780" s="26" t="n">
        <v>45978</v>
      </c>
      <c r="B4780" s="14" t="inlineStr">
        <is>
          <t>NB-0046</t>
        </is>
      </c>
      <c r="C4780" s="14" t="n">
        <v>4</v>
      </c>
      <c r="D4780" s="14">
        <f>IF(A4780&gt;LastWeek-364,1,0)</f>
        <v/>
      </c>
      <c r="E4780" s="14">
        <f>C4780^2*D4780</f>
        <v/>
      </c>
    </row>
    <row r="4781">
      <c r="A4781" s="26" t="n">
        <v>45985</v>
      </c>
      <c r="B4781" s="14" t="inlineStr">
        <is>
          <t>NB-0046</t>
        </is>
      </c>
      <c r="C4781" s="14" t="n">
        <v>3</v>
      </c>
      <c r="D4781" s="14">
        <f>IF(A4781&gt;LastWeek-364,1,0)</f>
        <v/>
      </c>
      <c r="E4781" s="14">
        <f>C4781^2*D4781</f>
        <v/>
      </c>
    </row>
    <row r="4782">
      <c r="A4782" s="26" t="n">
        <v>45992</v>
      </c>
      <c r="B4782" s="14" t="inlineStr">
        <is>
          <t>NB-0046</t>
        </is>
      </c>
      <c r="C4782" s="14" t="n">
        <v>3</v>
      </c>
      <c r="D4782" s="14">
        <f>IF(A4782&gt;LastWeek-364,1,0)</f>
        <v/>
      </c>
      <c r="E4782" s="14">
        <f>C4782^2*D4782</f>
        <v/>
      </c>
    </row>
    <row r="4783">
      <c r="A4783" s="26" t="n">
        <v>45999</v>
      </c>
      <c r="B4783" s="14" t="inlineStr">
        <is>
          <t>NB-0046</t>
        </is>
      </c>
      <c r="C4783" s="14" t="n">
        <v>5</v>
      </c>
      <c r="D4783" s="14">
        <f>IF(A4783&gt;LastWeek-364,1,0)</f>
        <v/>
      </c>
      <c r="E4783" s="14">
        <f>C4783^2*D4783</f>
        <v/>
      </c>
    </row>
    <row r="4784">
      <c r="A4784" s="26" t="n">
        <v>46006</v>
      </c>
      <c r="B4784" s="14" t="inlineStr">
        <is>
          <t>NB-0046</t>
        </is>
      </c>
      <c r="C4784" s="14" t="n">
        <v>5</v>
      </c>
      <c r="D4784" s="14">
        <f>IF(A4784&gt;LastWeek-364,1,0)</f>
        <v/>
      </c>
      <c r="E4784" s="14">
        <f>C4784^2*D4784</f>
        <v/>
      </c>
    </row>
    <row r="4785">
      <c r="A4785" s="26" t="n">
        <v>46013</v>
      </c>
      <c r="B4785" s="14" t="inlineStr">
        <is>
          <t>NB-0046</t>
        </is>
      </c>
      <c r="C4785" s="14" t="n">
        <v>3</v>
      </c>
      <c r="D4785" s="14">
        <f>IF(A4785&gt;LastWeek-364,1,0)</f>
        <v/>
      </c>
      <c r="E4785" s="14">
        <f>C4785^2*D4785</f>
        <v/>
      </c>
    </row>
    <row r="4786">
      <c r="A4786" s="26" t="n">
        <v>45292</v>
      </c>
      <c r="B4786" s="14" t="inlineStr">
        <is>
          <t>NB-0047</t>
        </is>
      </c>
      <c r="C4786" s="14" t="n">
        <v>7</v>
      </c>
      <c r="D4786" s="14">
        <f>IF(A4786&gt;LastWeek-364,1,0)</f>
        <v/>
      </c>
      <c r="E4786" s="14">
        <f>C4786^2*D4786</f>
        <v/>
      </c>
    </row>
    <row r="4787">
      <c r="A4787" s="26" t="n">
        <v>45299</v>
      </c>
      <c r="B4787" s="14" t="inlineStr">
        <is>
          <t>NB-0047</t>
        </is>
      </c>
      <c r="C4787" s="14" t="n">
        <v>9</v>
      </c>
      <c r="D4787" s="14">
        <f>IF(A4787&gt;LastWeek-364,1,0)</f>
        <v/>
      </c>
      <c r="E4787" s="14">
        <f>C4787^2*D4787</f>
        <v/>
      </c>
    </row>
    <row r="4788">
      <c r="A4788" s="26" t="n">
        <v>45306</v>
      </c>
      <c r="B4788" s="14" t="inlineStr">
        <is>
          <t>NB-0047</t>
        </is>
      </c>
      <c r="C4788" s="14" t="n">
        <v>7</v>
      </c>
      <c r="D4788" s="14">
        <f>IF(A4788&gt;LastWeek-364,1,0)</f>
        <v/>
      </c>
      <c r="E4788" s="14">
        <f>C4788^2*D4788</f>
        <v/>
      </c>
    </row>
    <row r="4789">
      <c r="A4789" s="26" t="n">
        <v>45313</v>
      </c>
      <c r="B4789" s="14" t="inlineStr">
        <is>
          <t>NB-0047</t>
        </is>
      </c>
      <c r="C4789" s="14" t="n">
        <v>7</v>
      </c>
      <c r="D4789" s="14">
        <f>IF(A4789&gt;LastWeek-364,1,0)</f>
        <v/>
      </c>
      <c r="E4789" s="14">
        <f>C4789^2*D4789</f>
        <v/>
      </c>
    </row>
    <row r="4790">
      <c r="A4790" s="26" t="n">
        <v>45320</v>
      </c>
      <c r="B4790" s="14" t="inlineStr">
        <is>
          <t>NB-0047</t>
        </is>
      </c>
      <c r="C4790" s="14" t="n">
        <v>9</v>
      </c>
      <c r="D4790" s="14">
        <f>IF(A4790&gt;LastWeek-364,1,0)</f>
        <v/>
      </c>
      <c r="E4790" s="14">
        <f>C4790^2*D4790</f>
        <v/>
      </c>
    </row>
    <row r="4791">
      <c r="A4791" s="26" t="n">
        <v>45327</v>
      </c>
      <c r="B4791" s="14" t="inlineStr">
        <is>
          <t>NB-0047</t>
        </is>
      </c>
      <c r="C4791" s="14" t="n">
        <v>5</v>
      </c>
      <c r="D4791" s="14">
        <f>IF(A4791&gt;LastWeek-364,1,0)</f>
        <v/>
      </c>
      <c r="E4791" s="14">
        <f>C4791^2*D4791</f>
        <v/>
      </c>
    </row>
    <row r="4792">
      <c r="A4792" s="26" t="n">
        <v>45334</v>
      </c>
      <c r="B4792" s="14" t="inlineStr">
        <is>
          <t>NB-0047</t>
        </is>
      </c>
      <c r="C4792" s="14" t="n">
        <v>7</v>
      </c>
      <c r="D4792" s="14">
        <f>IF(A4792&gt;LastWeek-364,1,0)</f>
        <v/>
      </c>
      <c r="E4792" s="14">
        <f>C4792^2*D4792</f>
        <v/>
      </c>
    </row>
    <row r="4793">
      <c r="A4793" s="26" t="n">
        <v>45341</v>
      </c>
      <c r="B4793" s="14" t="inlineStr">
        <is>
          <t>NB-0047</t>
        </is>
      </c>
      <c r="C4793" s="14" t="n">
        <v>7</v>
      </c>
      <c r="D4793" s="14">
        <f>IF(A4793&gt;LastWeek-364,1,0)</f>
        <v/>
      </c>
      <c r="E4793" s="14">
        <f>C4793^2*D4793</f>
        <v/>
      </c>
    </row>
    <row r="4794">
      <c r="A4794" s="26" t="n">
        <v>45348</v>
      </c>
      <c r="B4794" s="14" t="inlineStr">
        <is>
          <t>NB-0047</t>
        </is>
      </c>
      <c r="C4794" s="14" t="n">
        <v>6</v>
      </c>
      <c r="D4794" s="14">
        <f>IF(A4794&gt;LastWeek-364,1,0)</f>
        <v/>
      </c>
      <c r="E4794" s="14">
        <f>C4794^2*D4794</f>
        <v/>
      </c>
    </row>
    <row r="4795">
      <c r="A4795" s="26" t="n">
        <v>45355</v>
      </c>
      <c r="B4795" s="14" t="inlineStr">
        <is>
          <t>NB-0047</t>
        </is>
      </c>
      <c r="C4795" s="14" t="n">
        <v>6</v>
      </c>
      <c r="D4795" s="14">
        <f>IF(A4795&gt;LastWeek-364,1,0)</f>
        <v/>
      </c>
      <c r="E4795" s="14">
        <f>C4795^2*D4795</f>
        <v/>
      </c>
    </row>
    <row r="4796">
      <c r="A4796" s="26" t="n">
        <v>45362</v>
      </c>
      <c r="B4796" s="14" t="inlineStr">
        <is>
          <t>NB-0047</t>
        </is>
      </c>
      <c r="C4796" s="14" t="n">
        <v>7</v>
      </c>
      <c r="D4796" s="14">
        <f>IF(A4796&gt;LastWeek-364,1,0)</f>
        <v/>
      </c>
      <c r="E4796" s="14">
        <f>C4796^2*D4796</f>
        <v/>
      </c>
    </row>
    <row r="4797">
      <c r="A4797" s="26" t="n">
        <v>45369</v>
      </c>
      <c r="B4797" s="14" t="inlineStr">
        <is>
          <t>NB-0047</t>
        </is>
      </c>
      <c r="C4797" s="14" t="n">
        <v>7</v>
      </c>
      <c r="D4797" s="14">
        <f>IF(A4797&gt;LastWeek-364,1,0)</f>
        <v/>
      </c>
      <c r="E4797" s="14">
        <f>C4797^2*D4797</f>
        <v/>
      </c>
    </row>
    <row r="4798">
      <c r="A4798" s="26" t="n">
        <v>45376</v>
      </c>
      <c r="B4798" s="14" t="inlineStr">
        <is>
          <t>NB-0047</t>
        </is>
      </c>
      <c r="C4798" s="14" t="n">
        <v>5</v>
      </c>
      <c r="D4798" s="14">
        <f>IF(A4798&gt;LastWeek-364,1,0)</f>
        <v/>
      </c>
      <c r="E4798" s="14">
        <f>C4798^2*D4798</f>
        <v/>
      </c>
    </row>
    <row r="4799">
      <c r="A4799" s="26" t="n">
        <v>45383</v>
      </c>
      <c r="B4799" s="14" t="inlineStr">
        <is>
          <t>NB-0047</t>
        </is>
      </c>
      <c r="C4799" s="14" t="n">
        <v>9</v>
      </c>
      <c r="D4799" s="14">
        <f>IF(A4799&gt;LastWeek-364,1,0)</f>
        <v/>
      </c>
      <c r="E4799" s="14">
        <f>C4799^2*D4799</f>
        <v/>
      </c>
    </row>
    <row r="4800">
      <c r="A4800" s="26" t="n">
        <v>45390</v>
      </c>
      <c r="B4800" s="14" t="inlineStr">
        <is>
          <t>NB-0047</t>
        </is>
      </c>
      <c r="C4800" s="14" t="n">
        <v>5</v>
      </c>
      <c r="D4800" s="14">
        <f>IF(A4800&gt;LastWeek-364,1,0)</f>
        <v/>
      </c>
      <c r="E4800" s="14">
        <f>C4800^2*D4800</f>
        <v/>
      </c>
    </row>
    <row r="4801">
      <c r="A4801" s="26" t="n">
        <v>45397</v>
      </c>
      <c r="B4801" s="14" t="inlineStr">
        <is>
          <t>NB-0047</t>
        </is>
      </c>
      <c r="C4801" s="14" t="n">
        <v>7</v>
      </c>
      <c r="D4801" s="14">
        <f>IF(A4801&gt;LastWeek-364,1,0)</f>
        <v/>
      </c>
      <c r="E4801" s="14">
        <f>C4801^2*D4801</f>
        <v/>
      </c>
    </row>
    <row r="4802">
      <c r="A4802" s="26" t="n">
        <v>45404</v>
      </c>
      <c r="B4802" s="14" t="inlineStr">
        <is>
          <t>NB-0047</t>
        </is>
      </c>
      <c r="C4802" s="14" t="n">
        <v>6</v>
      </c>
      <c r="D4802" s="14">
        <f>IF(A4802&gt;LastWeek-364,1,0)</f>
        <v/>
      </c>
      <c r="E4802" s="14">
        <f>C4802^2*D4802</f>
        <v/>
      </c>
    </row>
    <row r="4803">
      <c r="A4803" s="26" t="n">
        <v>45411</v>
      </c>
      <c r="B4803" s="14" t="inlineStr">
        <is>
          <t>NB-0047</t>
        </is>
      </c>
      <c r="C4803" s="14" t="n">
        <v>8</v>
      </c>
      <c r="D4803" s="14">
        <f>IF(A4803&gt;LastWeek-364,1,0)</f>
        <v/>
      </c>
      <c r="E4803" s="14">
        <f>C4803^2*D4803</f>
        <v/>
      </c>
    </row>
    <row r="4804">
      <c r="A4804" s="26" t="n">
        <v>45418</v>
      </c>
      <c r="B4804" s="14" t="inlineStr">
        <is>
          <t>NB-0047</t>
        </is>
      </c>
      <c r="C4804" s="14" t="n">
        <v>3</v>
      </c>
      <c r="D4804" s="14">
        <f>IF(A4804&gt;LastWeek-364,1,0)</f>
        <v/>
      </c>
      <c r="E4804" s="14">
        <f>C4804^2*D4804</f>
        <v/>
      </c>
    </row>
    <row r="4805">
      <c r="A4805" s="26" t="n">
        <v>45425</v>
      </c>
      <c r="B4805" s="14" t="inlineStr">
        <is>
          <t>NB-0047</t>
        </is>
      </c>
      <c r="C4805" s="14" t="n">
        <v>9</v>
      </c>
      <c r="D4805" s="14">
        <f>IF(A4805&gt;LastWeek-364,1,0)</f>
        <v/>
      </c>
      <c r="E4805" s="14">
        <f>C4805^2*D4805</f>
        <v/>
      </c>
    </row>
    <row r="4806">
      <c r="A4806" s="26" t="n">
        <v>45432</v>
      </c>
      <c r="B4806" s="14" t="inlineStr">
        <is>
          <t>NB-0047</t>
        </is>
      </c>
      <c r="C4806" s="14" t="n">
        <v>6</v>
      </c>
      <c r="D4806" s="14">
        <f>IF(A4806&gt;LastWeek-364,1,0)</f>
        <v/>
      </c>
      <c r="E4806" s="14">
        <f>C4806^2*D4806</f>
        <v/>
      </c>
    </row>
    <row r="4807">
      <c r="A4807" s="26" t="n">
        <v>45439</v>
      </c>
      <c r="B4807" s="14" t="inlineStr">
        <is>
          <t>NB-0047</t>
        </is>
      </c>
      <c r="C4807" s="14" t="n">
        <v>10</v>
      </c>
      <c r="D4807" s="14">
        <f>IF(A4807&gt;LastWeek-364,1,0)</f>
        <v/>
      </c>
      <c r="E4807" s="14">
        <f>C4807^2*D4807</f>
        <v/>
      </c>
    </row>
    <row r="4808">
      <c r="A4808" s="26" t="n">
        <v>45446</v>
      </c>
      <c r="B4808" s="14" t="inlineStr">
        <is>
          <t>NB-0047</t>
        </is>
      </c>
      <c r="C4808" s="14" t="n">
        <v>6</v>
      </c>
      <c r="D4808" s="14">
        <f>IF(A4808&gt;LastWeek-364,1,0)</f>
        <v/>
      </c>
      <c r="E4808" s="14">
        <f>C4808^2*D4808</f>
        <v/>
      </c>
    </row>
    <row r="4809">
      <c r="A4809" s="26" t="n">
        <v>45453</v>
      </c>
      <c r="B4809" s="14" t="inlineStr">
        <is>
          <t>NB-0047</t>
        </is>
      </c>
      <c r="C4809" s="14" t="n">
        <v>7</v>
      </c>
      <c r="D4809" s="14">
        <f>IF(A4809&gt;LastWeek-364,1,0)</f>
        <v/>
      </c>
      <c r="E4809" s="14">
        <f>C4809^2*D4809</f>
        <v/>
      </c>
    </row>
    <row r="4810">
      <c r="A4810" s="26" t="n">
        <v>45460</v>
      </c>
      <c r="B4810" s="14" t="inlineStr">
        <is>
          <t>NB-0047</t>
        </is>
      </c>
      <c r="C4810" s="14" t="n">
        <v>12</v>
      </c>
      <c r="D4810" s="14">
        <f>IF(A4810&gt;LastWeek-364,1,0)</f>
        <v/>
      </c>
      <c r="E4810" s="14">
        <f>C4810^2*D4810</f>
        <v/>
      </c>
    </row>
    <row r="4811">
      <c r="A4811" s="26" t="n">
        <v>45467</v>
      </c>
      <c r="B4811" s="14" t="inlineStr">
        <is>
          <t>NB-0047</t>
        </is>
      </c>
      <c r="C4811" s="14" t="n">
        <v>7</v>
      </c>
      <c r="D4811" s="14">
        <f>IF(A4811&gt;LastWeek-364,1,0)</f>
        <v/>
      </c>
      <c r="E4811" s="14">
        <f>C4811^2*D4811</f>
        <v/>
      </c>
    </row>
    <row r="4812">
      <c r="A4812" s="26" t="n">
        <v>45474</v>
      </c>
      <c r="B4812" s="14" t="inlineStr">
        <is>
          <t>NB-0047</t>
        </is>
      </c>
      <c r="C4812" s="14" t="n">
        <v>10</v>
      </c>
      <c r="D4812" s="14">
        <f>IF(A4812&gt;LastWeek-364,1,0)</f>
        <v/>
      </c>
      <c r="E4812" s="14">
        <f>C4812^2*D4812</f>
        <v/>
      </c>
    </row>
    <row r="4813">
      <c r="A4813" s="26" t="n">
        <v>45481</v>
      </c>
      <c r="B4813" s="14" t="inlineStr">
        <is>
          <t>NB-0047</t>
        </is>
      </c>
      <c r="C4813" s="14" t="n">
        <v>8</v>
      </c>
      <c r="D4813" s="14">
        <f>IF(A4813&gt;LastWeek-364,1,0)</f>
        <v/>
      </c>
      <c r="E4813" s="14">
        <f>C4813^2*D4813</f>
        <v/>
      </c>
    </row>
    <row r="4814">
      <c r="A4814" s="26" t="n">
        <v>45488</v>
      </c>
      <c r="B4814" s="14" t="inlineStr">
        <is>
          <t>NB-0047</t>
        </is>
      </c>
      <c r="C4814" s="14" t="n">
        <v>8</v>
      </c>
      <c r="D4814" s="14">
        <f>IF(A4814&gt;LastWeek-364,1,0)</f>
        <v/>
      </c>
      <c r="E4814" s="14">
        <f>C4814^2*D4814</f>
        <v/>
      </c>
    </row>
    <row r="4815">
      <c r="A4815" s="26" t="n">
        <v>45495</v>
      </c>
      <c r="B4815" s="14" t="inlineStr">
        <is>
          <t>NB-0047</t>
        </is>
      </c>
      <c r="C4815" s="14" t="n">
        <v>8</v>
      </c>
      <c r="D4815" s="14">
        <f>IF(A4815&gt;LastWeek-364,1,0)</f>
        <v/>
      </c>
      <c r="E4815" s="14">
        <f>C4815^2*D4815</f>
        <v/>
      </c>
    </row>
    <row r="4816">
      <c r="A4816" s="26" t="n">
        <v>45502</v>
      </c>
      <c r="B4816" s="14" t="inlineStr">
        <is>
          <t>NB-0047</t>
        </is>
      </c>
      <c r="C4816" s="14" t="n">
        <v>10</v>
      </c>
      <c r="D4816" s="14">
        <f>IF(A4816&gt;LastWeek-364,1,0)</f>
        <v/>
      </c>
      <c r="E4816" s="14">
        <f>C4816^2*D4816</f>
        <v/>
      </c>
    </row>
    <row r="4817">
      <c r="A4817" s="26" t="n">
        <v>45509</v>
      </c>
      <c r="B4817" s="14" t="inlineStr">
        <is>
          <t>NB-0047</t>
        </is>
      </c>
      <c r="C4817" s="14" t="n">
        <v>6</v>
      </c>
      <c r="D4817" s="14">
        <f>IF(A4817&gt;LastWeek-364,1,0)</f>
        <v/>
      </c>
      <c r="E4817" s="14">
        <f>C4817^2*D4817</f>
        <v/>
      </c>
    </row>
    <row r="4818">
      <c r="A4818" s="26" t="n">
        <v>45516</v>
      </c>
      <c r="B4818" s="14" t="inlineStr">
        <is>
          <t>NB-0047</t>
        </is>
      </c>
      <c r="C4818" s="14" t="n">
        <v>5</v>
      </c>
      <c r="D4818" s="14">
        <f>IF(A4818&gt;LastWeek-364,1,0)</f>
        <v/>
      </c>
      <c r="E4818" s="14">
        <f>C4818^2*D4818</f>
        <v/>
      </c>
    </row>
    <row r="4819">
      <c r="A4819" s="26" t="n">
        <v>45523</v>
      </c>
      <c r="B4819" s="14" t="inlineStr">
        <is>
          <t>NB-0047</t>
        </is>
      </c>
      <c r="C4819" s="14" t="n">
        <v>6</v>
      </c>
      <c r="D4819" s="14">
        <f>IF(A4819&gt;LastWeek-364,1,0)</f>
        <v/>
      </c>
      <c r="E4819" s="14">
        <f>C4819^2*D4819</f>
        <v/>
      </c>
    </row>
    <row r="4820">
      <c r="A4820" s="26" t="n">
        <v>45530</v>
      </c>
      <c r="B4820" s="14" t="inlineStr">
        <is>
          <t>NB-0047</t>
        </is>
      </c>
      <c r="C4820" s="14" t="n">
        <v>8</v>
      </c>
      <c r="D4820" s="14">
        <f>IF(A4820&gt;LastWeek-364,1,0)</f>
        <v/>
      </c>
      <c r="E4820" s="14">
        <f>C4820^2*D4820</f>
        <v/>
      </c>
    </row>
    <row r="4821">
      <c r="A4821" s="26" t="n">
        <v>45537</v>
      </c>
      <c r="B4821" s="14" t="inlineStr">
        <is>
          <t>NB-0047</t>
        </is>
      </c>
      <c r="C4821" s="14" t="n">
        <v>7</v>
      </c>
      <c r="D4821" s="14">
        <f>IF(A4821&gt;LastWeek-364,1,0)</f>
        <v/>
      </c>
      <c r="E4821" s="14">
        <f>C4821^2*D4821</f>
        <v/>
      </c>
    </row>
    <row r="4822">
      <c r="A4822" s="26" t="n">
        <v>45544</v>
      </c>
      <c r="B4822" s="14" t="inlineStr">
        <is>
          <t>NB-0047</t>
        </is>
      </c>
      <c r="C4822" s="14" t="n">
        <v>9</v>
      </c>
      <c r="D4822" s="14">
        <f>IF(A4822&gt;LastWeek-364,1,0)</f>
        <v/>
      </c>
      <c r="E4822" s="14">
        <f>C4822^2*D4822</f>
        <v/>
      </c>
    </row>
    <row r="4823">
      <c r="A4823" s="26" t="n">
        <v>45551</v>
      </c>
      <c r="B4823" s="14" t="inlineStr">
        <is>
          <t>NB-0047</t>
        </is>
      </c>
      <c r="C4823" s="14" t="n">
        <v>11</v>
      </c>
      <c r="D4823" s="14">
        <f>IF(A4823&gt;LastWeek-364,1,0)</f>
        <v/>
      </c>
      <c r="E4823" s="14">
        <f>C4823^2*D4823</f>
        <v/>
      </c>
    </row>
    <row r="4824">
      <c r="A4824" s="26" t="n">
        <v>45558</v>
      </c>
      <c r="B4824" s="14" t="inlineStr">
        <is>
          <t>NB-0047</t>
        </is>
      </c>
      <c r="C4824" s="14" t="n">
        <v>6</v>
      </c>
      <c r="D4824" s="14">
        <f>IF(A4824&gt;LastWeek-364,1,0)</f>
        <v/>
      </c>
      <c r="E4824" s="14">
        <f>C4824^2*D4824</f>
        <v/>
      </c>
    </row>
    <row r="4825">
      <c r="A4825" s="26" t="n">
        <v>45565</v>
      </c>
      <c r="B4825" s="14" t="inlineStr">
        <is>
          <t>NB-0047</t>
        </is>
      </c>
      <c r="C4825" s="14" t="n">
        <v>6</v>
      </c>
      <c r="D4825" s="14">
        <f>IF(A4825&gt;LastWeek-364,1,0)</f>
        <v/>
      </c>
      <c r="E4825" s="14">
        <f>C4825^2*D4825</f>
        <v/>
      </c>
    </row>
    <row r="4826">
      <c r="A4826" s="26" t="n">
        <v>45572</v>
      </c>
      <c r="B4826" s="14" t="inlineStr">
        <is>
          <t>NB-0047</t>
        </is>
      </c>
      <c r="C4826" s="14" t="n">
        <v>5</v>
      </c>
      <c r="D4826" s="14">
        <f>IF(A4826&gt;LastWeek-364,1,0)</f>
        <v/>
      </c>
      <c r="E4826" s="14">
        <f>C4826^2*D4826</f>
        <v/>
      </c>
    </row>
    <row r="4827">
      <c r="A4827" s="26" t="n">
        <v>45579</v>
      </c>
      <c r="B4827" s="14" t="inlineStr">
        <is>
          <t>NB-0047</t>
        </is>
      </c>
      <c r="C4827" s="14" t="n">
        <v>13</v>
      </c>
      <c r="D4827" s="14">
        <f>IF(A4827&gt;LastWeek-364,1,0)</f>
        <v/>
      </c>
      <c r="E4827" s="14">
        <f>C4827^2*D4827</f>
        <v/>
      </c>
    </row>
    <row r="4828">
      <c r="A4828" s="26" t="n">
        <v>45586</v>
      </c>
      <c r="B4828" s="14" t="inlineStr">
        <is>
          <t>NB-0047</t>
        </is>
      </c>
      <c r="C4828" s="14" t="n">
        <v>9</v>
      </c>
      <c r="D4828" s="14">
        <f>IF(A4828&gt;LastWeek-364,1,0)</f>
        <v/>
      </c>
      <c r="E4828" s="14">
        <f>C4828^2*D4828</f>
        <v/>
      </c>
    </row>
    <row r="4829">
      <c r="A4829" s="26" t="n">
        <v>45593</v>
      </c>
      <c r="B4829" s="14" t="inlineStr">
        <is>
          <t>NB-0047</t>
        </is>
      </c>
      <c r="C4829" s="14" t="n">
        <v>9</v>
      </c>
      <c r="D4829" s="14">
        <f>IF(A4829&gt;LastWeek-364,1,0)</f>
        <v/>
      </c>
      <c r="E4829" s="14">
        <f>C4829^2*D4829</f>
        <v/>
      </c>
    </row>
    <row r="4830">
      <c r="A4830" s="26" t="n">
        <v>45600</v>
      </c>
      <c r="B4830" s="14" t="inlineStr">
        <is>
          <t>NB-0047</t>
        </is>
      </c>
      <c r="C4830" s="14" t="n">
        <v>5</v>
      </c>
      <c r="D4830" s="14">
        <f>IF(A4830&gt;LastWeek-364,1,0)</f>
        <v/>
      </c>
      <c r="E4830" s="14">
        <f>C4830^2*D4830</f>
        <v/>
      </c>
    </row>
    <row r="4831">
      <c r="A4831" s="26" t="n">
        <v>45607</v>
      </c>
      <c r="B4831" s="14" t="inlineStr">
        <is>
          <t>NB-0047</t>
        </is>
      </c>
      <c r="C4831" s="14" t="n">
        <v>8</v>
      </c>
      <c r="D4831" s="14">
        <f>IF(A4831&gt;LastWeek-364,1,0)</f>
        <v/>
      </c>
      <c r="E4831" s="14">
        <f>C4831^2*D4831</f>
        <v/>
      </c>
    </row>
    <row r="4832">
      <c r="A4832" s="26" t="n">
        <v>45614</v>
      </c>
      <c r="B4832" s="14" t="inlineStr">
        <is>
          <t>NB-0047</t>
        </is>
      </c>
      <c r="C4832" s="14" t="n">
        <v>9</v>
      </c>
      <c r="D4832" s="14">
        <f>IF(A4832&gt;LastWeek-364,1,0)</f>
        <v/>
      </c>
      <c r="E4832" s="14">
        <f>C4832^2*D4832</f>
        <v/>
      </c>
    </row>
    <row r="4833">
      <c r="A4833" s="26" t="n">
        <v>45621</v>
      </c>
      <c r="B4833" s="14" t="inlineStr">
        <is>
          <t>NB-0047</t>
        </is>
      </c>
      <c r="C4833" s="14" t="n">
        <v>8</v>
      </c>
      <c r="D4833" s="14">
        <f>IF(A4833&gt;LastWeek-364,1,0)</f>
        <v/>
      </c>
      <c r="E4833" s="14">
        <f>C4833^2*D4833</f>
        <v/>
      </c>
    </row>
    <row r="4834">
      <c r="A4834" s="26" t="n">
        <v>45628</v>
      </c>
      <c r="B4834" s="14" t="inlineStr">
        <is>
          <t>NB-0047</t>
        </is>
      </c>
      <c r="C4834" s="14" t="n">
        <v>11</v>
      </c>
      <c r="D4834" s="14">
        <f>IF(A4834&gt;LastWeek-364,1,0)</f>
        <v/>
      </c>
      <c r="E4834" s="14">
        <f>C4834^2*D4834</f>
        <v/>
      </c>
    </row>
    <row r="4835">
      <c r="A4835" s="26" t="n">
        <v>45635</v>
      </c>
      <c r="B4835" s="14" t="inlineStr">
        <is>
          <t>NB-0047</t>
        </is>
      </c>
      <c r="C4835" s="14" t="n">
        <v>14</v>
      </c>
      <c r="D4835" s="14">
        <f>IF(A4835&gt;LastWeek-364,1,0)</f>
        <v/>
      </c>
      <c r="E4835" s="14">
        <f>C4835^2*D4835</f>
        <v/>
      </c>
    </row>
    <row r="4836">
      <c r="A4836" s="26" t="n">
        <v>45642</v>
      </c>
      <c r="B4836" s="14" t="inlineStr">
        <is>
          <t>NB-0047</t>
        </is>
      </c>
      <c r="C4836" s="14" t="n">
        <v>6</v>
      </c>
      <c r="D4836" s="14">
        <f>IF(A4836&gt;LastWeek-364,1,0)</f>
        <v/>
      </c>
      <c r="E4836" s="14">
        <f>C4836^2*D4836</f>
        <v/>
      </c>
    </row>
    <row r="4837">
      <c r="A4837" s="26" t="n">
        <v>45649</v>
      </c>
      <c r="B4837" s="14" t="inlineStr">
        <is>
          <t>NB-0047</t>
        </is>
      </c>
      <c r="C4837" s="14" t="n">
        <v>6</v>
      </c>
      <c r="D4837" s="14">
        <f>IF(A4837&gt;LastWeek-364,1,0)</f>
        <v/>
      </c>
      <c r="E4837" s="14">
        <f>C4837^2*D4837</f>
        <v/>
      </c>
    </row>
    <row r="4838">
      <c r="A4838" s="26" t="n">
        <v>45656</v>
      </c>
      <c r="B4838" s="14" t="inlineStr">
        <is>
          <t>NB-0047</t>
        </is>
      </c>
      <c r="C4838" s="14" t="n">
        <v>6</v>
      </c>
      <c r="D4838" s="14">
        <f>IF(A4838&gt;LastWeek-364,1,0)</f>
        <v/>
      </c>
      <c r="E4838" s="14">
        <f>C4838^2*D4838</f>
        <v/>
      </c>
    </row>
    <row r="4839">
      <c r="A4839" s="26" t="n">
        <v>45663</v>
      </c>
      <c r="B4839" s="14" t="inlineStr">
        <is>
          <t>NB-0047</t>
        </is>
      </c>
      <c r="C4839" s="14" t="n">
        <v>13</v>
      </c>
      <c r="D4839" s="14">
        <f>IF(A4839&gt;LastWeek-364,1,0)</f>
        <v/>
      </c>
      <c r="E4839" s="14">
        <f>C4839^2*D4839</f>
        <v/>
      </c>
    </row>
    <row r="4840">
      <c r="A4840" s="26" t="n">
        <v>45670</v>
      </c>
      <c r="B4840" s="14" t="inlineStr">
        <is>
          <t>NB-0047</t>
        </is>
      </c>
      <c r="C4840" s="14" t="n">
        <v>11</v>
      </c>
      <c r="D4840" s="14">
        <f>IF(A4840&gt;LastWeek-364,1,0)</f>
        <v/>
      </c>
      <c r="E4840" s="14">
        <f>C4840^2*D4840</f>
        <v/>
      </c>
    </row>
    <row r="4841">
      <c r="A4841" s="26" t="n">
        <v>45677</v>
      </c>
      <c r="B4841" s="14" t="inlineStr">
        <is>
          <t>NB-0047</t>
        </is>
      </c>
      <c r="C4841" s="14" t="n">
        <v>8</v>
      </c>
      <c r="D4841" s="14">
        <f>IF(A4841&gt;LastWeek-364,1,0)</f>
        <v/>
      </c>
      <c r="E4841" s="14">
        <f>C4841^2*D4841</f>
        <v/>
      </c>
    </row>
    <row r="4842">
      <c r="A4842" s="26" t="n">
        <v>45684</v>
      </c>
      <c r="B4842" s="14" t="inlineStr">
        <is>
          <t>NB-0047</t>
        </is>
      </c>
      <c r="C4842" s="14" t="n">
        <v>9</v>
      </c>
      <c r="D4842" s="14">
        <f>IF(A4842&gt;LastWeek-364,1,0)</f>
        <v/>
      </c>
      <c r="E4842" s="14">
        <f>C4842^2*D4842</f>
        <v/>
      </c>
    </row>
    <row r="4843">
      <c r="A4843" s="26" t="n">
        <v>45691</v>
      </c>
      <c r="B4843" s="14" t="inlineStr">
        <is>
          <t>NB-0047</t>
        </is>
      </c>
      <c r="C4843" s="14" t="n">
        <v>7</v>
      </c>
      <c r="D4843" s="14">
        <f>IF(A4843&gt;LastWeek-364,1,0)</f>
        <v/>
      </c>
      <c r="E4843" s="14">
        <f>C4843^2*D4843</f>
        <v/>
      </c>
    </row>
    <row r="4844">
      <c r="A4844" s="26" t="n">
        <v>45698</v>
      </c>
      <c r="B4844" s="14" t="inlineStr">
        <is>
          <t>NB-0047</t>
        </is>
      </c>
      <c r="C4844" s="14" t="n">
        <v>11</v>
      </c>
      <c r="D4844" s="14">
        <f>IF(A4844&gt;LastWeek-364,1,0)</f>
        <v/>
      </c>
      <c r="E4844" s="14">
        <f>C4844^2*D4844</f>
        <v/>
      </c>
    </row>
    <row r="4845">
      <c r="A4845" s="26" t="n">
        <v>45705</v>
      </c>
      <c r="B4845" s="14" t="inlineStr">
        <is>
          <t>NB-0047</t>
        </is>
      </c>
      <c r="C4845" s="14" t="n">
        <v>8</v>
      </c>
      <c r="D4845" s="14">
        <f>IF(A4845&gt;LastWeek-364,1,0)</f>
        <v/>
      </c>
      <c r="E4845" s="14">
        <f>C4845^2*D4845</f>
        <v/>
      </c>
    </row>
    <row r="4846">
      <c r="A4846" s="26" t="n">
        <v>45712</v>
      </c>
      <c r="B4846" s="14" t="inlineStr">
        <is>
          <t>NB-0047</t>
        </is>
      </c>
      <c r="C4846" s="14" t="n">
        <v>8</v>
      </c>
      <c r="D4846" s="14">
        <f>IF(A4846&gt;LastWeek-364,1,0)</f>
        <v/>
      </c>
      <c r="E4846" s="14">
        <f>C4846^2*D4846</f>
        <v/>
      </c>
    </row>
    <row r="4847">
      <c r="A4847" s="26" t="n">
        <v>45719</v>
      </c>
      <c r="B4847" s="14" t="inlineStr">
        <is>
          <t>NB-0047</t>
        </is>
      </c>
      <c r="C4847" s="14" t="n">
        <v>10</v>
      </c>
      <c r="D4847" s="14">
        <f>IF(A4847&gt;LastWeek-364,1,0)</f>
        <v/>
      </c>
      <c r="E4847" s="14">
        <f>C4847^2*D4847</f>
        <v/>
      </c>
    </row>
    <row r="4848">
      <c r="A4848" s="26" t="n">
        <v>45726</v>
      </c>
      <c r="B4848" s="14" t="inlineStr">
        <is>
          <t>NB-0047</t>
        </is>
      </c>
      <c r="C4848" s="14" t="n">
        <v>8</v>
      </c>
      <c r="D4848" s="14">
        <f>IF(A4848&gt;LastWeek-364,1,0)</f>
        <v/>
      </c>
      <c r="E4848" s="14">
        <f>C4848^2*D4848</f>
        <v/>
      </c>
    </row>
    <row r="4849">
      <c r="A4849" s="26" t="n">
        <v>45733</v>
      </c>
      <c r="B4849" s="14" t="inlineStr">
        <is>
          <t>NB-0047</t>
        </is>
      </c>
      <c r="C4849" s="14" t="n">
        <v>8</v>
      </c>
      <c r="D4849" s="14">
        <f>IF(A4849&gt;LastWeek-364,1,0)</f>
        <v/>
      </c>
      <c r="E4849" s="14">
        <f>C4849^2*D4849</f>
        <v/>
      </c>
    </row>
    <row r="4850">
      <c r="A4850" s="26" t="n">
        <v>45740</v>
      </c>
      <c r="B4850" s="14" t="inlineStr">
        <is>
          <t>NB-0047</t>
        </is>
      </c>
      <c r="C4850" s="14" t="n">
        <v>9</v>
      </c>
      <c r="D4850" s="14">
        <f>IF(A4850&gt;LastWeek-364,1,0)</f>
        <v/>
      </c>
      <c r="E4850" s="14">
        <f>C4850^2*D4850</f>
        <v/>
      </c>
    </row>
    <row r="4851">
      <c r="A4851" s="26" t="n">
        <v>45747</v>
      </c>
      <c r="B4851" s="14" t="inlineStr">
        <is>
          <t>NB-0047</t>
        </is>
      </c>
      <c r="C4851" s="14" t="n">
        <v>11</v>
      </c>
      <c r="D4851" s="14">
        <f>IF(A4851&gt;LastWeek-364,1,0)</f>
        <v/>
      </c>
      <c r="E4851" s="14">
        <f>C4851^2*D4851</f>
        <v/>
      </c>
    </row>
    <row r="4852">
      <c r="A4852" s="26" t="n">
        <v>45754</v>
      </c>
      <c r="B4852" s="14" t="inlineStr">
        <is>
          <t>NB-0047</t>
        </is>
      </c>
      <c r="C4852" s="14" t="n">
        <v>14</v>
      </c>
      <c r="D4852" s="14">
        <f>IF(A4852&gt;LastWeek-364,1,0)</f>
        <v/>
      </c>
      <c r="E4852" s="14">
        <f>C4852^2*D4852</f>
        <v/>
      </c>
    </row>
    <row r="4853">
      <c r="A4853" s="26" t="n">
        <v>45761</v>
      </c>
      <c r="B4853" s="14" t="inlineStr">
        <is>
          <t>NB-0047</t>
        </is>
      </c>
      <c r="C4853" s="14" t="n">
        <v>11</v>
      </c>
      <c r="D4853" s="14">
        <f>IF(A4853&gt;LastWeek-364,1,0)</f>
        <v/>
      </c>
      <c r="E4853" s="14">
        <f>C4853^2*D4853</f>
        <v/>
      </c>
    </row>
    <row r="4854">
      <c r="A4854" s="26" t="n">
        <v>45768</v>
      </c>
      <c r="B4854" s="14" t="inlineStr">
        <is>
          <t>NB-0047</t>
        </is>
      </c>
      <c r="C4854" s="14" t="n">
        <v>11</v>
      </c>
      <c r="D4854" s="14">
        <f>IF(A4854&gt;LastWeek-364,1,0)</f>
        <v/>
      </c>
      <c r="E4854" s="14">
        <f>C4854^2*D4854</f>
        <v/>
      </c>
    </row>
    <row r="4855">
      <c r="A4855" s="26" t="n">
        <v>45775</v>
      </c>
      <c r="B4855" s="14" t="inlineStr">
        <is>
          <t>NB-0047</t>
        </is>
      </c>
      <c r="C4855" s="14" t="n">
        <v>9</v>
      </c>
      <c r="D4855" s="14">
        <f>IF(A4855&gt;LastWeek-364,1,0)</f>
        <v/>
      </c>
      <c r="E4855" s="14">
        <f>C4855^2*D4855</f>
        <v/>
      </c>
    </row>
    <row r="4856">
      <c r="A4856" s="26" t="n">
        <v>45782</v>
      </c>
      <c r="B4856" s="14" t="inlineStr">
        <is>
          <t>NB-0047</t>
        </is>
      </c>
      <c r="C4856" s="14" t="n">
        <v>7</v>
      </c>
      <c r="D4856" s="14">
        <f>IF(A4856&gt;LastWeek-364,1,0)</f>
        <v/>
      </c>
      <c r="E4856" s="14">
        <f>C4856^2*D4856</f>
        <v/>
      </c>
    </row>
    <row r="4857">
      <c r="A4857" s="26" t="n">
        <v>45789</v>
      </c>
      <c r="B4857" s="14" t="inlineStr">
        <is>
          <t>NB-0047</t>
        </is>
      </c>
      <c r="C4857" s="14" t="n">
        <v>11</v>
      </c>
      <c r="D4857" s="14">
        <f>IF(A4857&gt;LastWeek-364,1,0)</f>
        <v/>
      </c>
      <c r="E4857" s="14">
        <f>C4857^2*D4857</f>
        <v/>
      </c>
    </row>
    <row r="4858">
      <c r="A4858" s="26" t="n">
        <v>45796</v>
      </c>
      <c r="B4858" s="14" t="inlineStr">
        <is>
          <t>NB-0047</t>
        </is>
      </c>
      <c r="C4858" s="14" t="n">
        <v>10</v>
      </c>
      <c r="D4858" s="14">
        <f>IF(A4858&gt;LastWeek-364,1,0)</f>
        <v/>
      </c>
      <c r="E4858" s="14">
        <f>C4858^2*D4858</f>
        <v/>
      </c>
    </row>
    <row r="4859">
      <c r="A4859" s="26" t="n">
        <v>45803</v>
      </c>
      <c r="B4859" s="14" t="inlineStr">
        <is>
          <t>NB-0047</t>
        </is>
      </c>
      <c r="C4859" s="14" t="n">
        <v>5</v>
      </c>
      <c r="D4859" s="14">
        <f>IF(A4859&gt;LastWeek-364,1,0)</f>
        <v/>
      </c>
      <c r="E4859" s="14">
        <f>C4859^2*D4859</f>
        <v/>
      </c>
    </row>
    <row r="4860">
      <c r="A4860" s="26" t="n">
        <v>45810</v>
      </c>
      <c r="B4860" s="14" t="inlineStr">
        <is>
          <t>NB-0047</t>
        </is>
      </c>
      <c r="C4860" s="14" t="n">
        <v>8</v>
      </c>
      <c r="D4860" s="14">
        <f>IF(A4860&gt;LastWeek-364,1,0)</f>
        <v/>
      </c>
      <c r="E4860" s="14">
        <f>C4860^2*D4860</f>
        <v/>
      </c>
    </row>
    <row r="4861">
      <c r="A4861" s="26" t="n">
        <v>45817</v>
      </c>
      <c r="B4861" s="14" t="inlineStr">
        <is>
          <t>NB-0047</t>
        </is>
      </c>
      <c r="C4861" s="14" t="n">
        <v>9</v>
      </c>
      <c r="D4861" s="14">
        <f>IF(A4861&gt;LastWeek-364,1,0)</f>
        <v/>
      </c>
      <c r="E4861" s="14">
        <f>C4861^2*D4861</f>
        <v/>
      </c>
    </row>
    <row r="4862">
      <c r="A4862" s="26" t="n">
        <v>45824</v>
      </c>
      <c r="B4862" s="14" t="inlineStr">
        <is>
          <t>NB-0047</t>
        </is>
      </c>
      <c r="C4862" s="14" t="n">
        <v>8</v>
      </c>
      <c r="D4862" s="14">
        <f>IF(A4862&gt;LastWeek-364,1,0)</f>
        <v/>
      </c>
      <c r="E4862" s="14">
        <f>C4862^2*D4862</f>
        <v/>
      </c>
    </row>
    <row r="4863">
      <c r="A4863" s="26" t="n">
        <v>45831</v>
      </c>
      <c r="B4863" s="14" t="inlineStr">
        <is>
          <t>NB-0047</t>
        </is>
      </c>
      <c r="C4863" s="14" t="n">
        <v>14</v>
      </c>
      <c r="D4863" s="14">
        <f>IF(A4863&gt;LastWeek-364,1,0)</f>
        <v/>
      </c>
      <c r="E4863" s="14">
        <f>C4863^2*D4863</f>
        <v/>
      </c>
    </row>
    <row r="4864">
      <c r="A4864" s="26" t="n">
        <v>45838</v>
      </c>
      <c r="B4864" s="14" t="inlineStr">
        <is>
          <t>NB-0047</t>
        </is>
      </c>
      <c r="C4864" s="14" t="n">
        <v>11</v>
      </c>
      <c r="D4864" s="14">
        <f>IF(A4864&gt;LastWeek-364,1,0)</f>
        <v/>
      </c>
      <c r="E4864" s="14">
        <f>C4864^2*D4864</f>
        <v/>
      </c>
    </row>
    <row r="4865">
      <c r="A4865" s="26" t="n">
        <v>45845</v>
      </c>
      <c r="B4865" s="14" t="inlineStr">
        <is>
          <t>NB-0047</t>
        </is>
      </c>
      <c r="C4865" s="14" t="n">
        <v>14</v>
      </c>
      <c r="D4865" s="14">
        <f>IF(A4865&gt;LastWeek-364,1,0)</f>
        <v/>
      </c>
      <c r="E4865" s="14">
        <f>C4865^2*D4865</f>
        <v/>
      </c>
    </row>
    <row r="4866">
      <c r="A4866" s="26" t="n">
        <v>45852</v>
      </c>
      <c r="B4866" s="14" t="inlineStr">
        <is>
          <t>NB-0047</t>
        </is>
      </c>
      <c r="C4866" s="14" t="n">
        <v>10</v>
      </c>
      <c r="D4866" s="14">
        <f>IF(A4866&gt;LastWeek-364,1,0)</f>
        <v/>
      </c>
      <c r="E4866" s="14">
        <f>C4866^2*D4866</f>
        <v/>
      </c>
    </row>
    <row r="4867">
      <c r="A4867" s="26" t="n">
        <v>45859</v>
      </c>
      <c r="B4867" s="14" t="inlineStr">
        <is>
          <t>NB-0047</t>
        </is>
      </c>
      <c r="C4867" s="14" t="n">
        <v>10</v>
      </c>
      <c r="D4867" s="14">
        <f>IF(A4867&gt;LastWeek-364,1,0)</f>
        <v/>
      </c>
      <c r="E4867" s="14">
        <f>C4867^2*D4867</f>
        <v/>
      </c>
    </row>
    <row r="4868">
      <c r="A4868" s="26" t="n">
        <v>45866</v>
      </c>
      <c r="B4868" s="14" t="inlineStr">
        <is>
          <t>NB-0047</t>
        </is>
      </c>
      <c r="C4868" s="14" t="n">
        <v>7</v>
      </c>
      <c r="D4868" s="14">
        <f>IF(A4868&gt;LastWeek-364,1,0)</f>
        <v/>
      </c>
      <c r="E4868" s="14">
        <f>C4868^2*D4868</f>
        <v/>
      </c>
    </row>
    <row r="4869">
      <c r="A4869" s="26" t="n">
        <v>45873</v>
      </c>
      <c r="B4869" s="14" t="inlineStr">
        <is>
          <t>NB-0047</t>
        </is>
      </c>
      <c r="C4869" s="14" t="n">
        <v>10</v>
      </c>
      <c r="D4869" s="14">
        <f>IF(A4869&gt;LastWeek-364,1,0)</f>
        <v/>
      </c>
      <c r="E4869" s="14">
        <f>C4869^2*D4869</f>
        <v/>
      </c>
    </row>
    <row r="4870">
      <c r="A4870" s="26" t="n">
        <v>45880</v>
      </c>
      <c r="B4870" s="14" t="inlineStr">
        <is>
          <t>NB-0047</t>
        </is>
      </c>
      <c r="C4870" s="14" t="n">
        <v>10</v>
      </c>
      <c r="D4870" s="14">
        <f>IF(A4870&gt;LastWeek-364,1,0)</f>
        <v/>
      </c>
      <c r="E4870" s="14">
        <f>C4870^2*D4870</f>
        <v/>
      </c>
    </row>
    <row r="4871">
      <c r="A4871" s="26" t="n">
        <v>45887</v>
      </c>
      <c r="B4871" s="14" t="inlineStr">
        <is>
          <t>NB-0047</t>
        </is>
      </c>
      <c r="C4871" s="14" t="n">
        <v>6</v>
      </c>
      <c r="D4871" s="14">
        <f>IF(A4871&gt;LastWeek-364,1,0)</f>
        <v/>
      </c>
      <c r="E4871" s="14">
        <f>C4871^2*D4871</f>
        <v/>
      </c>
    </row>
    <row r="4872">
      <c r="A4872" s="26" t="n">
        <v>45894</v>
      </c>
      <c r="B4872" s="14" t="inlineStr">
        <is>
          <t>NB-0047</t>
        </is>
      </c>
      <c r="C4872" s="14" t="n">
        <v>8</v>
      </c>
      <c r="D4872" s="14">
        <f>IF(A4872&gt;LastWeek-364,1,0)</f>
        <v/>
      </c>
      <c r="E4872" s="14">
        <f>C4872^2*D4872</f>
        <v/>
      </c>
    </row>
    <row r="4873">
      <c r="A4873" s="26" t="n">
        <v>45901</v>
      </c>
      <c r="B4873" s="14" t="inlineStr">
        <is>
          <t>NB-0047</t>
        </is>
      </c>
      <c r="C4873" s="14" t="n">
        <v>9</v>
      </c>
      <c r="D4873" s="14">
        <f>IF(A4873&gt;LastWeek-364,1,0)</f>
        <v/>
      </c>
      <c r="E4873" s="14">
        <f>C4873^2*D4873</f>
        <v/>
      </c>
    </row>
    <row r="4874">
      <c r="A4874" s="26" t="n">
        <v>45908</v>
      </c>
      <c r="B4874" s="14" t="inlineStr">
        <is>
          <t>NB-0047</t>
        </is>
      </c>
      <c r="C4874" s="14" t="n">
        <v>11</v>
      </c>
      <c r="D4874" s="14">
        <f>IF(A4874&gt;LastWeek-364,1,0)</f>
        <v/>
      </c>
      <c r="E4874" s="14">
        <f>C4874^2*D4874</f>
        <v/>
      </c>
    </row>
    <row r="4875">
      <c r="A4875" s="26" t="n">
        <v>45915</v>
      </c>
      <c r="B4875" s="14" t="inlineStr">
        <is>
          <t>NB-0047</t>
        </is>
      </c>
      <c r="C4875" s="14" t="n">
        <v>12</v>
      </c>
      <c r="D4875" s="14">
        <f>IF(A4875&gt;LastWeek-364,1,0)</f>
        <v/>
      </c>
      <c r="E4875" s="14">
        <f>C4875^2*D4875</f>
        <v/>
      </c>
    </row>
    <row r="4876">
      <c r="A4876" s="26" t="n">
        <v>45922</v>
      </c>
      <c r="B4876" s="14" t="inlineStr">
        <is>
          <t>NB-0047</t>
        </is>
      </c>
      <c r="C4876" s="14" t="n">
        <v>8</v>
      </c>
      <c r="D4876" s="14">
        <f>IF(A4876&gt;LastWeek-364,1,0)</f>
        <v/>
      </c>
      <c r="E4876" s="14">
        <f>C4876^2*D4876</f>
        <v/>
      </c>
    </row>
    <row r="4877">
      <c r="A4877" s="26" t="n">
        <v>45929</v>
      </c>
      <c r="B4877" s="14" t="inlineStr">
        <is>
          <t>NB-0047</t>
        </is>
      </c>
      <c r="C4877" s="14" t="n">
        <v>12</v>
      </c>
      <c r="D4877" s="14">
        <f>IF(A4877&gt;LastWeek-364,1,0)</f>
        <v/>
      </c>
      <c r="E4877" s="14">
        <f>C4877^2*D4877</f>
        <v/>
      </c>
    </row>
    <row r="4878">
      <c r="A4878" s="26" t="n">
        <v>45936</v>
      </c>
      <c r="B4878" s="14" t="inlineStr">
        <is>
          <t>NB-0047</t>
        </is>
      </c>
      <c r="C4878" s="14" t="n">
        <v>10</v>
      </c>
      <c r="D4878" s="14">
        <f>IF(A4878&gt;LastWeek-364,1,0)</f>
        <v/>
      </c>
      <c r="E4878" s="14">
        <f>C4878^2*D4878</f>
        <v/>
      </c>
    </row>
    <row r="4879">
      <c r="A4879" s="26" t="n">
        <v>45943</v>
      </c>
      <c r="B4879" s="14" t="inlineStr">
        <is>
          <t>NB-0047</t>
        </is>
      </c>
      <c r="C4879" s="14" t="n">
        <v>1</v>
      </c>
      <c r="D4879" s="14">
        <f>IF(A4879&gt;LastWeek-364,1,0)</f>
        <v/>
      </c>
      <c r="E4879" s="14">
        <f>C4879^2*D4879</f>
        <v/>
      </c>
    </row>
    <row r="4880">
      <c r="A4880" s="26" t="n">
        <v>45950</v>
      </c>
      <c r="B4880" s="14" t="inlineStr">
        <is>
          <t>NB-0047</t>
        </is>
      </c>
      <c r="C4880" s="14" t="n">
        <v>9</v>
      </c>
      <c r="D4880" s="14">
        <f>IF(A4880&gt;LastWeek-364,1,0)</f>
        <v/>
      </c>
      <c r="E4880" s="14">
        <f>C4880^2*D4880</f>
        <v/>
      </c>
    </row>
    <row r="4881">
      <c r="A4881" s="26" t="n">
        <v>45957</v>
      </c>
      <c r="B4881" s="14" t="inlineStr">
        <is>
          <t>NB-0047</t>
        </is>
      </c>
      <c r="C4881" s="14" t="n">
        <v>14</v>
      </c>
      <c r="D4881" s="14">
        <f>IF(A4881&gt;LastWeek-364,1,0)</f>
        <v/>
      </c>
      <c r="E4881" s="14">
        <f>C4881^2*D4881</f>
        <v/>
      </c>
    </row>
    <row r="4882">
      <c r="A4882" s="26" t="n">
        <v>45964</v>
      </c>
      <c r="B4882" s="14" t="inlineStr">
        <is>
          <t>NB-0047</t>
        </is>
      </c>
      <c r="C4882" s="14" t="n">
        <v>5</v>
      </c>
      <c r="D4882" s="14">
        <f>IF(A4882&gt;LastWeek-364,1,0)</f>
        <v/>
      </c>
      <c r="E4882" s="14">
        <f>C4882^2*D4882</f>
        <v/>
      </c>
    </row>
    <row r="4883">
      <c r="A4883" s="26" t="n">
        <v>45971</v>
      </c>
      <c r="B4883" s="14" t="inlineStr">
        <is>
          <t>NB-0047</t>
        </is>
      </c>
      <c r="C4883" s="14" t="n">
        <v>11</v>
      </c>
      <c r="D4883" s="14">
        <f>IF(A4883&gt;LastWeek-364,1,0)</f>
        <v/>
      </c>
      <c r="E4883" s="14">
        <f>C4883^2*D4883</f>
        <v/>
      </c>
    </row>
    <row r="4884">
      <c r="A4884" s="26" t="n">
        <v>45978</v>
      </c>
      <c r="B4884" s="14" t="inlineStr">
        <is>
          <t>NB-0047</t>
        </is>
      </c>
      <c r="C4884" s="14" t="n">
        <v>16</v>
      </c>
      <c r="D4884" s="14">
        <f>IF(A4884&gt;LastWeek-364,1,0)</f>
        <v/>
      </c>
      <c r="E4884" s="14">
        <f>C4884^2*D4884</f>
        <v/>
      </c>
    </row>
    <row r="4885">
      <c r="A4885" s="26" t="n">
        <v>45985</v>
      </c>
      <c r="B4885" s="14" t="inlineStr">
        <is>
          <t>NB-0047</t>
        </is>
      </c>
      <c r="C4885" s="14" t="n">
        <v>8</v>
      </c>
      <c r="D4885" s="14">
        <f>IF(A4885&gt;LastWeek-364,1,0)</f>
        <v/>
      </c>
      <c r="E4885" s="14">
        <f>C4885^2*D4885</f>
        <v/>
      </c>
    </row>
    <row r="4886">
      <c r="A4886" s="26" t="n">
        <v>45992</v>
      </c>
      <c r="B4886" s="14" t="inlineStr">
        <is>
          <t>NB-0047</t>
        </is>
      </c>
      <c r="C4886" s="14" t="n">
        <v>11</v>
      </c>
      <c r="D4886" s="14">
        <f>IF(A4886&gt;LastWeek-364,1,0)</f>
        <v/>
      </c>
      <c r="E4886" s="14">
        <f>C4886^2*D4886</f>
        <v/>
      </c>
    </row>
    <row r="4887">
      <c r="A4887" s="26" t="n">
        <v>45999</v>
      </c>
      <c r="B4887" s="14" t="inlineStr">
        <is>
          <t>NB-0047</t>
        </is>
      </c>
      <c r="C4887" s="14" t="n">
        <v>7</v>
      </c>
      <c r="D4887" s="14">
        <f>IF(A4887&gt;LastWeek-364,1,0)</f>
        <v/>
      </c>
      <c r="E4887" s="14">
        <f>C4887^2*D4887</f>
        <v/>
      </c>
    </row>
    <row r="4888">
      <c r="A4888" s="26" t="n">
        <v>46006</v>
      </c>
      <c r="B4888" s="14" t="inlineStr">
        <is>
          <t>NB-0047</t>
        </is>
      </c>
      <c r="C4888" s="14" t="n">
        <v>16</v>
      </c>
      <c r="D4888" s="14">
        <f>IF(A4888&gt;LastWeek-364,1,0)</f>
        <v/>
      </c>
      <c r="E4888" s="14">
        <f>C4888^2*D4888</f>
        <v/>
      </c>
    </row>
    <row r="4889">
      <c r="A4889" s="26" t="n">
        <v>46013</v>
      </c>
      <c r="B4889" s="14" t="inlineStr">
        <is>
          <t>NB-0047</t>
        </is>
      </c>
      <c r="C4889" s="14" t="n">
        <v>11</v>
      </c>
      <c r="D4889" s="14">
        <f>IF(A4889&gt;LastWeek-364,1,0)</f>
        <v/>
      </c>
      <c r="E4889" s="14">
        <f>C4889^2*D4889</f>
        <v/>
      </c>
    </row>
    <row r="4890">
      <c r="A4890" s="26" t="n">
        <v>45292</v>
      </c>
      <c r="B4890" s="14" t="inlineStr">
        <is>
          <t>NB-0048</t>
        </is>
      </c>
      <c r="C4890" s="14" t="n">
        <v>22</v>
      </c>
      <c r="D4890" s="14">
        <f>IF(A4890&gt;LastWeek-364,1,0)</f>
        <v/>
      </c>
      <c r="E4890" s="14">
        <f>C4890^2*D4890</f>
        <v/>
      </c>
    </row>
    <row r="4891">
      <c r="A4891" s="26" t="n">
        <v>45299</v>
      </c>
      <c r="B4891" s="14" t="inlineStr">
        <is>
          <t>NB-0048</t>
        </is>
      </c>
      <c r="C4891" s="14" t="n">
        <v>34</v>
      </c>
      <c r="D4891" s="14">
        <f>IF(A4891&gt;LastWeek-364,1,0)</f>
        <v/>
      </c>
      <c r="E4891" s="14">
        <f>C4891^2*D4891</f>
        <v/>
      </c>
    </row>
    <row r="4892">
      <c r="A4892" s="26" t="n">
        <v>45306</v>
      </c>
      <c r="B4892" s="14" t="inlineStr">
        <is>
          <t>NB-0048</t>
        </is>
      </c>
      <c r="C4892" s="14" t="n">
        <v>28</v>
      </c>
      <c r="D4892" s="14">
        <f>IF(A4892&gt;LastWeek-364,1,0)</f>
        <v/>
      </c>
      <c r="E4892" s="14">
        <f>C4892^2*D4892</f>
        <v/>
      </c>
    </row>
    <row r="4893">
      <c r="A4893" s="26" t="n">
        <v>45313</v>
      </c>
      <c r="B4893" s="14" t="inlineStr">
        <is>
          <t>NB-0048</t>
        </is>
      </c>
      <c r="C4893" s="14" t="n">
        <v>14</v>
      </c>
      <c r="D4893" s="14">
        <f>IF(A4893&gt;LastWeek-364,1,0)</f>
        <v/>
      </c>
      <c r="E4893" s="14">
        <f>C4893^2*D4893</f>
        <v/>
      </c>
    </row>
    <row r="4894">
      <c r="A4894" s="26" t="n">
        <v>45320</v>
      </c>
      <c r="B4894" s="14" t="inlineStr">
        <is>
          <t>NB-0048</t>
        </is>
      </c>
      <c r="C4894" s="14" t="n">
        <v>16</v>
      </c>
      <c r="D4894" s="14">
        <f>IF(A4894&gt;LastWeek-364,1,0)</f>
        <v/>
      </c>
      <c r="E4894" s="14">
        <f>C4894^2*D4894</f>
        <v/>
      </c>
    </row>
    <row r="4895">
      <c r="A4895" s="26" t="n">
        <v>45327</v>
      </c>
      <c r="B4895" s="14" t="inlineStr">
        <is>
          <t>NB-0048</t>
        </is>
      </c>
      <c r="C4895" s="14" t="n">
        <v>26</v>
      </c>
      <c r="D4895" s="14">
        <f>IF(A4895&gt;LastWeek-364,1,0)</f>
        <v/>
      </c>
      <c r="E4895" s="14">
        <f>C4895^2*D4895</f>
        <v/>
      </c>
    </row>
    <row r="4896">
      <c r="A4896" s="26" t="n">
        <v>45334</v>
      </c>
      <c r="B4896" s="14" t="inlineStr">
        <is>
          <t>NB-0048</t>
        </is>
      </c>
      <c r="C4896" s="14" t="n">
        <v>16</v>
      </c>
      <c r="D4896" s="14">
        <f>IF(A4896&gt;LastWeek-364,1,0)</f>
        <v/>
      </c>
      <c r="E4896" s="14">
        <f>C4896^2*D4896</f>
        <v/>
      </c>
    </row>
    <row r="4897">
      <c r="A4897" s="26" t="n">
        <v>45341</v>
      </c>
      <c r="B4897" s="14" t="inlineStr">
        <is>
          <t>NB-0048</t>
        </is>
      </c>
      <c r="C4897" s="14" t="n">
        <v>2</v>
      </c>
      <c r="D4897" s="14">
        <f>IF(A4897&gt;LastWeek-364,1,0)</f>
        <v/>
      </c>
      <c r="E4897" s="14">
        <f>C4897^2*D4897</f>
        <v/>
      </c>
    </row>
    <row r="4898">
      <c r="A4898" s="26" t="n">
        <v>45348</v>
      </c>
      <c r="B4898" s="14" t="inlineStr">
        <is>
          <t>NB-0048</t>
        </is>
      </c>
      <c r="C4898" s="14" t="n">
        <v>21</v>
      </c>
      <c r="D4898" s="14">
        <f>IF(A4898&gt;LastWeek-364,1,0)</f>
        <v/>
      </c>
      <c r="E4898" s="14">
        <f>C4898^2*D4898</f>
        <v/>
      </c>
    </row>
    <row r="4899">
      <c r="A4899" s="26" t="n">
        <v>45355</v>
      </c>
      <c r="B4899" s="14" t="inlineStr">
        <is>
          <t>NB-0048</t>
        </is>
      </c>
      <c r="C4899" s="14" t="n">
        <v>8</v>
      </c>
      <c r="D4899" s="14">
        <f>IF(A4899&gt;LastWeek-364,1,0)</f>
        <v/>
      </c>
      <c r="E4899" s="14">
        <f>C4899^2*D4899</f>
        <v/>
      </c>
    </row>
    <row r="4900">
      <c r="A4900" s="26" t="n">
        <v>45362</v>
      </c>
      <c r="B4900" s="14" t="inlineStr">
        <is>
          <t>NB-0048</t>
        </is>
      </c>
      <c r="C4900" s="14" t="n">
        <v>37</v>
      </c>
      <c r="D4900" s="14">
        <f>IF(A4900&gt;LastWeek-364,1,0)</f>
        <v/>
      </c>
      <c r="E4900" s="14">
        <f>C4900^2*D4900</f>
        <v/>
      </c>
    </row>
    <row r="4901">
      <c r="A4901" s="26" t="n">
        <v>45369</v>
      </c>
      <c r="B4901" s="14" t="inlineStr">
        <is>
          <t>NB-0048</t>
        </is>
      </c>
      <c r="C4901" s="14" t="n">
        <v>24</v>
      </c>
      <c r="D4901" s="14">
        <f>IF(A4901&gt;LastWeek-364,1,0)</f>
        <v/>
      </c>
      <c r="E4901" s="14">
        <f>C4901^2*D4901</f>
        <v/>
      </c>
    </row>
    <row r="4902">
      <c r="A4902" s="26" t="n">
        <v>45376</v>
      </c>
      <c r="B4902" s="14" t="inlineStr">
        <is>
          <t>NB-0048</t>
        </is>
      </c>
      <c r="C4902" s="14" t="n">
        <v>14</v>
      </c>
      <c r="D4902" s="14">
        <f>IF(A4902&gt;LastWeek-364,1,0)</f>
        <v/>
      </c>
      <c r="E4902" s="14">
        <f>C4902^2*D4902</f>
        <v/>
      </c>
    </row>
    <row r="4903">
      <c r="A4903" s="26" t="n">
        <v>45383</v>
      </c>
      <c r="B4903" s="14" t="inlineStr">
        <is>
          <t>NB-0048</t>
        </is>
      </c>
      <c r="C4903" s="14" t="n">
        <v>16</v>
      </c>
      <c r="D4903" s="14">
        <f>IF(A4903&gt;LastWeek-364,1,0)</f>
        <v/>
      </c>
      <c r="E4903" s="14">
        <f>C4903^2*D4903</f>
        <v/>
      </c>
    </row>
    <row r="4904">
      <c r="A4904" s="26" t="n">
        <v>45390</v>
      </c>
      <c r="B4904" s="14" t="inlineStr">
        <is>
          <t>NB-0048</t>
        </is>
      </c>
      <c r="C4904" s="14" t="n">
        <v>5</v>
      </c>
      <c r="D4904" s="14">
        <f>IF(A4904&gt;LastWeek-364,1,0)</f>
        <v/>
      </c>
      <c r="E4904" s="14">
        <f>C4904^2*D4904</f>
        <v/>
      </c>
    </row>
    <row r="4905">
      <c r="A4905" s="26" t="n">
        <v>45397</v>
      </c>
      <c r="B4905" s="14" t="inlineStr">
        <is>
          <t>NB-0048</t>
        </is>
      </c>
      <c r="C4905" s="14" t="n">
        <v>12</v>
      </c>
      <c r="D4905" s="14">
        <f>IF(A4905&gt;LastWeek-364,1,0)</f>
        <v/>
      </c>
      <c r="E4905" s="14">
        <f>C4905^2*D4905</f>
        <v/>
      </c>
    </row>
    <row r="4906">
      <c r="A4906" s="26" t="n">
        <v>45404</v>
      </c>
      <c r="B4906" s="14" t="inlineStr">
        <is>
          <t>NB-0048</t>
        </is>
      </c>
      <c r="C4906" s="14" t="n">
        <v>31</v>
      </c>
      <c r="D4906" s="14">
        <f>IF(A4906&gt;LastWeek-364,1,0)</f>
        <v/>
      </c>
      <c r="E4906" s="14">
        <f>C4906^2*D4906</f>
        <v/>
      </c>
    </row>
    <row r="4907">
      <c r="A4907" s="26" t="n">
        <v>45411</v>
      </c>
      <c r="B4907" s="14" t="inlineStr">
        <is>
          <t>NB-0048</t>
        </is>
      </c>
      <c r="C4907" s="14" t="n">
        <v>43</v>
      </c>
      <c r="D4907" s="14">
        <f>IF(A4907&gt;LastWeek-364,1,0)</f>
        <v/>
      </c>
      <c r="E4907" s="14">
        <f>C4907^2*D4907</f>
        <v/>
      </c>
    </row>
    <row r="4908">
      <c r="A4908" s="26" t="n">
        <v>45418</v>
      </c>
      <c r="B4908" s="14" t="inlineStr">
        <is>
          <t>NB-0048</t>
        </is>
      </c>
      <c r="C4908" s="14" t="n">
        <v>29</v>
      </c>
      <c r="D4908" s="14">
        <f>IF(A4908&gt;LastWeek-364,1,0)</f>
        <v/>
      </c>
      <c r="E4908" s="14">
        <f>C4908^2*D4908</f>
        <v/>
      </c>
    </row>
    <row r="4909">
      <c r="A4909" s="26" t="n">
        <v>45425</v>
      </c>
      <c r="B4909" s="14" t="inlineStr">
        <is>
          <t>NB-0048</t>
        </is>
      </c>
      <c r="C4909" s="14" t="n">
        <v>21</v>
      </c>
      <c r="D4909" s="14">
        <f>IF(A4909&gt;LastWeek-364,1,0)</f>
        <v/>
      </c>
      <c r="E4909" s="14">
        <f>C4909^2*D4909</f>
        <v/>
      </c>
    </row>
    <row r="4910">
      <c r="A4910" s="26" t="n">
        <v>45432</v>
      </c>
      <c r="B4910" s="14" t="inlineStr">
        <is>
          <t>NB-0048</t>
        </is>
      </c>
      <c r="C4910" s="14" t="n">
        <v>18</v>
      </c>
      <c r="D4910" s="14">
        <f>IF(A4910&gt;LastWeek-364,1,0)</f>
        <v/>
      </c>
      <c r="E4910" s="14">
        <f>C4910^2*D4910</f>
        <v/>
      </c>
    </row>
    <row r="4911">
      <c r="A4911" s="26" t="n">
        <v>45439</v>
      </c>
      <c r="B4911" s="14" t="inlineStr">
        <is>
          <t>NB-0048</t>
        </is>
      </c>
      <c r="C4911" s="14" t="n">
        <v>13</v>
      </c>
      <c r="D4911" s="14">
        <f>IF(A4911&gt;LastWeek-364,1,0)</f>
        <v/>
      </c>
      <c r="E4911" s="14">
        <f>C4911^2*D4911</f>
        <v/>
      </c>
    </row>
    <row r="4912">
      <c r="A4912" s="26" t="n">
        <v>45446</v>
      </c>
      <c r="B4912" s="14" t="inlineStr">
        <is>
          <t>NB-0048</t>
        </is>
      </c>
      <c r="C4912" s="14" t="n">
        <v>41</v>
      </c>
      <c r="D4912" s="14">
        <f>IF(A4912&gt;LastWeek-364,1,0)</f>
        <v/>
      </c>
      <c r="E4912" s="14">
        <f>C4912^2*D4912</f>
        <v/>
      </c>
    </row>
    <row r="4913">
      <c r="A4913" s="26" t="n">
        <v>45453</v>
      </c>
      <c r="B4913" s="14" t="inlineStr">
        <is>
          <t>NB-0048</t>
        </is>
      </c>
      <c r="C4913" s="14" t="n">
        <v>20</v>
      </c>
      <c r="D4913" s="14">
        <f>IF(A4913&gt;LastWeek-364,1,0)</f>
        <v/>
      </c>
      <c r="E4913" s="14">
        <f>C4913^2*D4913</f>
        <v/>
      </c>
    </row>
    <row r="4914">
      <c r="A4914" s="26" t="n">
        <v>45460</v>
      </c>
      <c r="B4914" s="14" t="inlineStr">
        <is>
          <t>NB-0048</t>
        </is>
      </c>
      <c r="C4914" s="14" t="n">
        <v>42</v>
      </c>
      <c r="D4914" s="14">
        <f>IF(A4914&gt;LastWeek-364,1,0)</f>
        <v/>
      </c>
      <c r="E4914" s="14">
        <f>C4914^2*D4914</f>
        <v/>
      </c>
    </row>
    <row r="4915">
      <c r="A4915" s="26" t="n">
        <v>45467</v>
      </c>
      <c r="B4915" s="14" t="inlineStr">
        <is>
          <t>NB-0048</t>
        </is>
      </c>
      <c r="C4915" s="14" t="n">
        <v>35</v>
      </c>
      <c r="D4915" s="14">
        <f>IF(A4915&gt;LastWeek-364,1,0)</f>
        <v/>
      </c>
      <c r="E4915" s="14">
        <f>C4915^2*D4915</f>
        <v/>
      </c>
    </row>
    <row r="4916">
      <c r="A4916" s="26" t="n">
        <v>45474</v>
      </c>
      <c r="B4916" s="14" t="inlineStr">
        <is>
          <t>NB-0048</t>
        </is>
      </c>
      <c r="C4916" s="14" t="n">
        <v>6</v>
      </c>
      <c r="D4916" s="14">
        <f>IF(A4916&gt;LastWeek-364,1,0)</f>
        <v/>
      </c>
      <c r="E4916" s="14">
        <f>C4916^2*D4916</f>
        <v/>
      </c>
    </row>
    <row r="4917">
      <c r="A4917" s="26" t="n">
        <v>45481</v>
      </c>
      <c r="B4917" s="14" t="inlineStr">
        <is>
          <t>NB-0048</t>
        </is>
      </c>
      <c r="C4917" s="14" t="n">
        <v>16</v>
      </c>
      <c r="D4917" s="14">
        <f>IF(A4917&gt;LastWeek-364,1,0)</f>
        <v/>
      </c>
      <c r="E4917" s="14">
        <f>C4917^2*D4917</f>
        <v/>
      </c>
    </row>
    <row r="4918">
      <c r="A4918" s="26" t="n">
        <v>45488</v>
      </c>
      <c r="B4918" s="14" t="inlineStr">
        <is>
          <t>NB-0048</t>
        </is>
      </c>
      <c r="C4918" s="14" t="n">
        <v>16</v>
      </c>
      <c r="D4918" s="14">
        <f>IF(A4918&gt;LastWeek-364,1,0)</f>
        <v/>
      </c>
      <c r="E4918" s="14">
        <f>C4918^2*D4918</f>
        <v/>
      </c>
    </row>
    <row r="4919">
      <c r="A4919" s="26" t="n">
        <v>45495</v>
      </c>
      <c r="B4919" s="14" t="inlineStr">
        <is>
          <t>NB-0048</t>
        </is>
      </c>
      <c r="C4919" s="14" t="n">
        <v>22</v>
      </c>
      <c r="D4919" s="14">
        <f>IF(A4919&gt;LastWeek-364,1,0)</f>
        <v/>
      </c>
      <c r="E4919" s="14">
        <f>C4919^2*D4919</f>
        <v/>
      </c>
    </row>
    <row r="4920">
      <c r="A4920" s="26" t="n">
        <v>45502</v>
      </c>
      <c r="B4920" s="14" t="inlineStr">
        <is>
          <t>NB-0048</t>
        </is>
      </c>
      <c r="C4920" s="14" t="n">
        <v>22</v>
      </c>
      <c r="D4920" s="14">
        <f>IF(A4920&gt;LastWeek-364,1,0)</f>
        <v/>
      </c>
      <c r="E4920" s="14">
        <f>C4920^2*D4920</f>
        <v/>
      </c>
    </row>
    <row r="4921">
      <c r="A4921" s="26" t="n">
        <v>45509</v>
      </c>
      <c r="B4921" s="14" t="inlineStr">
        <is>
          <t>NB-0048</t>
        </is>
      </c>
      <c r="C4921" s="14" t="n">
        <v>50</v>
      </c>
      <c r="D4921" s="14">
        <f>IF(A4921&gt;LastWeek-364,1,0)</f>
        <v/>
      </c>
      <c r="E4921" s="14">
        <f>C4921^2*D4921</f>
        <v/>
      </c>
    </row>
    <row r="4922">
      <c r="A4922" s="26" t="n">
        <v>45516</v>
      </c>
      <c r="B4922" s="14" t="inlineStr">
        <is>
          <t>NB-0048</t>
        </is>
      </c>
      <c r="C4922" s="14" t="n">
        <v>12</v>
      </c>
      <c r="D4922" s="14">
        <f>IF(A4922&gt;LastWeek-364,1,0)</f>
        <v/>
      </c>
      <c r="E4922" s="14">
        <f>C4922^2*D4922</f>
        <v/>
      </c>
    </row>
    <row r="4923">
      <c r="A4923" s="26" t="n">
        <v>45523</v>
      </c>
      <c r="B4923" s="14" t="inlineStr">
        <is>
          <t>NB-0048</t>
        </is>
      </c>
      <c r="C4923" s="14" t="n">
        <v>24</v>
      </c>
      <c r="D4923" s="14">
        <f>IF(A4923&gt;LastWeek-364,1,0)</f>
        <v/>
      </c>
      <c r="E4923" s="14">
        <f>C4923^2*D4923</f>
        <v/>
      </c>
    </row>
    <row r="4924">
      <c r="A4924" s="26" t="n">
        <v>45530</v>
      </c>
      <c r="B4924" s="14" t="inlineStr">
        <is>
          <t>NB-0048</t>
        </is>
      </c>
      <c r="C4924" s="14" t="n">
        <v>28</v>
      </c>
      <c r="D4924" s="14">
        <f>IF(A4924&gt;LastWeek-364,1,0)</f>
        <v/>
      </c>
      <c r="E4924" s="14">
        <f>C4924^2*D4924</f>
        <v/>
      </c>
    </row>
    <row r="4925">
      <c r="A4925" s="26" t="n">
        <v>45537</v>
      </c>
      <c r="B4925" s="14" t="inlineStr">
        <is>
          <t>NB-0048</t>
        </is>
      </c>
      <c r="C4925" s="14" t="n">
        <v>22</v>
      </c>
      <c r="D4925" s="14">
        <f>IF(A4925&gt;LastWeek-364,1,0)</f>
        <v/>
      </c>
      <c r="E4925" s="14">
        <f>C4925^2*D4925</f>
        <v/>
      </c>
    </row>
    <row r="4926">
      <c r="A4926" s="26" t="n">
        <v>45544</v>
      </c>
      <c r="B4926" s="14" t="inlineStr">
        <is>
          <t>NB-0048</t>
        </is>
      </c>
      <c r="C4926" s="14" t="n">
        <v>23</v>
      </c>
      <c r="D4926" s="14">
        <f>IF(A4926&gt;LastWeek-364,1,0)</f>
        <v/>
      </c>
      <c r="E4926" s="14">
        <f>C4926^2*D4926</f>
        <v/>
      </c>
    </row>
    <row r="4927">
      <c r="A4927" s="26" t="n">
        <v>45551</v>
      </c>
      <c r="B4927" s="14" t="inlineStr">
        <is>
          <t>NB-0048</t>
        </is>
      </c>
      <c r="C4927" s="14" t="n">
        <v>13</v>
      </c>
      <c r="D4927" s="14">
        <f>IF(A4927&gt;LastWeek-364,1,0)</f>
        <v/>
      </c>
      <c r="E4927" s="14">
        <f>C4927^2*D4927</f>
        <v/>
      </c>
    </row>
    <row r="4928">
      <c r="A4928" s="26" t="n">
        <v>45558</v>
      </c>
      <c r="B4928" s="14" t="inlineStr">
        <is>
          <t>NB-0048</t>
        </is>
      </c>
      <c r="C4928" s="14" t="n">
        <v>23</v>
      </c>
      <c r="D4928" s="14">
        <f>IF(A4928&gt;LastWeek-364,1,0)</f>
        <v/>
      </c>
      <c r="E4928" s="14">
        <f>C4928^2*D4928</f>
        <v/>
      </c>
    </row>
    <row r="4929">
      <c r="A4929" s="26" t="n">
        <v>45565</v>
      </c>
      <c r="B4929" s="14" t="inlineStr">
        <is>
          <t>NB-0048</t>
        </is>
      </c>
      <c r="C4929" s="14" t="n">
        <v>27</v>
      </c>
      <c r="D4929" s="14">
        <f>IF(A4929&gt;LastWeek-364,1,0)</f>
        <v/>
      </c>
      <c r="E4929" s="14">
        <f>C4929^2*D4929</f>
        <v/>
      </c>
    </row>
    <row r="4930">
      <c r="A4930" s="26" t="n">
        <v>45572</v>
      </c>
      <c r="B4930" s="14" t="inlineStr">
        <is>
          <t>NB-0048</t>
        </is>
      </c>
      <c r="C4930" s="14" t="n">
        <v>26</v>
      </c>
      <c r="D4930" s="14">
        <f>IF(A4930&gt;LastWeek-364,1,0)</f>
        <v/>
      </c>
      <c r="E4930" s="14">
        <f>C4930^2*D4930</f>
        <v/>
      </c>
    </row>
    <row r="4931">
      <c r="A4931" s="26" t="n">
        <v>45579</v>
      </c>
      <c r="B4931" s="14" t="inlineStr">
        <is>
          <t>NB-0048</t>
        </is>
      </c>
      <c r="C4931" s="14" t="n">
        <v>28</v>
      </c>
      <c r="D4931" s="14">
        <f>IF(A4931&gt;LastWeek-364,1,0)</f>
        <v/>
      </c>
      <c r="E4931" s="14">
        <f>C4931^2*D4931</f>
        <v/>
      </c>
    </row>
    <row r="4932">
      <c r="A4932" s="26" t="n">
        <v>45586</v>
      </c>
      <c r="B4932" s="14" t="inlineStr">
        <is>
          <t>NB-0048</t>
        </is>
      </c>
      <c r="C4932" s="14" t="n">
        <v>36</v>
      </c>
      <c r="D4932" s="14">
        <f>IF(A4932&gt;LastWeek-364,1,0)</f>
        <v/>
      </c>
      <c r="E4932" s="14">
        <f>C4932^2*D4932</f>
        <v/>
      </c>
    </row>
    <row r="4933">
      <c r="A4933" s="26" t="n">
        <v>45593</v>
      </c>
      <c r="B4933" s="14" t="inlineStr">
        <is>
          <t>NB-0048</t>
        </is>
      </c>
      <c r="C4933" s="14" t="n">
        <v>31</v>
      </c>
      <c r="D4933" s="14">
        <f>IF(A4933&gt;LastWeek-364,1,0)</f>
        <v/>
      </c>
      <c r="E4933" s="14">
        <f>C4933^2*D4933</f>
        <v/>
      </c>
    </row>
    <row r="4934">
      <c r="A4934" s="26" t="n">
        <v>45600</v>
      </c>
      <c r="B4934" s="14" t="inlineStr">
        <is>
          <t>NB-0048</t>
        </is>
      </c>
      <c r="C4934" s="14" t="n">
        <v>23</v>
      </c>
      <c r="D4934" s="14">
        <f>IF(A4934&gt;LastWeek-364,1,0)</f>
        <v/>
      </c>
      <c r="E4934" s="14">
        <f>C4934^2*D4934</f>
        <v/>
      </c>
    </row>
    <row r="4935">
      <c r="A4935" s="26" t="n">
        <v>45607</v>
      </c>
      <c r="B4935" s="14" t="inlineStr">
        <is>
          <t>NB-0048</t>
        </is>
      </c>
      <c r="C4935" s="14" t="n">
        <v>11</v>
      </c>
      <c r="D4935" s="14">
        <f>IF(A4935&gt;LastWeek-364,1,0)</f>
        <v/>
      </c>
      <c r="E4935" s="14">
        <f>C4935^2*D4935</f>
        <v/>
      </c>
    </row>
    <row r="4936">
      <c r="A4936" s="26" t="n">
        <v>45614</v>
      </c>
      <c r="B4936" s="14" t="inlineStr">
        <is>
          <t>NB-0048</t>
        </is>
      </c>
      <c r="C4936" s="14" t="n">
        <v>17</v>
      </c>
      <c r="D4936" s="14">
        <f>IF(A4936&gt;LastWeek-364,1,0)</f>
        <v/>
      </c>
      <c r="E4936" s="14">
        <f>C4936^2*D4936</f>
        <v/>
      </c>
    </row>
    <row r="4937">
      <c r="A4937" s="26" t="n">
        <v>45621</v>
      </c>
      <c r="B4937" s="14" t="inlineStr">
        <is>
          <t>NB-0048</t>
        </is>
      </c>
      <c r="C4937" s="14" t="n">
        <v>20</v>
      </c>
      <c r="D4937" s="14">
        <f>IF(A4937&gt;LastWeek-364,1,0)</f>
        <v/>
      </c>
      <c r="E4937" s="14">
        <f>C4937^2*D4937</f>
        <v/>
      </c>
    </row>
    <row r="4938">
      <c r="A4938" s="26" t="n">
        <v>45628</v>
      </c>
      <c r="B4938" s="14" t="inlineStr">
        <is>
          <t>NB-0048</t>
        </is>
      </c>
      <c r="C4938" s="14" t="n">
        <v>25</v>
      </c>
      <c r="D4938" s="14">
        <f>IF(A4938&gt;LastWeek-364,1,0)</f>
        <v/>
      </c>
      <c r="E4938" s="14">
        <f>C4938^2*D4938</f>
        <v/>
      </c>
    </row>
    <row r="4939">
      <c r="A4939" s="26" t="n">
        <v>45635</v>
      </c>
      <c r="B4939" s="14" t="inlineStr">
        <is>
          <t>NB-0048</t>
        </is>
      </c>
      <c r="C4939" s="14" t="n">
        <v>18</v>
      </c>
      <c r="D4939" s="14">
        <f>IF(A4939&gt;LastWeek-364,1,0)</f>
        <v/>
      </c>
      <c r="E4939" s="14">
        <f>C4939^2*D4939</f>
        <v/>
      </c>
    </row>
    <row r="4940">
      <c r="A4940" s="26" t="n">
        <v>45642</v>
      </c>
      <c r="B4940" s="14" t="inlineStr">
        <is>
          <t>NB-0048</t>
        </is>
      </c>
      <c r="C4940" s="14" t="n">
        <v>14</v>
      </c>
      <c r="D4940" s="14">
        <f>IF(A4940&gt;LastWeek-364,1,0)</f>
        <v/>
      </c>
      <c r="E4940" s="14">
        <f>C4940^2*D4940</f>
        <v/>
      </c>
    </row>
    <row r="4941">
      <c r="A4941" s="26" t="n">
        <v>45649</v>
      </c>
      <c r="B4941" s="14" t="inlineStr">
        <is>
          <t>NB-0048</t>
        </is>
      </c>
      <c r="C4941" s="14" t="n">
        <v>11</v>
      </c>
      <c r="D4941" s="14">
        <f>IF(A4941&gt;LastWeek-364,1,0)</f>
        <v/>
      </c>
      <c r="E4941" s="14">
        <f>C4941^2*D4941</f>
        <v/>
      </c>
    </row>
    <row r="4942">
      <c r="A4942" s="26" t="n">
        <v>45656</v>
      </c>
      <c r="B4942" s="14" t="inlineStr">
        <is>
          <t>NB-0048</t>
        </is>
      </c>
      <c r="C4942" s="14" t="n">
        <v>7</v>
      </c>
      <c r="D4942" s="14">
        <f>IF(A4942&gt;LastWeek-364,1,0)</f>
        <v/>
      </c>
      <c r="E4942" s="14">
        <f>C4942^2*D4942</f>
        <v/>
      </c>
    </row>
    <row r="4943">
      <c r="A4943" s="26" t="n">
        <v>45663</v>
      </c>
      <c r="B4943" s="14" t="inlineStr">
        <is>
          <t>NB-0048</t>
        </is>
      </c>
      <c r="C4943" s="14" t="n">
        <v>20</v>
      </c>
      <c r="D4943" s="14">
        <f>IF(A4943&gt;LastWeek-364,1,0)</f>
        <v/>
      </c>
      <c r="E4943" s="14">
        <f>C4943^2*D4943</f>
        <v/>
      </c>
    </row>
    <row r="4944">
      <c r="A4944" s="26" t="n">
        <v>45670</v>
      </c>
      <c r="B4944" s="14" t="inlineStr">
        <is>
          <t>NB-0048</t>
        </is>
      </c>
      <c r="C4944" s="14" t="n">
        <v>9</v>
      </c>
      <c r="D4944" s="14">
        <f>IF(A4944&gt;LastWeek-364,1,0)</f>
        <v/>
      </c>
      <c r="E4944" s="14">
        <f>C4944^2*D4944</f>
        <v/>
      </c>
    </row>
    <row r="4945">
      <c r="A4945" s="26" t="n">
        <v>45677</v>
      </c>
      <c r="B4945" s="14" t="inlineStr">
        <is>
          <t>NB-0048</t>
        </is>
      </c>
      <c r="C4945" s="14" t="n">
        <v>13</v>
      </c>
      <c r="D4945" s="14">
        <f>IF(A4945&gt;LastWeek-364,1,0)</f>
        <v/>
      </c>
      <c r="E4945" s="14">
        <f>C4945^2*D4945</f>
        <v/>
      </c>
    </row>
    <row r="4946">
      <c r="A4946" s="26" t="n">
        <v>45684</v>
      </c>
      <c r="B4946" s="14" t="inlineStr">
        <is>
          <t>NB-0048</t>
        </is>
      </c>
      <c r="C4946" s="14" t="n">
        <v>19</v>
      </c>
      <c r="D4946" s="14">
        <f>IF(A4946&gt;LastWeek-364,1,0)</f>
        <v/>
      </c>
      <c r="E4946" s="14">
        <f>C4946^2*D4946</f>
        <v/>
      </c>
    </row>
    <row r="4947">
      <c r="A4947" s="26" t="n">
        <v>45691</v>
      </c>
      <c r="B4947" s="14" t="inlineStr">
        <is>
          <t>NB-0048</t>
        </is>
      </c>
      <c r="C4947" s="14" t="n">
        <v>10</v>
      </c>
      <c r="D4947" s="14">
        <f>IF(A4947&gt;LastWeek-364,1,0)</f>
        <v/>
      </c>
      <c r="E4947" s="14">
        <f>C4947^2*D4947</f>
        <v/>
      </c>
    </row>
    <row r="4948">
      <c r="A4948" s="26" t="n">
        <v>45698</v>
      </c>
      <c r="B4948" s="14" t="inlineStr">
        <is>
          <t>NB-0048</t>
        </is>
      </c>
      <c r="C4948" s="14" t="n">
        <v>26</v>
      </c>
      <c r="D4948" s="14">
        <f>IF(A4948&gt;LastWeek-364,1,0)</f>
        <v/>
      </c>
      <c r="E4948" s="14">
        <f>C4948^2*D4948</f>
        <v/>
      </c>
    </row>
    <row r="4949">
      <c r="A4949" s="26" t="n">
        <v>45705</v>
      </c>
      <c r="B4949" s="14" t="inlineStr">
        <is>
          <t>NB-0048</t>
        </is>
      </c>
      <c r="C4949" s="14" t="n">
        <v>30</v>
      </c>
      <c r="D4949" s="14">
        <f>IF(A4949&gt;LastWeek-364,1,0)</f>
        <v/>
      </c>
      <c r="E4949" s="14">
        <f>C4949^2*D4949</f>
        <v/>
      </c>
    </row>
    <row r="4950">
      <c r="A4950" s="26" t="n">
        <v>45712</v>
      </c>
      <c r="B4950" s="14" t="inlineStr">
        <is>
          <t>NB-0048</t>
        </is>
      </c>
      <c r="C4950" s="14" t="n">
        <v>18</v>
      </c>
      <c r="D4950" s="14">
        <f>IF(A4950&gt;LastWeek-364,1,0)</f>
        <v/>
      </c>
      <c r="E4950" s="14">
        <f>C4950^2*D4950</f>
        <v/>
      </c>
    </row>
    <row r="4951">
      <c r="A4951" s="26" t="n">
        <v>45719</v>
      </c>
      <c r="B4951" s="14" t="inlineStr">
        <is>
          <t>NB-0048</t>
        </is>
      </c>
      <c r="C4951" s="14" t="n">
        <v>19</v>
      </c>
      <c r="D4951" s="14">
        <f>IF(A4951&gt;LastWeek-364,1,0)</f>
        <v/>
      </c>
      <c r="E4951" s="14">
        <f>C4951^2*D4951</f>
        <v/>
      </c>
    </row>
    <row r="4952">
      <c r="A4952" s="26" t="n">
        <v>45726</v>
      </c>
      <c r="B4952" s="14" t="inlineStr">
        <is>
          <t>NB-0048</t>
        </is>
      </c>
      <c r="C4952" s="14" t="n">
        <v>28</v>
      </c>
      <c r="D4952" s="14">
        <f>IF(A4952&gt;LastWeek-364,1,0)</f>
        <v/>
      </c>
      <c r="E4952" s="14">
        <f>C4952^2*D4952</f>
        <v/>
      </c>
    </row>
    <row r="4953">
      <c r="A4953" s="26" t="n">
        <v>45733</v>
      </c>
      <c r="B4953" s="14" t="inlineStr">
        <is>
          <t>NB-0048</t>
        </is>
      </c>
      <c r="C4953" s="14" t="n">
        <v>16</v>
      </c>
      <c r="D4953" s="14">
        <f>IF(A4953&gt;LastWeek-364,1,0)</f>
        <v/>
      </c>
      <c r="E4953" s="14">
        <f>C4953^2*D4953</f>
        <v/>
      </c>
    </row>
    <row r="4954">
      <c r="A4954" s="26" t="n">
        <v>45740</v>
      </c>
      <c r="B4954" s="14" t="inlineStr">
        <is>
          <t>NB-0048</t>
        </is>
      </c>
      <c r="C4954" s="14" t="n">
        <v>15</v>
      </c>
      <c r="D4954" s="14">
        <f>IF(A4954&gt;LastWeek-364,1,0)</f>
        <v/>
      </c>
      <c r="E4954" s="14">
        <f>C4954^2*D4954</f>
        <v/>
      </c>
    </row>
    <row r="4955">
      <c r="A4955" s="26" t="n">
        <v>45747</v>
      </c>
      <c r="B4955" s="14" t="inlineStr">
        <is>
          <t>NB-0048</t>
        </is>
      </c>
      <c r="C4955" s="14" t="n">
        <v>34</v>
      </c>
      <c r="D4955" s="14">
        <f>IF(A4955&gt;LastWeek-364,1,0)</f>
        <v/>
      </c>
      <c r="E4955" s="14">
        <f>C4955^2*D4955</f>
        <v/>
      </c>
    </row>
    <row r="4956">
      <c r="A4956" s="26" t="n">
        <v>45754</v>
      </c>
      <c r="B4956" s="14" t="inlineStr">
        <is>
          <t>NB-0048</t>
        </is>
      </c>
      <c r="C4956" s="14" t="n">
        <v>31</v>
      </c>
      <c r="D4956" s="14">
        <f>IF(A4956&gt;LastWeek-364,1,0)</f>
        <v/>
      </c>
      <c r="E4956" s="14">
        <f>C4956^2*D4956</f>
        <v/>
      </c>
    </row>
    <row r="4957">
      <c r="A4957" s="26" t="n">
        <v>45761</v>
      </c>
      <c r="B4957" s="14" t="inlineStr">
        <is>
          <t>NB-0048</t>
        </is>
      </c>
      <c r="C4957" s="14" t="n">
        <v>29</v>
      </c>
      <c r="D4957" s="14">
        <f>IF(A4957&gt;LastWeek-364,1,0)</f>
        <v/>
      </c>
      <c r="E4957" s="14">
        <f>C4957^2*D4957</f>
        <v/>
      </c>
    </row>
    <row r="4958">
      <c r="A4958" s="26" t="n">
        <v>45768</v>
      </c>
      <c r="B4958" s="14" t="inlineStr">
        <is>
          <t>NB-0048</t>
        </is>
      </c>
      <c r="C4958" s="14" t="n">
        <v>32</v>
      </c>
      <c r="D4958" s="14">
        <f>IF(A4958&gt;LastWeek-364,1,0)</f>
        <v/>
      </c>
      <c r="E4958" s="14">
        <f>C4958^2*D4958</f>
        <v/>
      </c>
    </row>
    <row r="4959">
      <c r="A4959" s="26" t="n">
        <v>45775</v>
      </c>
      <c r="B4959" s="14" t="inlineStr">
        <is>
          <t>NB-0048</t>
        </is>
      </c>
      <c r="C4959" s="14" t="n">
        <v>4</v>
      </c>
      <c r="D4959" s="14">
        <f>IF(A4959&gt;LastWeek-364,1,0)</f>
        <v/>
      </c>
      <c r="E4959" s="14">
        <f>C4959^2*D4959</f>
        <v/>
      </c>
    </row>
    <row r="4960">
      <c r="A4960" s="26" t="n">
        <v>45782</v>
      </c>
      <c r="B4960" s="14" t="inlineStr">
        <is>
          <t>NB-0048</t>
        </is>
      </c>
      <c r="C4960" s="14" t="n">
        <v>36</v>
      </c>
      <c r="D4960" s="14">
        <f>IF(A4960&gt;LastWeek-364,1,0)</f>
        <v/>
      </c>
      <c r="E4960" s="14">
        <f>C4960^2*D4960</f>
        <v/>
      </c>
    </row>
    <row r="4961">
      <c r="A4961" s="26" t="n">
        <v>45789</v>
      </c>
      <c r="B4961" s="14" t="inlineStr">
        <is>
          <t>NB-0048</t>
        </is>
      </c>
      <c r="C4961" s="14" t="n">
        <v>27</v>
      </c>
      <c r="D4961" s="14">
        <f>IF(A4961&gt;LastWeek-364,1,0)</f>
        <v/>
      </c>
      <c r="E4961" s="14">
        <f>C4961^2*D4961</f>
        <v/>
      </c>
    </row>
    <row r="4962">
      <c r="A4962" s="26" t="n">
        <v>45796</v>
      </c>
      <c r="B4962" s="14" t="inlineStr">
        <is>
          <t>NB-0048</t>
        </is>
      </c>
      <c r="C4962" s="14" t="n">
        <v>33</v>
      </c>
      <c r="D4962" s="14">
        <f>IF(A4962&gt;LastWeek-364,1,0)</f>
        <v/>
      </c>
      <c r="E4962" s="14">
        <f>C4962^2*D4962</f>
        <v/>
      </c>
    </row>
    <row r="4963">
      <c r="A4963" s="26" t="n">
        <v>45803</v>
      </c>
      <c r="B4963" s="14" t="inlineStr">
        <is>
          <t>NB-0048</t>
        </is>
      </c>
      <c r="C4963" s="14" t="n">
        <v>27</v>
      </c>
      <c r="D4963" s="14">
        <f>IF(A4963&gt;LastWeek-364,1,0)</f>
        <v/>
      </c>
      <c r="E4963" s="14">
        <f>C4963^2*D4963</f>
        <v/>
      </c>
    </row>
    <row r="4964">
      <c r="A4964" s="26" t="n">
        <v>45810</v>
      </c>
      <c r="B4964" s="14" t="inlineStr">
        <is>
          <t>NB-0048</t>
        </is>
      </c>
      <c r="C4964" s="14" t="n">
        <v>23</v>
      </c>
      <c r="D4964" s="14">
        <f>IF(A4964&gt;LastWeek-364,1,0)</f>
        <v/>
      </c>
      <c r="E4964" s="14">
        <f>C4964^2*D4964</f>
        <v/>
      </c>
    </row>
    <row r="4965">
      <c r="A4965" s="26" t="n">
        <v>45817</v>
      </c>
      <c r="B4965" s="14" t="inlineStr">
        <is>
          <t>NB-0048</t>
        </is>
      </c>
      <c r="C4965" s="14" t="n">
        <v>20</v>
      </c>
      <c r="D4965" s="14">
        <f>IF(A4965&gt;LastWeek-364,1,0)</f>
        <v/>
      </c>
      <c r="E4965" s="14">
        <f>C4965^2*D4965</f>
        <v/>
      </c>
    </row>
    <row r="4966">
      <c r="A4966" s="26" t="n">
        <v>45824</v>
      </c>
      <c r="B4966" s="14" t="inlineStr">
        <is>
          <t>NB-0048</t>
        </is>
      </c>
      <c r="C4966" s="14" t="n">
        <v>27</v>
      </c>
      <c r="D4966" s="14">
        <f>IF(A4966&gt;LastWeek-364,1,0)</f>
        <v/>
      </c>
      <c r="E4966" s="14">
        <f>C4966^2*D4966</f>
        <v/>
      </c>
    </row>
    <row r="4967">
      <c r="A4967" s="26" t="n">
        <v>45831</v>
      </c>
      <c r="B4967" s="14" t="inlineStr">
        <is>
          <t>NB-0048</t>
        </is>
      </c>
      <c r="C4967" s="14" t="n">
        <v>20</v>
      </c>
      <c r="D4967" s="14">
        <f>IF(A4967&gt;LastWeek-364,1,0)</f>
        <v/>
      </c>
      <c r="E4967" s="14">
        <f>C4967^2*D4967</f>
        <v/>
      </c>
    </row>
    <row r="4968">
      <c r="A4968" s="26" t="n">
        <v>45838</v>
      </c>
      <c r="B4968" s="14" t="inlineStr">
        <is>
          <t>NB-0048</t>
        </is>
      </c>
      <c r="C4968" s="14" t="n">
        <v>32</v>
      </c>
      <c r="D4968" s="14">
        <f>IF(A4968&gt;LastWeek-364,1,0)</f>
        <v/>
      </c>
      <c r="E4968" s="14">
        <f>C4968^2*D4968</f>
        <v/>
      </c>
    </row>
    <row r="4969">
      <c r="A4969" s="26" t="n">
        <v>45845</v>
      </c>
      <c r="B4969" s="14" t="inlineStr">
        <is>
          <t>NB-0048</t>
        </is>
      </c>
      <c r="C4969" s="14" t="n">
        <v>8</v>
      </c>
      <c r="D4969" s="14">
        <f>IF(A4969&gt;LastWeek-364,1,0)</f>
        <v/>
      </c>
      <c r="E4969" s="14">
        <f>C4969^2*D4969</f>
        <v/>
      </c>
    </row>
    <row r="4970">
      <c r="A4970" s="26" t="n">
        <v>45852</v>
      </c>
      <c r="B4970" s="14" t="inlineStr">
        <is>
          <t>NB-0048</t>
        </is>
      </c>
      <c r="C4970" s="14" t="n">
        <v>18</v>
      </c>
      <c r="D4970" s="14">
        <f>IF(A4970&gt;LastWeek-364,1,0)</f>
        <v/>
      </c>
      <c r="E4970" s="14">
        <f>C4970^2*D4970</f>
        <v/>
      </c>
    </row>
    <row r="4971">
      <c r="A4971" s="26" t="n">
        <v>45859</v>
      </c>
      <c r="B4971" s="14" t="inlineStr">
        <is>
          <t>NB-0048</t>
        </is>
      </c>
      <c r="C4971" s="14" t="n">
        <v>43</v>
      </c>
      <c r="D4971" s="14">
        <f>IF(A4971&gt;LastWeek-364,1,0)</f>
        <v/>
      </c>
      <c r="E4971" s="14">
        <f>C4971^2*D4971</f>
        <v/>
      </c>
    </row>
    <row r="4972">
      <c r="A4972" s="26" t="n">
        <v>45866</v>
      </c>
      <c r="B4972" s="14" t="inlineStr">
        <is>
          <t>NB-0048</t>
        </is>
      </c>
      <c r="C4972" s="14" t="n">
        <v>17</v>
      </c>
      <c r="D4972" s="14">
        <f>IF(A4972&gt;LastWeek-364,1,0)</f>
        <v/>
      </c>
      <c r="E4972" s="14">
        <f>C4972^2*D4972</f>
        <v/>
      </c>
    </row>
    <row r="4973">
      <c r="A4973" s="26" t="n">
        <v>45873</v>
      </c>
      <c r="B4973" s="14" t="inlineStr">
        <is>
          <t>NB-0048</t>
        </is>
      </c>
      <c r="C4973" s="14" t="n">
        <v>21</v>
      </c>
      <c r="D4973" s="14">
        <f>IF(A4973&gt;LastWeek-364,1,0)</f>
        <v/>
      </c>
      <c r="E4973" s="14">
        <f>C4973^2*D4973</f>
        <v/>
      </c>
    </row>
    <row r="4974">
      <c r="A4974" s="26" t="n">
        <v>45880</v>
      </c>
      <c r="B4974" s="14" t="inlineStr">
        <is>
          <t>NB-0048</t>
        </is>
      </c>
      <c r="C4974" s="14" t="n">
        <v>15</v>
      </c>
      <c r="D4974" s="14">
        <f>IF(A4974&gt;LastWeek-364,1,0)</f>
        <v/>
      </c>
      <c r="E4974" s="14">
        <f>C4974^2*D4974</f>
        <v/>
      </c>
    </row>
    <row r="4975">
      <c r="A4975" s="26" t="n">
        <v>45887</v>
      </c>
      <c r="B4975" s="14" t="inlineStr">
        <is>
          <t>NB-0048</t>
        </is>
      </c>
      <c r="C4975" s="14" t="n">
        <v>26</v>
      </c>
      <c r="D4975" s="14">
        <f>IF(A4975&gt;LastWeek-364,1,0)</f>
        <v/>
      </c>
      <c r="E4975" s="14">
        <f>C4975^2*D4975</f>
        <v/>
      </c>
    </row>
    <row r="4976">
      <c r="A4976" s="26" t="n">
        <v>45894</v>
      </c>
      <c r="B4976" s="14" t="inlineStr">
        <is>
          <t>NB-0048</t>
        </is>
      </c>
      <c r="C4976" s="14" t="n">
        <v>16</v>
      </c>
      <c r="D4976" s="14">
        <f>IF(A4976&gt;LastWeek-364,1,0)</f>
        <v/>
      </c>
      <c r="E4976" s="14">
        <f>C4976^2*D4976</f>
        <v/>
      </c>
    </row>
    <row r="4977">
      <c r="A4977" s="26" t="n">
        <v>45901</v>
      </c>
      <c r="B4977" s="14" t="inlineStr">
        <is>
          <t>NB-0048</t>
        </is>
      </c>
      <c r="C4977" s="14" t="n">
        <v>21</v>
      </c>
      <c r="D4977" s="14">
        <f>IF(A4977&gt;LastWeek-364,1,0)</f>
        <v/>
      </c>
      <c r="E4977" s="14">
        <f>C4977^2*D4977</f>
        <v/>
      </c>
    </row>
    <row r="4978">
      <c r="A4978" s="26" t="n">
        <v>45908</v>
      </c>
      <c r="B4978" s="14" t="inlineStr">
        <is>
          <t>NB-0048</t>
        </is>
      </c>
      <c r="C4978" s="14" t="n">
        <v>32</v>
      </c>
      <c r="D4978" s="14">
        <f>IF(A4978&gt;LastWeek-364,1,0)</f>
        <v/>
      </c>
      <c r="E4978" s="14">
        <f>C4978^2*D4978</f>
        <v/>
      </c>
    </row>
    <row r="4979">
      <c r="A4979" s="26" t="n">
        <v>45915</v>
      </c>
      <c r="B4979" s="14" t="inlineStr">
        <is>
          <t>NB-0048</t>
        </is>
      </c>
      <c r="C4979" s="14" t="n">
        <v>16</v>
      </c>
      <c r="D4979" s="14">
        <f>IF(A4979&gt;LastWeek-364,1,0)</f>
        <v/>
      </c>
      <c r="E4979" s="14">
        <f>C4979^2*D4979</f>
        <v/>
      </c>
    </row>
    <row r="4980">
      <c r="A4980" s="26" t="n">
        <v>45922</v>
      </c>
      <c r="B4980" s="14" t="inlineStr">
        <is>
          <t>NB-0048</t>
        </is>
      </c>
      <c r="C4980" s="14" t="n">
        <v>31</v>
      </c>
      <c r="D4980" s="14">
        <f>IF(A4980&gt;LastWeek-364,1,0)</f>
        <v/>
      </c>
      <c r="E4980" s="14">
        <f>C4980^2*D4980</f>
        <v/>
      </c>
    </row>
    <row r="4981">
      <c r="A4981" s="26" t="n">
        <v>45929</v>
      </c>
      <c r="B4981" s="14" t="inlineStr">
        <is>
          <t>NB-0048</t>
        </is>
      </c>
      <c r="C4981" s="14" t="n">
        <v>31</v>
      </c>
      <c r="D4981" s="14">
        <f>IF(A4981&gt;LastWeek-364,1,0)</f>
        <v/>
      </c>
      <c r="E4981" s="14">
        <f>C4981^2*D4981</f>
        <v/>
      </c>
    </row>
    <row r="4982">
      <c r="A4982" s="26" t="n">
        <v>45936</v>
      </c>
      <c r="B4982" s="14" t="inlineStr">
        <is>
          <t>NB-0048</t>
        </is>
      </c>
      <c r="C4982" s="14" t="n">
        <v>34</v>
      </c>
      <c r="D4982" s="14">
        <f>IF(A4982&gt;LastWeek-364,1,0)</f>
        <v/>
      </c>
      <c r="E4982" s="14">
        <f>C4982^2*D4982</f>
        <v/>
      </c>
    </row>
    <row r="4983">
      <c r="A4983" s="26" t="n">
        <v>45943</v>
      </c>
      <c r="B4983" s="14" t="inlineStr">
        <is>
          <t>NB-0048</t>
        </is>
      </c>
      <c r="C4983" s="14" t="n">
        <v>25</v>
      </c>
      <c r="D4983" s="14">
        <f>IF(A4983&gt;LastWeek-364,1,0)</f>
        <v/>
      </c>
      <c r="E4983" s="14">
        <f>C4983^2*D4983</f>
        <v/>
      </c>
    </row>
    <row r="4984">
      <c r="A4984" s="26" t="n">
        <v>45950</v>
      </c>
      <c r="B4984" s="14" t="inlineStr">
        <is>
          <t>NB-0048</t>
        </is>
      </c>
      <c r="C4984" s="14" t="n">
        <v>55</v>
      </c>
      <c r="D4984" s="14">
        <f>IF(A4984&gt;LastWeek-364,1,0)</f>
        <v/>
      </c>
      <c r="E4984" s="14">
        <f>C4984^2*D4984</f>
        <v/>
      </c>
    </row>
    <row r="4985">
      <c r="A4985" s="26" t="n">
        <v>45957</v>
      </c>
      <c r="B4985" s="14" t="inlineStr">
        <is>
          <t>NB-0048</t>
        </is>
      </c>
      <c r="C4985" s="14" t="n">
        <v>34</v>
      </c>
      <c r="D4985" s="14">
        <f>IF(A4985&gt;LastWeek-364,1,0)</f>
        <v/>
      </c>
      <c r="E4985" s="14">
        <f>C4985^2*D4985</f>
        <v/>
      </c>
    </row>
    <row r="4986">
      <c r="A4986" s="26" t="n">
        <v>45964</v>
      </c>
      <c r="B4986" s="14" t="inlineStr">
        <is>
          <t>NB-0048</t>
        </is>
      </c>
      <c r="C4986" s="14" t="n">
        <v>27</v>
      </c>
      <c r="D4986" s="14">
        <f>IF(A4986&gt;LastWeek-364,1,0)</f>
        <v/>
      </c>
      <c r="E4986" s="14">
        <f>C4986^2*D4986</f>
        <v/>
      </c>
    </row>
    <row r="4987">
      <c r="A4987" s="26" t="n">
        <v>45971</v>
      </c>
      <c r="B4987" s="14" t="inlineStr">
        <is>
          <t>NB-0048</t>
        </is>
      </c>
      <c r="C4987" s="14" t="n">
        <v>15</v>
      </c>
      <c r="D4987" s="14">
        <f>IF(A4987&gt;LastWeek-364,1,0)</f>
        <v/>
      </c>
      <c r="E4987" s="14">
        <f>C4987^2*D4987</f>
        <v/>
      </c>
    </row>
    <row r="4988">
      <c r="A4988" s="26" t="n">
        <v>45978</v>
      </c>
      <c r="B4988" s="14" t="inlineStr">
        <is>
          <t>NB-0048</t>
        </is>
      </c>
      <c r="C4988" s="14" t="n">
        <v>22</v>
      </c>
      <c r="D4988" s="14">
        <f>IF(A4988&gt;LastWeek-364,1,0)</f>
        <v/>
      </c>
      <c r="E4988" s="14">
        <f>C4988^2*D4988</f>
        <v/>
      </c>
    </row>
    <row r="4989">
      <c r="A4989" s="26" t="n">
        <v>45985</v>
      </c>
      <c r="B4989" s="14" t="inlineStr">
        <is>
          <t>NB-0048</t>
        </is>
      </c>
      <c r="C4989" s="14" t="n">
        <v>38</v>
      </c>
      <c r="D4989" s="14">
        <f>IF(A4989&gt;LastWeek-364,1,0)</f>
        <v/>
      </c>
      <c r="E4989" s="14">
        <f>C4989^2*D4989</f>
        <v/>
      </c>
    </row>
    <row r="4990">
      <c r="A4990" s="26" t="n">
        <v>45992</v>
      </c>
      <c r="B4990" s="14" t="inlineStr">
        <is>
          <t>NB-0048</t>
        </is>
      </c>
      <c r="C4990" s="14" t="n">
        <v>40</v>
      </c>
      <c r="D4990" s="14">
        <f>IF(A4990&gt;LastWeek-364,1,0)</f>
        <v/>
      </c>
      <c r="E4990" s="14">
        <f>C4990^2*D4990</f>
        <v/>
      </c>
    </row>
    <row r="4991">
      <c r="A4991" s="26" t="n">
        <v>45999</v>
      </c>
      <c r="B4991" s="14" t="inlineStr">
        <is>
          <t>NB-0048</t>
        </is>
      </c>
      <c r="C4991" s="14" t="n">
        <v>38</v>
      </c>
      <c r="D4991" s="14">
        <f>IF(A4991&gt;LastWeek-364,1,0)</f>
        <v/>
      </c>
      <c r="E4991" s="14">
        <f>C4991^2*D4991</f>
        <v/>
      </c>
    </row>
    <row r="4992">
      <c r="A4992" s="26" t="n">
        <v>46006</v>
      </c>
      <c r="B4992" s="14" t="inlineStr">
        <is>
          <t>NB-0048</t>
        </is>
      </c>
      <c r="C4992" s="14" t="n">
        <v>31</v>
      </c>
      <c r="D4992" s="14">
        <f>IF(A4992&gt;LastWeek-364,1,0)</f>
        <v/>
      </c>
      <c r="E4992" s="14">
        <f>C4992^2*D4992</f>
        <v/>
      </c>
    </row>
    <row r="4993">
      <c r="A4993" s="26" t="n">
        <v>46013</v>
      </c>
      <c r="B4993" s="14" t="inlineStr">
        <is>
          <t>NB-0048</t>
        </is>
      </c>
      <c r="C4993" s="14" t="n">
        <v>11</v>
      </c>
      <c r="D4993" s="14">
        <f>IF(A4993&gt;LastWeek-364,1,0)</f>
        <v/>
      </c>
      <c r="E4993" s="14">
        <f>C4993^2*D4993</f>
        <v/>
      </c>
    </row>
    <row r="4994">
      <c r="A4994" s="26" t="n">
        <v>45292</v>
      </c>
      <c r="B4994" s="14" t="inlineStr">
        <is>
          <t>NB-0049</t>
        </is>
      </c>
      <c r="C4994" s="14" t="n">
        <v>23</v>
      </c>
      <c r="D4994" s="14">
        <f>IF(A4994&gt;LastWeek-364,1,0)</f>
        <v/>
      </c>
      <c r="E4994" s="14">
        <f>C4994^2*D4994</f>
        <v/>
      </c>
    </row>
    <row r="4995">
      <c r="A4995" s="26" t="n">
        <v>45299</v>
      </c>
      <c r="B4995" s="14" t="inlineStr">
        <is>
          <t>NB-0049</t>
        </is>
      </c>
      <c r="C4995" s="14" t="n">
        <v>19</v>
      </c>
      <c r="D4995" s="14">
        <f>IF(A4995&gt;LastWeek-364,1,0)</f>
        <v/>
      </c>
      <c r="E4995" s="14">
        <f>C4995^2*D4995</f>
        <v/>
      </c>
    </row>
    <row r="4996">
      <c r="A4996" s="26" t="n">
        <v>45306</v>
      </c>
      <c r="B4996" s="14" t="inlineStr">
        <is>
          <t>NB-0049</t>
        </is>
      </c>
      <c r="C4996" s="14" t="n">
        <v>19</v>
      </c>
      <c r="D4996" s="14">
        <f>IF(A4996&gt;LastWeek-364,1,0)</f>
        <v/>
      </c>
      <c r="E4996" s="14">
        <f>C4996^2*D4996</f>
        <v/>
      </c>
    </row>
    <row r="4997">
      <c r="A4997" s="26" t="n">
        <v>45313</v>
      </c>
      <c r="B4997" s="14" t="inlineStr">
        <is>
          <t>NB-0049</t>
        </is>
      </c>
      <c r="C4997" s="14" t="n">
        <v>23</v>
      </c>
      <c r="D4997" s="14">
        <f>IF(A4997&gt;LastWeek-364,1,0)</f>
        <v/>
      </c>
      <c r="E4997" s="14">
        <f>C4997^2*D4997</f>
        <v/>
      </c>
    </row>
    <row r="4998">
      <c r="A4998" s="26" t="n">
        <v>45320</v>
      </c>
      <c r="B4998" s="14" t="inlineStr">
        <is>
          <t>NB-0049</t>
        </is>
      </c>
      <c r="C4998" s="14" t="n">
        <v>23</v>
      </c>
      <c r="D4998" s="14">
        <f>IF(A4998&gt;LastWeek-364,1,0)</f>
        <v/>
      </c>
      <c r="E4998" s="14">
        <f>C4998^2*D4998</f>
        <v/>
      </c>
    </row>
    <row r="4999">
      <c r="A4999" s="26" t="n">
        <v>45327</v>
      </c>
      <c r="B4999" s="14" t="inlineStr">
        <is>
          <t>NB-0049</t>
        </is>
      </c>
      <c r="C4999" s="14" t="n">
        <v>24</v>
      </c>
      <c r="D4999" s="14">
        <f>IF(A4999&gt;LastWeek-364,1,0)</f>
        <v/>
      </c>
      <c r="E4999" s="14">
        <f>C4999^2*D4999</f>
        <v/>
      </c>
    </row>
    <row r="5000">
      <c r="A5000" s="26" t="n">
        <v>45334</v>
      </c>
      <c r="B5000" s="14" t="inlineStr">
        <is>
          <t>NB-0049</t>
        </is>
      </c>
      <c r="C5000" s="14" t="n">
        <v>23</v>
      </c>
      <c r="D5000" s="14">
        <f>IF(A5000&gt;LastWeek-364,1,0)</f>
        <v/>
      </c>
      <c r="E5000" s="14">
        <f>C5000^2*D5000</f>
        <v/>
      </c>
    </row>
    <row r="5001">
      <c r="A5001" s="26" t="n">
        <v>45341</v>
      </c>
      <c r="B5001" s="14" t="inlineStr">
        <is>
          <t>NB-0049</t>
        </is>
      </c>
      <c r="C5001" s="14" t="n">
        <v>23</v>
      </c>
      <c r="D5001" s="14">
        <f>IF(A5001&gt;LastWeek-364,1,0)</f>
        <v/>
      </c>
      <c r="E5001" s="14">
        <f>C5001^2*D5001</f>
        <v/>
      </c>
    </row>
    <row r="5002">
      <c r="A5002" s="26" t="n">
        <v>45348</v>
      </c>
      <c r="B5002" s="14" t="inlineStr">
        <is>
          <t>NB-0049</t>
        </is>
      </c>
      <c r="C5002" s="14" t="n">
        <v>20</v>
      </c>
      <c r="D5002" s="14">
        <f>IF(A5002&gt;LastWeek-364,1,0)</f>
        <v/>
      </c>
      <c r="E5002" s="14">
        <f>C5002^2*D5002</f>
        <v/>
      </c>
    </row>
    <row r="5003">
      <c r="A5003" s="26" t="n">
        <v>45355</v>
      </c>
      <c r="B5003" s="14" t="inlineStr">
        <is>
          <t>NB-0049</t>
        </is>
      </c>
      <c r="C5003" s="14" t="n">
        <v>22</v>
      </c>
      <c r="D5003" s="14">
        <f>IF(A5003&gt;LastWeek-364,1,0)</f>
        <v/>
      </c>
      <c r="E5003" s="14">
        <f>C5003^2*D5003</f>
        <v/>
      </c>
    </row>
    <row r="5004">
      <c r="A5004" s="26" t="n">
        <v>45362</v>
      </c>
      <c r="B5004" s="14" t="inlineStr">
        <is>
          <t>NB-0049</t>
        </is>
      </c>
      <c r="C5004" s="14" t="n">
        <v>19</v>
      </c>
      <c r="D5004" s="14">
        <f>IF(A5004&gt;LastWeek-364,1,0)</f>
        <v/>
      </c>
      <c r="E5004" s="14">
        <f>C5004^2*D5004</f>
        <v/>
      </c>
    </row>
    <row r="5005">
      <c r="A5005" s="26" t="n">
        <v>45369</v>
      </c>
      <c r="B5005" s="14" t="inlineStr">
        <is>
          <t>NB-0049</t>
        </is>
      </c>
      <c r="C5005" s="14" t="n">
        <v>18</v>
      </c>
      <c r="D5005" s="14">
        <f>IF(A5005&gt;LastWeek-364,1,0)</f>
        <v/>
      </c>
      <c r="E5005" s="14">
        <f>C5005^2*D5005</f>
        <v/>
      </c>
    </row>
    <row r="5006">
      <c r="A5006" s="26" t="n">
        <v>45376</v>
      </c>
      <c r="B5006" s="14" t="inlineStr">
        <is>
          <t>NB-0049</t>
        </is>
      </c>
      <c r="C5006" s="14" t="n">
        <v>24</v>
      </c>
      <c r="D5006" s="14">
        <f>IF(A5006&gt;LastWeek-364,1,0)</f>
        <v/>
      </c>
      <c r="E5006" s="14">
        <f>C5006^2*D5006</f>
        <v/>
      </c>
    </row>
    <row r="5007">
      <c r="A5007" s="26" t="n">
        <v>45383</v>
      </c>
      <c r="B5007" s="14" t="inlineStr">
        <is>
          <t>NB-0049</t>
        </is>
      </c>
      <c r="C5007" s="14" t="n">
        <v>20</v>
      </c>
      <c r="D5007" s="14">
        <f>IF(A5007&gt;LastWeek-364,1,0)</f>
        <v/>
      </c>
      <c r="E5007" s="14">
        <f>C5007^2*D5007</f>
        <v/>
      </c>
    </row>
    <row r="5008">
      <c r="A5008" s="26" t="n">
        <v>45390</v>
      </c>
      <c r="B5008" s="14" t="inlineStr">
        <is>
          <t>NB-0049</t>
        </is>
      </c>
      <c r="C5008" s="14" t="n">
        <v>24</v>
      </c>
      <c r="D5008" s="14">
        <f>IF(A5008&gt;LastWeek-364,1,0)</f>
        <v/>
      </c>
      <c r="E5008" s="14">
        <f>C5008^2*D5008</f>
        <v/>
      </c>
    </row>
    <row r="5009">
      <c r="A5009" s="26" t="n">
        <v>45397</v>
      </c>
      <c r="B5009" s="14" t="inlineStr">
        <is>
          <t>NB-0049</t>
        </is>
      </c>
      <c r="C5009" s="14" t="n">
        <v>25</v>
      </c>
      <c r="D5009" s="14">
        <f>IF(A5009&gt;LastWeek-364,1,0)</f>
        <v/>
      </c>
      <c r="E5009" s="14">
        <f>C5009^2*D5009</f>
        <v/>
      </c>
    </row>
    <row r="5010">
      <c r="A5010" s="26" t="n">
        <v>45404</v>
      </c>
      <c r="B5010" s="14" t="inlineStr">
        <is>
          <t>NB-0049</t>
        </is>
      </c>
      <c r="C5010" s="14" t="n">
        <v>21</v>
      </c>
      <c r="D5010" s="14">
        <f>IF(A5010&gt;LastWeek-364,1,0)</f>
        <v/>
      </c>
      <c r="E5010" s="14">
        <f>C5010^2*D5010</f>
        <v/>
      </c>
    </row>
    <row r="5011">
      <c r="A5011" s="26" t="n">
        <v>45411</v>
      </c>
      <c r="B5011" s="14" t="inlineStr">
        <is>
          <t>NB-0049</t>
        </is>
      </c>
      <c r="C5011" s="14" t="n">
        <v>23</v>
      </c>
      <c r="D5011" s="14">
        <f>IF(A5011&gt;LastWeek-364,1,0)</f>
        <v/>
      </c>
      <c r="E5011" s="14">
        <f>C5011^2*D5011</f>
        <v/>
      </c>
    </row>
    <row r="5012">
      <c r="A5012" s="26" t="n">
        <v>45418</v>
      </c>
      <c r="B5012" s="14" t="inlineStr">
        <is>
          <t>NB-0049</t>
        </is>
      </c>
      <c r="C5012" s="14" t="n">
        <v>21</v>
      </c>
      <c r="D5012" s="14">
        <f>IF(A5012&gt;LastWeek-364,1,0)</f>
        <v/>
      </c>
      <c r="E5012" s="14">
        <f>C5012^2*D5012</f>
        <v/>
      </c>
    </row>
    <row r="5013">
      <c r="A5013" s="26" t="n">
        <v>45425</v>
      </c>
      <c r="B5013" s="14" t="inlineStr">
        <is>
          <t>NB-0049</t>
        </is>
      </c>
      <c r="C5013" s="14" t="n">
        <v>18</v>
      </c>
      <c r="D5013" s="14">
        <f>IF(A5013&gt;LastWeek-364,1,0)</f>
        <v/>
      </c>
      <c r="E5013" s="14">
        <f>C5013^2*D5013</f>
        <v/>
      </c>
    </row>
    <row r="5014">
      <c r="A5014" s="26" t="n">
        <v>45432</v>
      </c>
      <c r="B5014" s="14" t="inlineStr">
        <is>
          <t>NB-0049</t>
        </is>
      </c>
      <c r="C5014" s="14" t="n">
        <v>22</v>
      </c>
      <c r="D5014" s="14">
        <f>IF(A5014&gt;LastWeek-364,1,0)</f>
        <v/>
      </c>
      <c r="E5014" s="14">
        <f>C5014^2*D5014</f>
        <v/>
      </c>
    </row>
    <row r="5015">
      <c r="A5015" s="26" t="n">
        <v>45439</v>
      </c>
      <c r="B5015" s="14" t="inlineStr">
        <is>
          <t>NB-0049</t>
        </is>
      </c>
      <c r="C5015" s="14" t="n">
        <v>21</v>
      </c>
      <c r="D5015" s="14">
        <f>IF(A5015&gt;LastWeek-364,1,0)</f>
        <v/>
      </c>
      <c r="E5015" s="14">
        <f>C5015^2*D5015</f>
        <v/>
      </c>
    </row>
    <row r="5016">
      <c r="A5016" s="26" t="n">
        <v>45446</v>
      </c>
      <c r="B5016" s="14" t="inlineStr">
        <is>
          <t>NB-0049</t>
        </is>
      </c>
      <c r="C5016" s="14" t="n">
        <v>21</v>
      </c>
      <c r="D5016" s="14">
        <f>IF(A5016&gt;LastWeek-364,1,0)</f>
        <v/>
      </c>
      <c r="E5016" s="14">
        <f>C5016^2*D5016</f>
        <v/>
      </c>
    </row>
    <row r="5017">
      <c r="A5017" s="26" t="n">
        <v>45453</v>
      </c>
      <c r="B5017" s="14" t="inlineStr">
        <is>
          <t>NB-0049</t>
        </is>
      </c>
      <c r="C5017" s="14" t="n">
        <v>27</v>
      </c>
      <c r="D5017" s="14">
        <f>IF(A5017&gt;LastWeek-364,1,0)</f>
        <v/>
      </c>
      <c r="E5017" s="14">
        <f>C5017^2*D5017</f>
        <v/>
      </c>
    </row>
    <row r="5018">
      <c r="A5018" s="26" t="n">
        <v>45460</v>
      </c>
      <c r="B5018" s="14" t="inlineStr">
        <is>
          <t>NB-0049</t>
        </is>
      </c>
      <c r="C5018" s="14" t="n">
        <v>19</v>
      </c>
      <c r="D5018" s="14">
        <f>IF(A5018&gt;LastWeek-364,1,0)</f>
        <v/>
      </c>
      <c r="E5018" s="14">
        <f>C5018^2*D5018</f>
        <v/>
      </c>
    </row>
    <row r="5019">
      <c r="A5019" s="26" t="n">
        <v>45467</v>
      </c>
      <c r="B5019" s="14" t="inlineStr">
        <is>
          <t>NB-0049</t>
        </is>
      </c>
      <c r="C5019" s="14" t="n">
        <v>23</v>
      </c>
      <c r="D5019" s="14">
        <f>IF(A5019&gt;LastWeek-364,1,0)</f>
        <v/>
      </c>
      <c r="E5019" s="14">
        <f>C5019^2*D5019</f>
        <v/>
      </c>
    </row>
    <row r="5020">
      <c r="A5020" s="26" t="n">
        <v>45474</v>
      </c>
      <c r="B5020" s="14" t="inlineStr">
        <is>
          <t>NB-0049</t>
        </is>
      </c>
      <c r="C5020" s="14" t="n">
        <v>20</v>
      </c>
      <c r="D5020" s="14">
        <f>IF(A5020&gt;LastWeek-364,1,0)</f>
        <v/>
      </c>
      <c r="E5020" s="14">
        <f>C5020^2*D5020</f>
        <v/>
      </c>
    </row>
    <row r="5021">
      <c r="A5021" s="26" t="n">
        <v>45481</v>
      </c>
      <c r="B5021" s="14" t="inlineStr">
        <is>
          <t>NB-0049</t>
        </is>
      </c>
      <c r="C5021" s="14" t="n">
        <v>24</v>
      </c>
      <c r="D5021" s="14">
        <f>IF(A5021&gt;LastWeek-364,1,0)</f>
        <v/>
      </c>
      <c r="E5021" s="14">
        <f>C5021^2*D5021</f>
        <v/>
      </c>
    </row>
    <row r="5022">
      <c r="A5022" s="26" t="n">
        <v>45488</v>
      </c>
      <c r="B5022" s="14" t="inlineStr">
        <is>
          <t>NB-0049</t>
        </is>
      </c>
      <c r="C5022" s="14" t="n">
        <v>23</v>
      </c>
      <c r="D5022" s="14">
        <f>IF(A5022&gt;LastWeek-364,1,0)</f>
        <v/>
      </c>
      <c r="E5022" s="14">
        <f>C5022^2*D5022</f>
        <v/>
      </c>
    </row>
    <row r="5023">
      <c r="A5023" s="26" t="n">
        <v>45495</v>
      </c>
      <c r="B5023" s="14" t="inlineStr">
        <is>
          <t>NB-0049</t>
        </is>
      </c>
      <c r="C5023" s="14" t="n">
        <v>23</v>
      </c>
      <c r="D5023" s="14">
        <f>IF(A5023&gt;LastWeek-364,1,0)</f>
        <v/>
      </c>
      <c r="E5023" s="14">
        <f>C5023^2*D5023</f>
        <v/>
      </c>
    </row>
    <row r="5024">
      <c r="A5024" s="26" t="n">
        <v>45502</v>
      </c>
      <c r="B5024" s="14" t="inlineStr">
        <is>
          <t>NB-0049</t>
        </is>
      </c>
      <c r="C5024" s="14" t="n">
        <v>20</v>
      </c>
      <c r="D5024" s="14">
        <f>IF(A5024&gt;LastWeek-364,1,0)</f>
        <v/>
      </c>
      <c r="E5024" s="14">
        <f>C5024^2*D5024</f>
        <v/>
      </c>
    </row>
    <row r="5025">
      <c r="A5025" s="26" t="n">
        <v>45509</v>
      </c>
      <c r="B5025" s="14" t="inlineStr">
        <is>
          <t>NB-0049</t>
        </is>
      </c>
      <c r="C5025" s="14" t="n">
        <v>21</v>
      </c>
      <c r="D5025" s="14">
        <f>IF(A5025&gt;LastWeek-364,1,0)</f>
        <v/>
      </c>
      <c r="E5025" s="14">
        <f>C5025^2*D5025</f>
        <v/>
      </c>
    </row>
    <row r="5026">
      <c r="A5026" s="26" t="n">
        <v>45516</v>
      </c>
      <c r="B5026" s="14" t="inlineStr">
        <is>
          <t>NB-0049</t>
        </is>
      </c>
      <c r="C5026" s="14" t="n">
        <v>24</v>
      </c>
      <c r="D5026" s="14">
        <f>IF(A5026&gt;LastWeek-364,1,0)</f>
        <v/>
      </c>
      <c r="E5026" s="14">
        <f>C5026^2*D5026</f>
        <v/>
      </c>
    </row>
    <row r="5027">
      <c r="A5027" s="26" t="n">
        <v>45523</v>
      </c>
      <c r="B5027" s="14" t="inlineStr">
        <is>
          <t>NB-0049</t>
        </is>
      </c>
      <c r="C5027" s="14" t="n">
        <v>26</v>
      </c>
      <c r="D5027" s="14">
        <f>IF(A5027&gt;LastWeek-364,1,0)</f>
        <v/>
      </c>
      <c r="E5027" s="14">
        <f>C5027^2*D5027</f>
        <v/>
      </c>
    </row>
    <row r="5028">
      <c r="A5028" s="26" t="n">
        <v>45530</v>
      </c>
      <c r="B5028" s="14" t="inlineStr">
        <is>
          <t>NB-0049</t>
        </is>
      </c>
      <c r="C5028" s="14" t="n">
        <v>23</v>
      </c>
      <c r="D5028" s="14">
        <f>IF(A5028&gt;LastWeek-364,1,0)</f>
        <v/>
      </c>
      <c r="E5028" s="14">
        <f>C5028^2*D5028</f>
        <v/>
      </c>
    </row>
    <row r="5029">
      <c r="A5029" s="26" t="n">
        <v>45537</v>
      </c>
      <c r="B5029" s="14" t="inlineStr">
        <is>
          <t>NB-0049</t>
        </is>
      </c>
      <c r="C5029" s="14" t="n">
        <v>20</v>
      </c>
      <c r="D5029" s="14">
        <f>IF(A5029&gt;LastWeek-364,1,0)</f>
        <v/>
      </c>
      <c r="E5029" s="14">
        <f>C5029^2*D5029</f>
        <v/>
      </c>
    </row>
    <row r="5030">
      <c r="A5030" s="26" t="n">
        <v>45544</v>
      </c>
      <c r="B5030" s="14" t="inlineStr">
        <is>
          <t>NB-0049</t>
        </is>
      </c>
      <c r="C5030" s="14" t="n">
        <v>23</v>
      </c>
      <c r="D5030" s="14">
        <f>IF(A5030&gt;LastWeek-364,1,0)</f>
        <v/>
      </c>
      <c r="E5030" s="14">
        <f>C5030^2*D5030</f>
        <v/>
      </c>
    </row>
    <row r="5031">
      <c r="A5031" s="26" t="n">
        <v>45551</v>
      </c>
      <c r="B5031" s="14" t="inlineStr">
        <is>
          <t>NB-0049</t>
        </is>
      </c>
      <c r="C5031" s="14" t="n">
        <v>28</v>
      </c>
      <c r="D5031" s="14">
        <f>IF(A5031&gt;LastWeek-364,1,0)</f>
        <v/>
      </c>
      <c r="E5031" s="14">
        <f>C5031^2*D5031</f>
        <v/>
      </c>
    </row>
    <row r="5032">
      <c r="A5032" s="26" t="n">
        <v>45558</v>
      </c>
      <c r="B5032" s="14" t="inlineStr">
        <is>
          <t>NB-0049</t>
        </is>
      </c>
      <c r="C5032" s="14" t="n">
        <v>23</v>
      </c>
      <c r="D5032" s="14">
        <f>IF(A5032&gt;LastWeek-364,1,0)</f>
        <v/>
      </c>
      <c r="E5032" s="14">
        <f>C5032^2*D5032</f>
        <v/>
      </c>
    </row>
    <row r="5033">
      <c r="A5033" s="26" t="n">
        <v>45565</v>
      </c>
      <c r="B5033" s="14" t="inlineStr">
        <is>
          <t>NB-0049</t>
        </is>
      </c>
      <c r="C5033" s="14" t="n">
        <v>26</v>
      </c>
      <c r="D5033" s="14">
        <f>IF(A5033&gt;LastWeek-364,1,0)</f>
        <v/>
      </c>
      <c r="E5033" s="14">
        <f>C5033^2*D5033</f>
        <v/>
      </c>
    </row>
    <row r="5034">
      <c r="A5034" s="26" t="n">
        <v>45572</v>
      </c>
      <c r="B5034" s="14" t="inlineStr">
        <is>
          <t>NB-0049</t>
        </is>
      </c>
      <c r="C5034" s="14" t="n">
        <v>21</v>
      </c>
      <c r="D5034" s="14">
        <f>IF(A5034&gt;LastWeek-364,1,0)</f>
        <v/>
      </c>
      <c r="E5034" s="14">
        <f>C5034^2*D5034</f>
        <v/>
      </c>
    </row>
    <row r="5035">
      <c r="A5035" s="26" t="n">
        <v>45579</v>
      </c>
      <c r="B5035" s="14" t="inlineStr">
        <is>
          <t>NB-0049</t>
        </is>
      </c>
      <c r="C5035" s="14" t="n">
        <v>22</v>
      </c>
      <c r="D5035" s="14">
        <f>IF(A5035&gt;LastWeek-364,1,0)</f>
        <v/>
      </c>
      <c r="E5035" s="14">
        <f>C5035^2*D5035</f>
        <v/>
      </c>
    </row>
    <row r="5036">
      <c r="A5036" s="26" t="n">
        <v>45586</v>
      </c>
      <c r="B5036" s="14" t="inlineStr">
        <is>
          <t>NB-0049</t>
        </is>
      </c>
      <c r="C5036" s="14" t="n">
        <v>24</v>
      </c>
      <c r="D5036" s="14">
        <f>IF(A5036&gt;LastWeek-364,1,0)</f>
        <v/>
      </c>
      <c r="E5036" s="14">
        <f>C5036^2*D5036</f>
        <v/>
      </c>
    </row>
    <row r="5037">
      <c r="A5037" s="26" t="n">
        <v>45593</v>
      </c>
      <c r="B5037" s="14" t="inlineStr">
        <is>
          <t>NB-0049</t>
        </is>
      </c>
      <c r="C5037" s="14" t="n">
        <v>23</v>
      </c>
      <c r="D5037" s="14">
        <f>IF(A5037&gt;LastWeek-364,1,0)</f>
        <v/>
      </c>
      <c r="E5037" s="14">
        <f>C5037^2*D5037</f>
        <v/>
      </c>
    </row>
    <row r="5038">
      <c r="A5038" s="26" t="n">
        <v>45600</v>
      </c>
      <c r="B5038" s="14" t="inlineStr">
        <is>
          <t>NB-0049</t>
        </is>
      </c>
      <c r="C5038" s="14" t="n">
        <v>21</v>
      </c>
      <c r="D5038" s="14">
        <f>IF(A5038&gt;LastWeek-364,1,0)</f>
        <v/>
      </c>
      <c r="E5038" s="14">
        <f>C5038^2*D5038</f>
        <v/>
      </c>
    </row>
    <row r="5039">
      <c r="A5039" s="26" t="n">
        <v>45607</v>
      </c>
      <c r="B5039" s="14" t="inlineStr">
        <is>
          <t>NB-0049</t>
        </is>
      </c>
      <c r="C5039" s="14" t="n">
        <v>21</v>
      </c>
      <c r="D5039" s="14">
        <f>IF(A5039&gt;LastWeek-364,1,0)</f>
        <v/>
      </c>
      <c r="E5039" s="14">
        <f>C5039^2*D5039</f>
        <v/>
      </c>
    </row>
    <row r="5040">
      <c r="A5040" s="26" t="n">
        <v>45614</v>
      </c>
      <c r="B5040" s="14" t="inlineStr">
        <is>
          <t>NB-0049</t>
        </is>
      </c>
      <c r="C5040" s="14" t="n">
        <v>25</v>
      </c>
      <c r="D5040" s="14">
        <f>IF(A5040&gt;LastWeek-364,1,0)</f>
        <v/>
      </c>
      <c r="E5040" s="14">
        <f>C5040^2*D5040</f>
        <v/>
      </c>
    </row>
    <row r="5041">
      <c r="A5041" s="26" t="n">
        <v>45621</v>
      </c>
      <c r="B5041" s="14" t="inlineStr">
        <is>
          <t>NB-0049</t>
        </is>
      </c>
      <c r="C5041" s="14" t="n">
        <v>25</v>
      </c>
      <c r="D5041" s="14">
        <f>IF(A5041&gt;LastWeek-364,1,0)</f>
        <v/>
      </c>
      <c r="E5041" s="14">
        <f>C5041^2*D5041</f>
        <v/>
      </c>
    </row>
    <row r="5042">
      <c r="A5042" s="26" t="n">
        <v>45628</v>
      </c>
      <c r="B5042" s="14" t="inlineStr">
        <is>
          <t>NB-0049</t>
        </is>
      </c>
      <c r="C5042" s="14" t="n">
        <v>26</v>
      </c>
      <c r="D5042" s="14">
        <f>IF(A5042&gt;LastWeek-364,1,0)</f>
        <v/>
      </c>
      <c r="E5042" s="14">
        <f>C5042^2*D5042</f>
        <v/>
      </c>
    </row>
    <row r="5043">
      <c r="A5043" s="26" t="n">
        <v>45635</v>
      </c>
      <c r="B5043" s="14" t="inlineStr">
        <is>
          <t>NB-0049</t>
        </is>
      </c>
      <c r="C5043" s="14" t="n">
        <v>26</v>
      </c>
      <c r="D5043" s="14">
        <f>IF(A5043&gt;LastWeek-364,1,0)</f>
        <v/>
      </c>
      <c r="E5043" s="14">
        <f>C5043^2*D5043</f>
        <v/>
      </c>
    </row>
    <row r="5044">
      <c r="A5044" s="26" t="n">
        <v>45642</v>
      </c>
      <c r="B5044" s="14" t="inlineStr">
        <is>
          <t>NB-0049</t>
        </is>
      </c>
      <c r="C5044" s="14" t="n">
        <v>23</v>
      </c>
      <c r="D5044" s="14">
        <f>IF(A5044&gt;LastWeek-364,1,0)</f>
        <v/>
      </c>
      <c r="E5044" s="14">
        <f>C5044^2*D5044</f>
        <v/>
      </c>
    </row>
    <row r="5045">
      <c r="A5045" s="26" t="n">
        <v>45649</v>
      </c>
      <c r="B5045" s="14" t="inlineStr">
        <is>
          <t>NB-0049</t>
        </is>
      </c>
      <c r="C5045" s="14" t="n">
        <v>22</v>
      </c>
      <c r="D5045" s="14">
        <f>IF(A5045&gt;LastWeek-364,1,0)</f>
        <v/>
      </c>
      <c r="E5045" s="14">
        <f>C5045^2*D5045</f>
        <v/>
      </c>
    </row>
    <row r="5046">
      <c r="A5046" s="26" t="n">
        <v>45656</v>
      </c>
      <c r="B5046" s="14" t="inlineStr">
        <is>
          <t>NB-0049</t>
        </is>
      </c>
      <c r="C5046" s="14" t="n">
        <v>25</v>
      </c>
      <c r="D5046" s="14">
        <f>IF(A5046&gt;LastWeek-364,1,0)</f>
        <v/>
      </c>
      <c r="E5046" s="14">
        <f>C5046^2*D5046</f>
        <v/>
      </c>
    </row>
    <row r="5047">
      <c r="A5047" s="26" t="n">
        <v>45663</v>
      </c>
      <c r="B5047" s="14" t="inlineStr">
        <is>
          <t>NB-0049</t>
        </is>
      </c>
      <c r="C5047" s="14" t="n">
        <v>24</v>
      </c>
      <c r="D5047" s="14">
        <f>IF(A5047&gt;LastWeek-364,1,0)</f>
        <v/>
      </c>
      <c r="E5047" s="14">
        <f>C5047^2*D5047</f>
        <v/>
      </c>
    </row>
    <row r="5048">
      <c r="A5048" s="26" t="n">
        <v>45670</v>
      </c>
      <c r="B5048" s="14" t="inlineStr">
        <is>
          <t>NB-0049</t>
        </is>
      </c>
      <c r="C5048" s="14" t="n">
        <v>20</v>
      </c>
      <c r="D5048" s="14">
        <f>IF(A5048&gt;LastWeek-364,1,0)</f>
        <v/>
      </c>
      <c r="E5048" s="14">
        <f>C5048^2*D5048</f>
        <v/>
      </c>
    </row>
    <row r="5049">
      <c r="A5049" s="26" t="n">
        <v>45677</v>
      </c>
      <c r="B5049" s="14" t="inlineStr">
        <is>
          <t>NB-0049</t>
        </is>
      </c>
      <c r="C5049" s="14" t="n">
        <v>20</v>
      </c>
      <c r="D5049" s="14">
        <f>IF(A5049&gt;LastWeek-364,1,0)</f>
        <v/>
      </c>
      <c r="E5049" s="14">
        <f>C5049^2*D5049</f>
        <v/>
      </c>
    </row>
    <row r="5050">
      <c r="A5050" s="26" t="n">
        <v>45684</v>
      </c>
      <c r="B5050" s="14" t="inlineStr">
        <is>
          <t>NB-0049</t>
        </is>
      </c>
      <c r="C5050" s="14" t="n">
        <v>24</v>
      </c>
      <c r="D5050" s="14">
        <f>IF(A5050&gt;LastWeek-364,1,0)</f>
        <v/>
      </c>
      <c r="E5050" s="14">
        <f>C5050^2*D5050</f>
        <v/>
      </c>
    </row>
    <row r="5051">
      <c r="A5051" s="26" t="n">
        <v>45691</v>
      </c>
      <c r="B5051" s="14" t="inlineStr">
        <is>
          <t>NB-0049</t>
        </is>
      </c>
      <c r="C5051" s="14" t="n">
        <v>22</v>
      </c>
      <c r="D5051" s="14">
        <f>IF(A5051&gt;LastWeek-364,1,0)</f>
        <v/>
      </c>
      <c r="E5051" s="14">
        <f>C5051^2*D5051</f>
        <v/>
      </c>
    </row>
    <row r="5052">
      <c r="A5052" s="26" t="n">
        <v>45698</v>
      </c>
      <c r="B5052" s="14" t="inlineStr">
        <is>
          <t>NB-0049</t>
        </is>
      </c>
      <c r="C5052" s="14" t="n">
        <v>22</v>
      </c>
      <c r="D5052" s="14">
        <f>IF(A5052&gt;LastWeek-364,1,0)</f>
        <v/>
      </c>
      <c r="E5052" s="14">
        <f>C5052^2*D5052</f>
        <v/>
      </c>
    </row>
    <row r="5053">
      <c r="A5053" s="26" t="n">
        <v>45705</v>
      </c>
      <c r="B5053" s="14" t="inlineStr">
        <is>
          <t>NB-0049</t>
        </is>
      </c>
      <c r="C5053" s="14" t="n">
        <v>25</v>
      </c>
      <c r="D5053" s="14">
        <f>IF(A5053&gt;LastWeek-364,1,0)</f>
        <v/>
      </c>
      <c r="E5053" s="14">
        <f>C5053^2*D5053</f>
        <v/>
      </c>
    </row>
    <row r="5054">
      <c r="A5054" s="26" t="n">
        <v>45712</v>
      </c>
      <c r="B5054" s="14" t="inlineStr">
        <is>
          <t>NB-0049</t>
        </is>
      </c>
      <c r="C5054" s="14" t="n">
        <v>24</v>
      </c>
      <c r="D5054" s="14">
        <f>IF(A5054&gt;LastWeek-364,1,0)</f>
        <v/>
      </c>
      <c r="E5054" s="14">
        <f>C5054^2*D5054</f>
        <v/>
      </c>
    </row>
    <row r="5055">
      <c r="A5055" s="26" t="n">
        <v>45719</v>
      </c>
      <c r="B5055" s="14" t="inlineStr">
        <is>
          <t>NB-0049</t>
        </is>
      </c>
      <c r="C5055" s="14" t="n">
        <v>26</v>
      </c>
      <c r="D5055" s="14">
        <f>IF(A5055&gt;LastWeek-364,1,0)</f>
        <v/>
      </c>
      <c r="E5055" s="14">
        <f>C5055^2*D5055</f>
        <v/>
      </c>
    </row>
    <row r="5056">
      <c r="A5056" s="26" t="n">
        <v>45726</v>
      </c>
      <c r="B5056" s="14" t="inlineStr">
        <is>
          <t>NB-0049</t>
        </is>
      </c>
      <c r="C5056" s="14" t="n">
        <v>18</v>
      </c>
      <c r="D5056" s="14">
        <f>IF(A5056&gt;LastWeek-364,1,0)</f>
        <v/>
      </c>
      <c r="E5056" s="14">
        <f>C5056^2*D5056</f>
        <v/>
      </c>
    </row>
    <row r="5057">
      <c r="A5057" s="26" t="n">
        <v>45733</v>
      </c>
      <c r="B5057" s="14" t="inlineStr">
        <is>
          <t>NB-0049</t>
        </is>
      </c>
      <c r="C5057" s="14" t="n">
        <v>23</v>
      </c>
      <c r="D5057" s="14">
        <f>IF(A5057&gt;LastWeek-364,1,0)</f>
        <v/>
      </c>
      <c r="E5057" s="14">
        <f>C5057^2*D5057</f>
        <v/>
      </c>
    </row>
    <row r="5058">
      <c r="A5058" s="26" t="n">
        <v>45740</v>
      </c>
      <c r="B5058" s="14" t="inlineStr">
        <is>
          <t>NB-0049</t>
        </is>
      </c>
      <c r="C5058" s="14" t="n">
        <v>24</v>
      </c>
      <c r="D5058" s="14">
        <f>IF(A5058&gt;LastWeek-364,1,0)</f>
        <v/>
      </c>
      <c r="E5058" s="14">
        <f>C5058^2*D5058</f>
        <v/>
      </c>
    </row>
    <row r="5059">
      <c r="A5059" s="26" t="n">
        <v>45747</v>
      </c>
      <c r="B5059" s="14" t="inlineStr">
        <is>
          <t>NB-0049</t>
        </is>
      </c>
      <c r="C5059" s="14" t="n">
        <v>19</v>
      </c>
      <c r="D5059" s="14">
        <f>IF(A5059&gt;LastWeek-364,1,0)</f>
        <v/>
      </c>
      <c r="E5059" s="14">
        <f>C5059^2*D5059</f>
        <v/>
      </c>
    </row>
    <row r="5060">
      <c r="A5060" s="26" t="n">
        <v>45754</v>
      </c>
      <c r="B5060" s="14" t="inlineStr">
        <is>
          <t>NB-0049</t>
        </is>
      </c>
      <c r="C5060" s="14" t="n">
        <v>21</v>
      </c>
      <c r="D5060" s="14">
        <f>IF(A5060&gt;LastWeek-364,1,0)</f>
        <v/>
      </c>
      <c r="E5060" s="14">
        <f>C5060^2*D5060</f>
        <v/>
      </c>
    </row>
    <row r="5061">
      <c r="A5061" s="26" t="n">
        <v>45761</v>
      </c>
      <c r="B5061" s="14" t="inlineStr">
        <is>
          <t>NB-0049</t>
        </is>
      </c>
      <c r="C5061" s="14" t="n">
        <v>21</v>
      </c>
      <c r="D5061" s="14">
        <f>IF(A5061&gt;LastWeek-364,1,0)</f>
        <v/>
      </c>
      <c r="E5061" s="14">
        <f>C5061^2*D5061</f>
        <v/>
      </c>
    </row>
    <row r="5062">
      <c r="A5062" s="26" t="n">
        <v>45768</v>
      </c>
      <c r="B5062" s="14" t="inlineStr">
        <is>
          <t>NB-0049</t>
        </is>
      </c>
      <c r="C5062" s="14" t="n">
        <v>23</v>
      </c>
      <c r="D5062" s="14">
        <f>IF(A5062&gt;LastWeek-364,1,0)</f>
        <v/>
      </c>
      <c r="E5062" s="14">
        <f>C5062^2*D5062</f>
        <v/>
      </c>
    </row>
    <row r="5063">
      <c r="A5063" s="26" t="n">
        <v>45775</v>
      </c>
      <c r="B5063" s="14" t="inlineStr">
        <is>
          <t>NB-0049</t>
        </is>
      </c>
      <c r="C5063" s="14" t="n">
        <v>26</v>
      </c>
      <c r="D5063" s="14">
        <f>IF(A5063&gt;LastWeek-364,1,0)</f>
        <v/>
      </c>
      <c r="E5063" s="14">
        <f>C5063^2*D5063</f>
        <v/>
      </c>
    </row>
    <row r="5064">
      <c r="A5064" s="26" t="n">
        <v>45782</v>
      </c>
      <c r="B5064" s="14" t="inlineStr">
        <is>
          <t>NB-0049</t>
        </is>
      </c>
      <c r="C5064" s="14" t="n">
        <v>27</v>
      </c>
      <c r="D5064" s="14">
        <f>IF(A5064&gt;LastWeek-364,1,0)</f>
        <v/>
      </c>
      <c r="E5064" s="14">
        <f>C5064^2*D5064</f>
        <v/>
      </c>
    </row>
    <row r="5065">
      <c r="A5065" s="26" t="n">
        <v>45789</v>
      </c>
      <c r="B5065" s="14" t="inlineStr">
        <is>
          <t>NB-0049</t>
        </is>
      </c>
      <c r="C5065" s="14" t="n">
        <v>21</v>
      </c>
      <c r="D5065" s="14">
        <f>IF(A5065&gt;LastWeek-364,1,0)</f>
        <v/>
      </c>
      <c r="E5065" s="14">
        <f>C5065^2*D5065</f>
        <v/>
      </c>
    </row>
    <row r="5066">
      <c r="A5066" s="26" t="n">
        <v>45796</v>
      </c>
      <c r="B5066" s="14" t="inlineStr">
        <is>
          <t>NB-0049</t>
        </is>
      </c>
      <c r="C5066" s="14" t="n">
        <v>24</v>
      </c>
      <c r="D5066" s="14">
        <f>IF(A5066&gt;LastWeek-364,1,0)</f>
        <v/>
      </c>
      <c r="E5066" s="14">
        <f>C5066^2*D5066</f>
        <v/>
      </c>
    </row>
    <row r="5067">
      <c r="A5067" s="26" t="n">
        <v>45803</v>
      </c>
      <c r="B5067" s="14" t="inlineStr">
        <is>
          <t>NB-0049</t>
        </is>
      </c>
      <c r="C5067" s="14" t="n">
        <v>24</v>
      </c>
      <c r="D5067" s="14">
        <f>IF(A5067&gt;LastWeek-364,1,0)</f>
        <v/>
      </c>
      <c r="E5067" s="14">
        <f>C5067^2*D5067</f>
        <v/>
      </c>
    </row>
    <row r="5068">
      <c r="A5068" s="26" t="n">
        <v>45810</v>
      </c>
      <c r="B5068" s="14" t="inlineStr">
        <is>
          <t>NB-0049</t>
        </is>
      </c>
      <c r="C5068" s="14" t="n">
        <v>24</v>
      </c>
      <c r="D5068" s="14">
        <f>IF(A5068&gt;LastWeek-364,1,0)</f>
        <v/>
      </c>
      <c r="E5068" s="14">
        <f>C5068^2*D5068</f>
        <v/>
      </c>
    </row>
    <row r="5069">
      <c r="A5069" s="26" t="n">
        <v>45817</v>
      </c>
      <c r="B5069" s="14" t="inlineStr">
        <is>
          <t>NB-0049</t>
        </is>
      </c>
      <c r="C5069" s="14" t="n">
        <v>24</v>
      </c>
      <c r="D5069" s="14">
        <f>IF(A5069&gt;LastWeek-364,1,0)</f>
        <v/>
      </c>
      <c r="E5069" s="14">
        <f>C5069^2*D5069</f>
        <v/>
      </c>
    </row>
    <row r="5070">
      <c r="A5070" s="26" t="n">
        <v>45824</v>
      </c>
      <c r="B5070" s="14" t="inlineStr">
        <is>
          <t>NB-0049</t>
        </is>
      </c>
      <c r="C5070" s="14" t="n">
        <v>23</v>
      </c>
      <c r="D5070" s="14">
        <f>IF(A5070&gt;LastWeek-364,1,0)</f>
        <v/>
      </c>
      <c r="E5070" s="14">
        <f>C5070^2*D5070</f>
        <v/>
      </c>
    </row>
    <row r="5071">
      <c r="A5071" s="26" t="n">
        <v>45831</v>
      </c>
      <c r="B5071" s="14" t="inlineStr">
        <is>
          <t>NB-0049</t>
        </is>
      </c>
      <c r="C5071" s="14" t="n">
        <v>26</v>
      </c>
      <c r="D5071" s="14">
        <f>IF(A5071&gt;LastWeek-364,1,0)</f>
        <v/>
      </c>
      <c r="E5071" s="14">
        <f>C5071^2*D5071</f>
        <v/>
      </c>
    </row>
    <row r="5072">
      <c r="A5072" s="26" t="n">
        <v>45838</v>
      </c>
      <c r="B5072" s="14" t="inlineStr">
        <is>
          <t>NB-0049</t>
        </is>
      </c>
      <c r="C5072" s="14" t="n">
        <v>25</v>
      </c>
      <c r="D5072" s="14">
        <f>IF(A5072&gt;LastWeek-364,1,0)</f>
        <v/>
      </c>
      <c r="E5072" s="14">
        <f>C5072^2*D5072</f>
        <v/>
      </c>
    </row>
    <row r="5073">
      <c r="A5073" s="26" t="n">
        <v>45845</v>
      </c>
      <c r="B5073" s="14" t="inlineStr">
        <is>
          <t>NB-0049</t>
        </is>
      </c>
      <c r="C5073" s="14" t="n">
        <v>20</v>
      </c>
      <c r="D5073" s="14">
        <f>IF(A5073&gt;LastWeek-364,1,0)</f>
        <v/>
      </c>
      <c r="E5073" s="14">
        <f>C5073^2*D5073</f>
        <v/>
      </c>
    </row>
    <row r="5074">
      <c r="A5074" s="26" t="n">
        <v>45852</v>
      </c>
      <c r="B5074" s="14" t="inlineStr">
        <is>
          <t>NB-0049</t>
        </is>
      </c>
      <c r="C5074" s="14" t="n">
        <v>24</v>
      </c>
      <c r="D5074" s="14">
        <f>IF(A5074&gt;LastWeek-364,1,0)</f>
        <v/>
      </c>
      <c r="E5074" s="14">
        <f>C5074^2*D5074</f>
        <v/>
      </c>
    </row>
    <row r="5075">
      <c r="A5075" s="26" t="n">
        <v>45859</v>
      </c>
      <c r="B5075" s="14" t="inlineStr">
        <is>
          <t>NB-0049</t>
        </is>
      </c>
      <c r="C5075" s="14" t="n">
        <v>25</v>
      </c>
      <c r="D5075" s="14">
        <f>IF(A5075&gt;LastWeek-364,1,0)</f>
        <v/>
      </c>
      <c r="E5075" s="14">
        <f>C5075^2*D5075</f>
        <v/>
      </c>
    </row>
    <row r="5076">
      <c r="A5076" s="26" t="n">
        <v>45866</v>
      </c>
      <c r="B5076" s="14" t="inlineStr">
        <is>
          <t>NB-0049</t>
        </is>
      </c>
      <c r="C5076" s="14" t="n">
        <v>23</v>
      </c>
      <c r="D5076" s="14">
        <f>IF(A5076&gt;LastWeek-364,1,0)</f>
        <v/>
      </c>
      <c r="E5076" s="14">
        <f>C5076^2*D5076</f>
        <v/>
      </c>
    </row>
    <row r="5077">
      <c r="A5077" s="26" t="n">
        <v>45873</v>
      </c>
      <c r="B5077" s="14" t="inlineStr">
        <is>
          <t>NB-0049</t>
        </is>
      </c>
      <c r="C5077" s="14" t="n">
        <v>25</v>
      </c>
      <c r="D5077" s="14">
        <f>IF(A5077&gt;LastWeek-364,1,0)</f>
        <v/>
      </c>
      <c r="E5077" s="14">
        <f>C5077^2*D5077</f>
        <v/>
      </c>
    </row>
    <row r="5078">
      <c r="A5078" s="26" t="n">
        <v>45880</v>
      </c>
      <c r="B5078" s="14" t="inlineStr">
        <is>
          <t>NB-0049</t>
        </is>
      </c>
      <c r="C5078" s="14" t="n">
        <v>23</v>
      </c>
      <c r="D5078" s="14">
        <f>IF(A5078&gt;LastWeek-364,1,0)</f>
        <v/>
      </c>
      <c r="E5078" s="14">
        <f>C5078^2*D5078</f>
        <v/>
      </c>
    </row>
    <row r="5079">
      <c r="A5079" s="26" t="n">
        <v>45887</v>
      </c>
      <c r="B5079" s="14" t="inlineStr">
        <is>
          <t>NB-0049</t>
        </is>
      </c>
      <c r="C5079" s="14" t="n">
        <v>23</v>
      </c>
      <c r="D5079" s="14">
        <f>IF(A5079&gt;LastWeek-364,1,0)</f>
        <v/>
      </c>
      <c r="E5079" s="14">
        <f>C5079^2*D5079</f>
        <v/>
      </c>
    </row>
    <row r="5080">
      <c r="A5080" s="26" t="n">
        <v>45894</v>
      </c>
      <c r="B5080" s="14" t="inlineStr">
        <is>
          <t>NB-0049</t>
        </is>
      </c>
      <c r="C5080" s="14" t="n">
        <v>23</v>
      </c>
      <c r="D5080" s="14">
        <f>IF(A5080&gt;LastWeek-364,1,0)</f>
        <v/>
      </c>
      <c r="E5080" s="14">
        <f>C5080^2*D5080</f>
        <v/>
      </c>
    </row>
    <row r="5081">
      <c r="A5081" s="26" t="n">
        <v>45901</v>
      </c>
      <c r="B5081" s="14" t="inlineStr">
        <is>
          <t>NB-0049</t>
        </is>
      </c>
      <c r="C5081" s="14" t="n">
        <v>18</v>
      </c>
      <c r="D5081" s="14">
        <f>IF(A5081&gt;LastWeek-364,1,0)</f>
        <v/>
      </c>
      <c r="E5081" s="14">
        <f>C5081^2*D5081</f>
        <v/>
      </c>
    </row>
    <row r="5082">
      <c r="A5082" s="26" t="n">
        <v>45908</v>
      </c>
      <c r="B5082" s="14" t="inlineStr">
        <is>
          <t>NB-0049</t>
        </is>
      </c>
      <c r="C5082" s="14" t="n">
        <v>23</v>
      </c>
      <c r="D5082" s="14">
        <f>IF(A5082&gt;LastWeek-364,1,0)</f>
        <v/>
      </c>
      <c r="E5082" s="14">
        <f>C5082^2*D5082</f>
        <v/>
      </c>
    </row>
    <row r="5083">
      <c r="A5083" s="26" t="n">
        <v>45915</v>
      </c>
      <c r="B5083" s="14" t="inlineStr">
        <is>
          <t>NB-0049</t>
        </is>
      </c>
      <c r="C5083" s="14" t="n">
        <v>21</v>
      </c>
      <c r="D5083" s="14">
        <f>IF(A5083&gt;LastWeek-364,1,0)</f>
        <v/>
      </c>
      <c r="E5083" s="14">
        <f>C5083^2*D5083</f>
        <v/>
      </c>
    </row>
    <row r="5084">
      <c r="A5084" s="26" t="n">
        <v>45922</v>
      </c>
      <c r="B5084" s="14" t="inlineStr">
        <is>
          <t>NB-0049</t>
        </is>
      </c>
      <c r="C5084" s="14" t="n">
        <v>20</v>
      </c>
      <c r="D5084" s="14">
        <f>IF(A5084&gt;LastWeek-364,1,0)</f>
        <v/>
      </c>
      <c r="E5084" s="14">
        <f>C5084^2*D5084</f>
        <v/>
      </c>
    </row>
    <row r="5085">
      <c r="A5085" s="26" t="n">
        <v>45929</v>
      </c>
      <c r="B5085" s="14" t="inlineStr">
        <is>
          <t>NB-0049</t>
        </is>
      </c>
      <c r="C5085" s="14" t="n">
        <v>26</v>
      </c>
      <c r="D5085" s="14">
        <f>IF(A5085&gt;LastWeek-364,1,0)</f>
        <v/>
      </c>
      <c r="E5085" s="14">
        <f>C5085^2*D5085</f>
        <v/>
      </c>
    </row>
    <row r="5086">
      <c r="A5086" s="26" t="n">
        <v>45936</v>
      </c>
      <c r="B5086" s="14" t="inlineStr">
        <is>
          <t>NB-0049</t>
        </is>
      </c>
      <c r="C5086" s="14" t="n">
        <v>24</v>
      </c>
      <c r="D5086" s="14">
        <f>IF(A5086&gt;LastWeek-364,1,0)</f>
        <v/>
      </c>
      <c r="E5086" s="14">
        <f>C5086^2*D5086</f>
        <v/>
      </c>
    </row>
    <row r="5087">
      <c r="A5087" s="26" t="n">
        <v>45943</v>
      </c>
      <c r="B5087" s="14" t="inlineStr">
        <is>
          <t>NB-0049</t>
        </is>
      </c>
      <c r="C5087" s="14" t="n">
        <v>23</v>
      </c>
      <c r="D5087" s="14">
        <f>IF(A5087&gt;LastWeek-364,1,0)</f>
        <v/>
      </c>
      <c r="E5087" s="14">
        <f>C5087^2*D5087</f>
        <v/>
      </c>
    </row>
    <row r="5088">
      <c r="A5088" s="26" t="n">
        <v>45950</v>
      </c>
      <c r="B5088" s="14" t="inlineStr">
        <is>
          <t>NB-0049</t>
        </is>
      </c>
      <c r="C5088" s="14" t="n">
        <v>22</v>
      </c>
      <c r="D5088" s="14">
        <f>IF(A5088&gt;LastWeek-364,1,0)</f>
        <v/>
      </c>
      <c r="E5088" s="14">
        <f>C5088^2*D5088</f>
        <v/>
      </c>
    </row>
    <row r="5089">
      <c r="A5089" s="26" t="n">
        <v>45957</v>
      </c>
      <c r="B5089" s="14" t="inlineStr">
        <is>
          <t>NB-0049</t>
        </is>
      </c>
      <c r="C5089" s="14" t="n">
        <v>23</v>
      </c>
      <c r="D5089" s="14">
        <f>IF(A5089&gt;LastWeek-364,1,0)</f>
        <v/>
      </c>
      <c r="E5089" s="14">
        <f>C5089^2*D5089</f>
        <v/>
      </c>
    </row>
    <row r="5090">
      <c r="A5090" s="26" t="n">
        <v>45964</v>
      </c>
      <c r="B5090" s="14" t="inlineStr">
        <is>
          <t>NB-0049</t>
        </is>
      </c>
      <c r="C5090" s="14" t="n">
        <v>25</v>
      </c>
      <c r="D5090" s="14">
        <f>IF(A5090&gt;LastWeek-364,1,0)</f>
        <v/>
      </c>
      <c r="E5090" s="14">
        <f>C5090^2*D5090</f>
        <v/>
      </c>
    </row>
    <row r="5091">
      <c r="A5091" s="26" t="n">
        <v>45971</v>
      </c>
      <c r="B5091" s="14" t="inlineStr">
        <is>
          <t>NB-0049</t>
        </is>
      </c>
      <c r="C5091" s="14" t="n">
        <v>21</v>
      </c>
      <c r="D5091" s="14">
        <f>IF(A5091&gt;LastWeek-364,1,0)</f>
        <v/>
      </c>
      <c r="E5091" s="14">
        <f>C5091^2*D5091</f>
        <v/>
      </c>
    </row>
    <row r="5092">
      <c r="A5092" s="26" t="n">
        <v>45978</v>
      </c>
      <c r="B5092" s="14" t="inlineStr">
        <is>
          <t>NB-0049</t>
        </is>
      </c>
      <c r="C5092" s="14" t="n">
        <v>23</v>
      </c>
      <c r="D5092" s="14">
        <f>IF(A5092&gt;LastWeek-364,1,0)</f>
        <v/>
      </c>
      <c r="E5092" s="14">
        <f>C5092^2*D5092</f>
        <v/>
      </c>
    </row>
    <row r="5093">
      <c r="A5093" s="26" t="n">
        <v>45985</v>
      </c>
      <c r="B5093" s="14" t="inlineStr">
        <is>
          <t>NB-0049</t>
        </is>
      </c>
      <c r="C5093" s="14" t="n">
        <v>25</v>
      </c>
      <c r="D5093" s="14">
        <f>IF(A5093&gt;LastWeek-364,1,0)</f>
        <v/>
      </c>
      <c r="E5093" s="14">
        <f>C5093^2*D5093</f>
        <v/>
      </c>
    </row>
    <row r="5094">
      <c r="A5094" s="26" t="n">
        <v>45992</v>
      </c>
      <c r="B5094" s="14" t="inlineStr">
        <is>
          <t>NB-0049</t>
        </is>
      </c>
      <c r="C5094" s="14" t="n">
        <v>18</v>
      </c>
      <c r="D5094" s="14">
        <f>IF(A5094&gt;LastWeek-364,1,0)</f>
        <v/>
      </c>
      <c r="E5094" s="14">
        <f>C5094^2*D5094</f>
        <v/>
      </c>
    </row>
    <row r="5095">
      <c r="A5095" s="26" t="n">
        <v>45999</v>
      </c>
      <c r="B5095" s="14" t="inlineStr">
        <is>
          <t>NB-0049</t>
        </is>
      </c>
      <c r="C5095" s="14" t="n">
        <v>23</v>
      </c>
      <c r="D5095" s="14">
        <f>IF(A5095&gt;LastWeek-364,1,0)</f>
        <v/>
      </c>
      <c r="E5095" s="14">
        <f>C5095^2*D5095</f>
        <v/>
      </c>
    </row>
    <row r="5096">
      <c r="A5096" s="26" t="n">
        <v>46006</v>
      </c>
      <c r="B5096" s="14" t="inlineStr">
        <is>
          <t>NB-0049</t>
        </is>
      </c>
      <c r="C5096" s="14" t="n">
        <v>22</v>
      </c>
      <c r="D5096" s="14">
        <f>IF(A5096&gt;LastWeek-364,1,0)</f>
        <v/>
      </c>
      <c r="E5096" s="14">
        <f>C5096^2*D5096</f>
        <v/>
      </c>
    </row>
    <row r="5097">
      <c r="A5097" s="26" t="n">
        <v>46013</v>
      </c>
      <c r="B5097" s="14" t="inlineStr">
        <is>
          <t>NB-0049</t>
        </is>
      </c>
      <c r="C5097" s="14" t="n">
        <v>23</v>
      </c>
      <c r="D5097" s="14">
        <f>IF(A5097&gt;LastWeek-364,1,0)</f>
        <v/>
      </c>
      <c r="E5097" s="14">
        <f>C5097^2*D5097</f>
        <v/>
      </c>
    </row>
  </sheetData>
  <autoFilter ref="A1:E509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2" customWidth="1" min="5" max="5"/>
    <col width="12" customWidth="1" min="6" max="6"/>
    <col width="11" customWidth="1" min="7" max="7"/>
    <col width="11" customWidth="1" min="8" max="8"/>
    <col width="11" customWidth="1" min="9" max="9"/>
    <col width="13" customWidth="1" min="10" max="10"/>
    <col width="11" customWidth="1" min="11" max="11"/>
    <col width="11" customWidth="1" min="12" max="12"/>
    <col width="11" customWidth="1" min="13" max="13"/>
    <col width="10" customWidth="1" min="14" max="14"/>
  </cols>
  <sheetData>
    <row r="1" ht="30" customHeight="1">
      <c r="A1" s="29" t="inlineStr">
        <is>
          <t>PO ID</t>
        </is>
      </c>
      <c r="B1" s="29" t="inlineStr">
        <is>
          <t>Supplier ID</t>
        </is>
      </c>
      <c r="C1" s="29" t="inlineStr">
        <is>
          <t>SKU</t>
        </is>
      </c>
      <c r="D1" s="29" t="inlineStr">
        <is>
          <t>Order date</t>
        </is>
      </c>
      <c r="E1" s="29" t="inlineStr">
        <is>
          <t>Promised date</t>
        </is>
      </c>
      <c r="F1" s="29" t="inlineStr">
        <is>
          <t>Received date</t>
        </is>
      </c>
      <c r="G1" s="29" t="inlineStr">
        <is>
          <t>Qty ordered</t>
        </is>
      </c>
      <c r="H1" s="29" t="inlineStr">
        <is>
          <t>Qty received</t>
        </is>
      </c>
      <c r="I1" s="29" t="inlineStr">
        <is>
          <t>Qty defective</t>
        </is>
      </c>
      <c r="J1" s="29" t="inlineStr">
        <is>
          <t>PO value (CAD)</t>
        </is>
      </c>
      <c r="K1" s="29" t="inlineStr">
        <is>
          <t>Lead time (wks)</t>
        </is>
      </c>
      <c r="L1" s="29" t="inlineStr">
        <is>
          <t>Lead time²</t>
        </is>
      </c>
      <c r="M1" s="29" t="inlineStr">
        <is>
          <t>On time (1/0)</t>
        </is>
      </c>
      <c r="N1" s="29" t="inlineStr">
        <is>
          <t>Days late</t>
        </is>
      </c>
    </row>
    <row r="2">
      <c r="A2" s="14" t="inlineStr">
        <is>
          <t>PO-00001</t>
        </is>
      </c>
      <c r="B2" s="14" t="inlineStr">
        <is>
          <t>S08</t>
        </is>
      </c>
      <c r="C2" s="14" t="inlineStr">
        <is>
          <t>NB-0001</t>
        </is>
      </c>
      <c r="D2" s="26" t="n">
        <v>45292</v>
      </c>
      <c r="E2" s="26" t="n">
        <v>45362</v>
      </c>
      <c r="F2" s="26" t="n">
        <v>45360</v>
      </c>
      <c r="G2" s="14" t="n">
        <v>283</v>
      </c>
      <c r="H2" s="14" t="n">
        <v>283</v>
      </c>
      <c r="I2" s="14" t="n">
        <v>8</v>
      </c>
      <c r="J2" s="58" t="n">
        <v>10111.59</v>
      </c>
      <c r="K2" s="59">
        <f>(F2-D2)/7</f>
        <v/>
      </c>
      <c r="L2" s="59">
        <f>K2^2</f>
        <v/>
      </c>
      <c r="M2" s="14">
        <f>IF(F2&lt;=E2,1,0)</f>
        <v/>
      </c>
      <c r="N2" s="14">
        <f>MAX(0,F2-E2)</f>
        <v/>
      </c>
    </row>
    <row r="3">
      <c r="A3" s="14" t="inlineStr">
        <is>
          <t>PO-00002</t>
        </is>
      </c>
      <c r="B3" s="14" t="inlineStr">
        <is>
          <t>S08</t>
        </is>
      </c>
      <c r="C3" s="14" t="inlineStr">
        <is>
          <t>NB-0001</t>
        </is>
      </c>
      <c r="D3" s="26" t="n">
        <v>45323</v>
      </c>
      <c r="E3" s="26" t="n">
        <v>45393</v>
      </c>
      <c r="F3" s="26" t="n">
        <v>45392</v>
      </c>
      <c r="G3" s="14" t="n">
        <v>293</v>
      </c>
      <c r="H3" s="14" t="n">
        <v>293</v>
      </c>
      <c r="I3" s="14" t="n">
        <v>12</v>
      </c>
      <c r="J3" s="58" t="n">
        <v>10468.89</v>
      </c>
      <c r="K3" s="59">
        <f>(F3-D3)/7</f>
        <v/>
      </c>
      <c r="L3" s="59">
        <f>K3^2</f>
        <v/>
      </c>
      <c r="M3" s="14">
        <f>IF(F3&lt;=E3,1,0)</f>
        <v/>
      </c>
      <c r="N3" s="14">
        <f>MAX(0,F3-E3)</f>
        <v/>
      </c>
    </row>
    <row r="4">
      <c r="A4" s="14" t="inlineStr">
        <is>
          <t>PO-00003</t>
        </is>
      </c>
      <c r="B4" s="14" t="inlineStr">
        <is>
          <t>S08</t>
        </is>
      </c>
      <c r="C4" s="14" t="inlineStr">
        <is>
          <t>NB-0001</t>
        </is>
      </c>
      <c r="D4" s="26" t="n">
        <v>45352</v>
      </c>
      <c r="E4" s="26" t="n">
        <v>45422</v>
      </c>
      <c r="F4" s="26" t="n">
        <v>45420</v>
      </c>
      <c r="G4" s="14" t="n">
        <v>301</v>
      </c>
      <c r="H4" s="14" t="n">
        <v>301</v>
      </c>
      <c r="I4" s="14" t="n">
        <v>7</v>
      </c>
      <c r="J4" s="58" t="n">
        <v>10754.73</v>
      </c>
      <c r="K4" s="59">
        <f>(F4-D4)/7</f>
        <v/>
      </c>
      <c r="L4" s="59">
        <f>K4^2</f>
        <v/>
      </c>
      <c r="M4" s="14">
        <f>IF(F4&lt;=E4,1,0)</f>
        <v/>
      </c>
      <c r="N4" s="14">
        <f>MAX(0,F4-E4)</f>
        <v/>
      </c>
    </row>
    <row r="5">
      <c r="A5" s="14" t="inlineStr">
        <is>
          <t>PO-00004</t>
        </is>
      </c>
      <c r="B5" s="14" t="inlineStr">
        <is>
          <t>S08</t>
        </is>
      </c>
      <c r="C5" s="14" t="inlineStr">
        <is>
          <t>NB-0001</t>
        </is>
      </c>
      <c r="D5" s="26" t="n">
        <v>45377</v>
      </c>
      <c r="E5" s="26" t="n">
        <v>45447</v>
      </c>
      <c r="F5" s="26" t="n">
        <v>45446</v>
      </c>
      <c r="G5" s="14" t="n">
        <v>280</v>
      </c>
      <c r="H5" s="14" t="n">
        <v>280</v>
      </c>
      <c r="I5" s="14" t="n">
        <v>4</v>
      </c>
      <c r="J5" s="58" t="n">
        <v>10004.4</v>
      </c>
      <c r="K5" s="59">
        <f>(F5-D5)/7</f>
        <v/>
      </c>
      <c r="L5" s="59">
        <f>K5^2</f>
        <v/>
      </c>
      <c r="M5" s="14">
        <f>IF(F5&lt;=E5,1,0)</f>
        <v/>
      </c>
      <c r="N5" s="14">
        <f>MAX(0,F5-E5)</f>
        <v/>
      </c>
    </row>
    <row r="6">
      <c r="A6" s="14" t="inlineStr">
        <is>
          <t>PO-00005</t>
        </is>
      </c>
      <c r="B6" s="14" t="inlineStr">
        <is>
          <t>S08</t>
        </is>
      </c>
      <c r="C6" s="14" t="inlineStr">
        <is>
          <t>NB-0001</t>
        </is>
      </c>
      <c r="D6" s="26" t="n">
        <v>45408</v>
      </c>
      <c r="E6" s="26" t="n">
        <v>45478</v>
      </c>
      <c r="F6" s="26" t="n">
        <v>45509</v>
      </c>
      <c r="G6" s="14" t="n">
        <v>311</v>
      </c>
      <c r="H6" s="14" t="n">
        <v>311</v>
      </c>
      <c r="I6" s="14" t="n">
        <v>8</v>
      </c>
      <c r="J6" s="58" t="n">
        <v>11112.03</v>
      </c>
      <c r="K6" s="59">
        <f>(F6-D6)/7</f>
        <v/>
      </c>
      <c r="L6" s="59">
        <f>K6^2</f>
        <v/>
      </c>
      <c r="M6" s="14">
        <f>IF(F6&lt;=E6,1,0)</f>
        <v/>
      </c>
      <c r="N6" s="14">
        <f>MAX(0,F6-E6)</f>
        <v/>
      </c>
    </row>
    <row r="7">
      <c r="A7" s="14" t="inlineStr">
        <is>
          <t>PO-00006</t>
        </is>
      </c>
      <c r="B7" s="14" t="inlineStr">
        <is>
          <t>S08</t>
        </is>
      </c>
      <c r="C7" s="14" t="inlineStr">
        <is>
          <t>NB-0001</t>
        </is>
      </c>
      <c r="D7" s="26" t="n">
        <v>45432</v>
      </c>
      <c r="E7" s="26" t="n">
        <v>45502</v>
      </c>
      <c r="F7" s="26" t="n">
        <v>45501</v>
      </c>
      <c r="G7" s="14" t="n">
        <v>303</v>
      </c>
      <c r="H7" s="14" t="n">
        <v>303</v>
      </c>
      <c r="I7" s="14" t="n">
        <v>5</v>
      </c>
      <c r="J7" s="58" t="n">
        <v>10826.19</v>
      </c>
      <c r="K7" s="59">
        <f>(F7-D7)/7</f>
        <v/>
      </c>
      <c r="L7" s="59">
        <f>K7^2</f>
        <v/>
      </c>
      <c r="M7" s="14">
        <f>IF(F7&lt;=E7,1,0)</f>
        <v/>
      </c>
      <c r="N7" s="14">
        <f>MAX(0,F7-E7)</f>
        <v/>
      </c>
    </row>
    <row r="8">
      <c r="A8" s="14" t="inlineStr">
        <is>
          <t>PO-00007</t>
        </is>
      </c>
      <c r="B8" s="14" t="inlineStr">
        <is>
          <t>S08</t>
        </is>
      </c>
      <c r="C8" s="14" t="inlineStr">
        <is>
          <t>NB-0001</t>
        </is>
      </c>
      <c r="D8" s="26" t="n">
        <v>45462</v>
      </c>
      <c r="E8" s="26" t="n">
        <v>45532</v>
      </c>
      <c r="F8" s="26" t="n">
        <v>45532</v>
      </c>
      <c r="G8" s="14" t="n">
        <v>283</v>
      </c>
      <c r="H8" s="14" t="n">
        <v>283</v>
      </c>
      <c r="I8" s="14" t="n">
        <v>5</v>
      </c>
      <c r="J8" s="58" t="n">
        <v>10111.59</v>
      </c>
      <c r="K8" s="59">
        <f>(F8-D8)/7</f>
        <v/>
      </c>
      <c r="L8" s="59">
        <f>K8^2</f>
        <v/>
      </c>
      <c r="M8" s="14">
        <f>IF(F8&lt;=E8,1,0)</f>
        <v/>
      </c>
      <c r="N8" s="14">
        <f>MAX(0,F8-E8)</f>
        <v/>
      </c>
    </row>
    <row r="9">
      <c r="A9" s="14" t="inlineStr">
        <is>
          <t>PO-00008</t>
        </is>
      </c>
      <c r="B9" s="14" t="inlineStr">
        <is>
          <t>S08</t>
        </is>
      </c>
      <c r="C9" s="14" t="inlineStr">
        <is>
          <t>NB-0001</t>
        </is>
      </c>
      <c r="D9" s="26" t="n">
        <v>45489</v>
      </c>
      <c r="E9" s="26" t="n">
        <v>45559</v>
      </c>
      <c r="F9" s="26" t="n">
        <v>45558</v>
      </c>
      <c r="G9" s="14" t="n">
        <v>341</v>
      </c>
      <c r="H9" s="14" t="n">
        <v>341</v>
      </c>
      <c r="I9" s="14" t="n">
        <v>7</v>
      </c>
      <c r="J9" s="58" t="n">
        <v>12183.93</v>
      </c>
      <c r="K9" s="59">
        <f>(F9-D9)/7</f>
        <v/>
      </c>
      <c r="L9" s="59">
        <f>K9^2</f>
        <v/>
      </c>
      <c r="M9" s="14">
        <f>IF(F9&lt;=E9,1,0)</f>
        <v/>
      </c>
      <c r="N9" s="14">
        <f>MAX(0,F9-E9)</f>
        <v/>
      </c>
    </row>
    <row r="10">
      <c r="A10" s="14" t="inlineStr">
        <is>
          <t>PO-00009</t>
        </is>
      </c>
      <c r="B10" s="14" t="inlineStr">
        <is>
          <t>S08</t>
        </is>
      </c>
      <c r="C10" s="14" t="inlineStr">
        <is>
          <t>NB-0001</t>
        </is>
      </c>
      <c r="D10" s="26" t="n">
        <v>45516</v>
      </c>
      <c r="E10" s="26" t="n">
        <v>45586</v>
      </c>
      <c r="F10" s="26" t="n">
        <v>45591</v>
      </c>
      <c r="G10" s="14" t="n">
        <v>372</v>
      </c>
      <c r="H10" s="14" t="n">
        <v>372</v>
      </c>
      <c r="I10" s="14" t="n">
        <v>9</v>
      </c>
      <c r="J10" s="58" t="n">
        <v>13291.56</v>
      </c>
      <c r="K10" s="59">
        <f>(F10-D10)/7</f>
        <v/>
      </c>
      <c r="L10" s="59">
        <f>K10^2</f>
        <v/>
      </c>
      <c r="M10" s="14">
        <f>IF(F10&lt;=E10,1,0)</f>
        <v/>
      </c>
      <c r="N10" s="14">
        <f>MAX(0,F10-E10)</f>
        <v/>
      </c>
    </row>
    <row r="11">
      <c r="A11" s="14" t="inlineStr">
        <is>
          <t>PO-00010</t>
        </is>
      </c>
      <c r="B11" s="14" t="inlineStr">
        <is>
          <t>S08</t>
        </is>
      </c>
      <c r="C11" s="14" t="inlineStr">
        <is>
          <t>NB-0001</t>
        </is>
      </c>
      <c r="D11" s="26" t="n">
        <v>45544</v>
      </c>
      <c r="E11" s="26" t="n">
        <v>45614</v>
      </c>
      <c r="F11" s="26" t="n">
        <v>45635</v>
      </c>
      <c r="G11" s="14" t="n">
        <v>305</v>
      </c>
      <c r="H11" s="14" t="n">
        <v>305</v>
      </c>
      <c r="I11" s="14" t="n">
        <v>8</v>
      </c>
      <c r="J11" s="58" t="n">
        <v>10897.65</v>
      </c>
      <c r="K11" s="59">
        <f>(F11-D11)/7</f>
        <v/>
      </c>
      <c r="L11" s="59">
        <f>K11^2</f>
        <v/>
      </c>
      <c r="M11" s="14">
        <f>IF(F11&lt;=E11,1,0)</f>
        <v/>
      </c>
      <c r="N11" s="14">
        <f>MAX(0,F11-E11)</f>
        <v/>
      </c>
    </row>
    <row r="12">
      <c r="A12" s="14" t="inlineStr">
        <is>
          <t>PO-00011</t>
        </is>
      </c>
      <c r="B12" s="14" t="inlineStr">
        <is>
          <t>S08</t>
        </is>
      </c>
      <c r="C12" s="14" t="inlineStr">
        <is>
          <t>NB-0001</t>
        </is>
      </c>
      <c r="D12" s="26" t="n">
        <v>45574</v>
      </c>
      <c r="E12" s="26" t="n">
        <v>45644</v>
      </c>
      <c r="F12" s="26" t="n">
        <v>45669</v>
      </c>
      <c r="G12" s="14" t="n">
        <v>267</v>
      </c>
      <c r="H12" s="14" t="n">
        <v>267</v>
      </c>
      <c r="I12" s="14" t="n">
        <v>7</v>
      </c>
      <c r="J12" s="58" t="n">
        <v>9539.91</v>
      </c>
      <c r="K12" s="59">
        <f>(F12-D12)/7</f>
        <v/>
      </c>
      <c r="L12" s="59">
        <f>K12^2</f>
        <v/>
      </c>
      <c r="M12" s="14">
        <f>IF(F12&lt;=E12,1,0)</f>
        <v/>
      </c>
      <c r="N12" s="14">
        <f>MAX(0,F12-E12)</f>
        <v/>
      </c>
    </row>
    <row r="13">
      <c r="A13" s="14" t="inlineStr">
        <is>
          <t>PO-00012</t>
        </is>
      </c>
      <c r="B13" s="14" t="inlineStr">
        <is>
          <t>S08</t>
        </is>
      </c>
      <c r="C13" s="14" t="inlineStr">
        <is>
          <t>NB-0001</t>
        </is>
      </c>
      <c r="D13" s="26" t="n">
        <v>45601</v>
      </c>
      <c r="E13" s="26" t="n">
        <v>45671</v>
      </c>
      <c r="F13" s="26" t="n">
        <v>45671</v>
      </c>
      <c r="G13" s="14" t="n">
        <v>328</v>
      </c>
      <c r="H13" s="14" t="n">
        <v>328</v>
      </c>
      <c r="I13" s="14" t="n">
        <v>9</v>
      </c>
      <c r="J13" s="58" t="n">
        <v>11719.44</v>
      </c>
      <c r="K13" s="59">
        <f>(F13-D13)/7</f>
        <v/>
      </c>
      <c r="L13" s="59">
        <f>K13^2</f>
        <v/>
      </c>
      <c r="M13" s="14">
        <f>IF(F13&lt;=E13,1,0)</f>
        <v/>
      </c>
      <c r="N13" s="14">
        <f>MAX(0,F13-E13)</f>
        <v/>
      </c>
    </row>
    <row r="14">
      <c r="A14" s="14" t="inlineStr">
        <is>
          <t>PO-00013</t>
        </is>
      </c>
      <c r="B14" s="14" t="inlineStr">
        <is>
          <t>S08</t>
        </is>
      </c>
      <c r="C14" s="14" t="inlineStr">
        <is>
          <t>NB-0001</t>
        </is>
      </c>
      <c r="D14" s="26" t="n">
        <v>45632</v>
      </c>
      <c r="E14" s="26" t="n">
        <v>45702</v>
      </c>
      <c r="F14" s="26" t="n">
        <v>45699</v>
      </c>
      <c r="G14" s="14" t="n">
        <v>317</v>
      </c>
      <c r="H14" s="14" t="n">
        <v>317</v>
      </c>
      <c r="I14" s="14" t="n">
        <v>5</v>
      </c>
      <c r="J14" s="58" t="n">
        <v>11326.41</v>
      </c>
      <c r="K14" s="59">
        <f>(F14-D14)/7</f>
        <v/>
      </c>
      <c r="L14" s="59">
        <f>K14^2</f>
        <v/>
      </c>
      <c r="M14" s="14">
        <f>IF(F14&lt;=E14,1,0)</f>
        <v/>
      </c>
      <c r="N14" s="14">
        <f>MAX(0,F14-E14)</f>
        <v/>
      </c>
    </row>
    <row r="15">
      <c r="A15" s="14" t="inlineStr">
        <is>
          <t>PO-00014</t>
        </is>
      </c>
      <c r="B15" s="14" t="inlineStr">
        <is>
          <t>S08</t>
        </is>
      </c>
      <c r="C15" s="14" t="inlineStr">
        <is>
          <t>NB-0001</t>
        </is>
      </c>
      <c r="D15" s="26" t="n">
        <v>45656</v>
      </c>
      <c r="E15" s="26" t="n">
        <v>45726</v>
      </c>
      <c r="F15" s="26" t="n">
        <v>45753</v>
      </c>
      <c r="G15" s="14" t="n">
        <v>340</v>
      </c>
      <c r="H15" s="14" t="n">
        <v>340</v>
      </c>
      <c r="I15" s="14" t="n">
        <v>10</v>
      </c>
      <c r="J15" s="58" t="n">
        <v>12148.2</v>
      </c>
      <c r="K15" s="59">
        <f>(F15-D15)/7</f>
        <v/>
      </c>
      <c r="L15" s="59">
        <f>K15^2</f>
        <v/>
      </c>
      <c r="M15" s="14">
        <f>IF(F15&lt;=E15,1,0)</f>
        <v/>
      </c>
      <c r="N15" s="14">
        <f>MAX(0,F15-E15)</f>
        <v/>
      </c>
    </row>
    <row r="16">
      <c r="A16" s="14" t="inlineStr">
        <is>
          <t>PO-00015</t>
        </is>
      </c>
      <c r="B16" s="14" t="inlineStr">
        <is>
          <t>S08</t>
        </is>
      </c>
      <c r="C16" s="14" t="inlineStr">
        <is>
          <t>NB-0001</t>
        </is>
      </c>
      <c r="D16" s="26" t="n">
        <v>45685</v>
      </c>
      <c r="E16" s="26" t="n">
        <v>45755</v>
      </c>
      <c r="F16" s="26" t="n">
        <v>45755</v>
      </c>
      <c r="G16" s="14" t="n">
        <v>369</v>
      </c>
      <c r="H16" s="14" t="n">
        <v>369</v>
      </c>
      <c r="I16" s="14" t="n">
        <v>6</v>
      </c>
      <c r="J16" s="58" t="n">
        <v>13184.37</v>
      </c>
      <c r="K16" s="59">
        <f>(F16-D16)/7</f>
        <v/>
      </c>
      <c r="L16" s="59">
        <f>K16^2</f>
        <v/>
      </c>
      <c r="M16" s="14">
        <f>IF(F16&lt;=E16,1,0)</f>
        <v/>
      </c>
      <c r="N16" s="14">
        <f>MAX(0,F16-E16)</f>
        <v/>
      </c>
    </row>
    <row r="17">
      <c r="A17" s="14" t="inlineStr">
        <is>
          <t>PO-00016</t>
        </is>
      </c>
      <c r="B17" s="14" t="inlineStr">
        <is>
          <t>S08</t>
        </is>
      </c>
      <c r="C17" s="14" t="inlineStr">
        <is>
          <t>NB-0001</t>
        </is>
      </c>
      <c r="D17" s="26" t="n">
        <v>45716</v>
      </c>
      <c r="E17" s="26" t="n">
        <v>45786</v>
      </c>
      <c r="F17" s="26" t="n">
        <v>45783</v>
      </c>
      <c r="G17" s="14" t="n">
        <v>294</v>
      </c>
      <c r="H17" s="14" t="n">
        <v>294</v>
      </c>
      <c r="I17" s="14" t="n">
        <v>5</v>
      </c>
      <c r="J17" s="58" t="n">
        <v>10504.62</v>
      </c>
      <c r="K17" s="59">
        <f>(F17-D17)/7</f>
        <v/>
      </c>
      <c r="L17" s="59">
        <f>K17^2</f>
        <v/>
      </c>
      <c r="M17" s="14">
        <f>IF(F17&lt;=E17,1,0)</f>
        <v/>
      </c>
      <c r="N17" s="14">
        <f>MAX(0,F17-E17)</f>
        <v/>
      </c>
    </row>
    <row r="18">
      <c r="A18" s="14" t="inlineStr">
        <is>
          <t>PO-00017</t>
        </is>
      </c>
      <c r="B18" s="14" t="inlineStr">
        <is>
          <t>S08</t>
        </is>
      </c>
      <c r="C18" s="14" t="inlineStr">
        <is>
          <t>NB-0001</t>
        </is>
      </c>
      <c r="D18" s="26" t="n">
        <v>45742</v>
      </c>
      <c r="E18" s="26" t="n">
        <v>45812</v>
      </c>
      <c r="F18" s="26" t="n">
        <v>45809</v>
      </c>
      <c r="G18" s="14" t="n">
        <v>283</v>
      </c>
      <c r="H18" s="14" t="n">
        <v>283</v>
      </c>
      <c r="I18" s="14" t="n">
        <v>10</v>
      </c>
      <c r="J18" s="58" t="n">
        <v>10111.59</v>
      </c>
      <c r="K18" s="59">
        <f>(F18-D18)/7</f>
        <v/>
      </c>
      <c r="L18" s="59">
        <f>K18^2</f>
        <v/>
      </c>
      <c r="M18" s="14">
        <f>IF(F18&lt;=E18,1,0)</f>
        <v/>
      </c>
      <c r="N18" s="14">
        <f>MAX(0,F18-E18)</f>
        <v/>
      </c>
    </row>
    <row r="19">
      <c r="A19" s="14" t="inlineStr">
        <is>
          <t>PO-00018</t>
        </is>
      </c>
      <c r="B19" s="14" t="inlineStr">
        <is>
          <t>S08</t>
        </is>
      </c>
      <c r="C19" s="14" t="inlineStr">
        <is>
          <t>NB-0001</t>
        </is>
      </c>
      <c r="D19" s="26" t="n">
        <v>45772</v>
      </c>
      <c r="E19" s="26" t="n">
        <v>45842</v>
      </c>
      <c r="F19" s="26" t="n">
        <v>45857</v>
      </c>
      <c r="G19" s="14" t="n">
        <v>281</v>
      </c>
      <c r="H19" s="14" t="n">
        <v>281</v>
      </c>
      <c r="I19" s="14" t="n">
        <v>9</v>
      </c>
      <c r="J19" s="58" t="n">
        <v>10040.13</v>
      </c>
      <c r="K19" s="59">
        <f>(F19-D19)/7</f>
        <v/>
      </c>
      <c r="L19" s="59">
        <f>K19^2</f>
        <v/>
      </c>
      <c r="M19" s="14">
        <f>IF(F19&lt;=E19,1,0)</f>
        <v/>
      </c>
      <c r="N19" s="14">
        <f>MAX(0,F19-E19)</f>
        <v/>
      </c>
    </row>
    <row r="20">
      <c r="A20" s="14" t="inlineStr">
        <is>
          <t>PO-00019</t>
        </is>
      </c>
      <c r="B20" s="14" t="inlineStr">
        <is>
          <t>S08</t>
        </is>
      </c>
      <c r="C20" s="14" t="inlineStr">
        <is>
          <t>NB-0001</t>
        </is>
      </c>
      <c r="D20" s="26" t="n">
        <v>45797</v>
      </c>
      <c r="E20" s="26" t="n">
        <v>45867</v>
      </c>
      <c r="F20" s="26" t="n">
        <v>45865</v>
      </c>
      <c r="G20" s="14" t="n">
        <v>344</v>
      </c>
      <c r="H20" s="14" t="n">
        <v>344</v>
      </c>
      <c r="I20" s="14" t="n">
        <v>10</v>
      </c>
      <c r="J20" s="58" t="n">
        <v>12291.12</v>
      </c>
      <c r="K20" s="59">
        <f>(F20-D20)/7</f>
        <v/>
      </c>
      <c r="L20" s="59">
        <f>K20^2</f>
        <v/>
      </c>
      <c r="M20" s="14">
        <f>IF(F20&lt;=E20,1,0)</f>
        <v/>
      </c>
      <c r="N20" s="14">
        <f>MAX(0,F20-E20)</f>
        <v/>
      </c>
    </row>
    <row r="21">
      <c r="A21" s="14" t="inlineStr">
        <is>
          <t>PO-00020</t>
        </is>
      </c>
      <c r="B21" s="14" t="inlineStr">
        <is>
          <t>S08</t>
        </is>
      </c>
      <c r="C21" s="14" t="inlineStr">
        <is>
          <t>NB-0001</t>
        </is>
      </c>
      <c r="D21" s="26" t="n">
        <v>45825</v>
      </c>
      <c r="E21" s="26" t="n">
        <v>45895</v>
      </c>
      <c r="F21" s="26" t="n">
        <v>45895</v>
      </c>
      <c r="G21" s="14" t="n">
        <v>372</v>
      </c>
      <c r="H21" s="14" t="n">
        <v>372</v>
      </c>
      <c r="I21" s="14" t="n">
        <v>10</v>
      </c>
      <c r="J21" s="58" t="n">
        <v>13291.56</v>
      </c>
      <c r="K21" s="59">
        <f>(F21-D21)/7</f>
        <v/>
      </c>
      <c r="L21" s="59">
        <f>K21^2</f>
        <v/>
      </c>
      <c r="M21" s="14">
        <f>IF(F21&lt;=E21,1,0)</f>
        <v/>
      </c>
      <c r="N21" s="14">
        <f>MAX(0,F21-E21)</f>
        <v/>
      </c>
    </row>
    <row r="22">
      <c r="A22" s="14" t="inlineStr">
        <is>
          <t>PO-00021</t>
        </is>
      </c>
      <c r="B22" s="14" t="inlineStr">
        <is>
          <t>S08</t>
        </is>
      </c>
      <c r="C22" s="14" t="inlineStr">
        <is>
          <t>NB-0001</t>
        </is>
      </c>
      <c r="D22" s="26" t="n">
        <v>45853</v>
      </c>
      <c r="E22" s="26" t="n">
        <v>45923</v>
      </c>
      <c r="F22" s="26" t="n">
        <v>45949</v>
      </c>
      <c r="G22" s="14" t="n">
        <v>314</v>
      </c>
      <c r="H22" s="14" t="n">
        <v>290</v>
      </c>
      <c r="I22" s="14" t="n">
        <v>8</v>
      </c>
      <c r="J22" s="58" t="n">
        <v>11219.22</v>
      </c>
      <c r="K22" s="59">
        <f>(F22-D22)/7</f>
        <v/>
      </c>
      <c r="L22" s="59">
        <f>K22^2</f>
        <v/>
      </c>
      <c r="M22" s="14">
        <f>IF(F22&lt;=E22,1,0)</f>
        <v/>
      </c>
      <c r="N22" s="14">
        <f>MAX(0,F22-E22)</f>
        <v/>
      </c>
    </row>
    <row r="23">
      <c r="A23" s="14" t="inlineStr">
        <is>
          <t>PO-00022</t>
        </is>
      </c>
      <c r="B23" s="14" t="inlineStr">
        <is>
          <t>S08</t>
        </is>
      </c>
      <c r="C23" s="14" t="inlineStr">
        <is>
          <t>NB-0001</t>
        </is>
      </c>
      <c r="D23" s="26" t="n">
        <v>45883</v>
      </c>
      <c r="E23" s="26" t="n">
        <v>45953</v>
      </c>
      <c r="F23" s="26" t="n">
        <v>45950</v>
      </c>
      <c r="G23" s="14" t="n">
        <v>313</v>
      </c>
      <c r="H23" s="14" t="n">
        <v>313</v>
      </c>
      <c r="I23" s="14" t="n">
        <v>8</v>
      </c>
      <c r="J23" s="58" t="n">
        <v>11183.49</v>
      </c>
      <c r="K23" s="59">
        <f>(F23-D23)/7</f>
        <v/>
      </c>
      <c r="L23" s="59">
        <f>K23^2</f>
        <v/>
      </c>
      <c r="M23" s="14">
        <f>IF(F23&lt;=E23,1,0)</f>
        <v/>
      </c>
      <c r="N23" s="14">
        <f>MAX(0,F23-E23)</f>
        <v/>
      </c>
    </row>
    <row r="24">
      <c r="A24" s="14" t="inlineStr">
        <is>
          <t>PO-00023</t>
        </is>
      </c>
      <c r="B24" s="14" t="inlineStr">
        <is>
          <t>S08</t>
        </is>
      </c>
      <c r="C24" s="14" t="inlineStr">
        <is>
          <t>NB-0001</t>
        </is>
      </c>
      <c r="D24" s="26" t="n">
        <v>45910</v>
      </c>
      <c r="E24" s="26" t="n">
        <v>45980</v>
      </c>
      <c r="F24" s="26" t="n">
        <v>46005</v>
      </c>
      <c r="G24" s="14" t="n">
        <v>366</v>
      </c>
      <c r="H24" s="14" t="n">
        <v>366</v>
      </c>
      <c r="I24" s="14" t="n">
        <v>5</v>
      </c>
      <c r="J24" s="58" t="n">
        <v>13077.18</v>
      </c>
      <c r="K24" s="59">
        <f>(F24-D24)/7</f>
        <v/>
      </c>
      <c r="L24" s="59">
        <f>K24^2</f>
        <v/>
      </c>
      <c r="M24" s="14">
        <f>IF(F24&lt;=E24,1,0)</f>
        <v/>
      </c>
      <c r="N24" s="14">
        <f>MAX(0,F24-E24)</f>
        <v/>
      </c>
    </row>
    <row r="25">
      <c r="A25" s="14" t="inlineStr">
        <is>
          <t>PO-00024</t>
        </is>
      </c>
      <c r="B25" s="14" t="inlineStr">
        <is>
          <t>S08</t>
        </is>
      </c>
      <c r="C25" s="14" t="inlineStr">
        <is>
          <t>NB-0001</t>
        </is>
      </c>
      <c r="D25" s="26" t="n">
        <v>45936</v>
      </c>
      <c r="E25" s="26" t="n">
        <v>46006</v>
      </c>
      <c r="F25" s="26" t="n">
        <v>46005</v>
      </c>
      <c r="G25" s="14" t="n">
        <v>333</v>
      </c>
      <c r="H25" s="14" t="n">
        <v>313</v>
      </c>
      <c r="I25" s="14" t="n">
        <v>6</v>
      </c>
      <c r="J25" s="58" t="n">
        <v>11898.09</v>
      </c>
      <c r="K25" s="59">
        <f>(F25-D25)/7</f>
        <v/>
      </c>
      <c r="L25" s="59">
        <f>K25^2</f>
        <v/>
      </c>
      <c r="M25" s="14">
        <f>IF(F25&lt;=E25,1,0)</f>
        <v/>
      </c>
      <c r="N25" s="14">
        <f>MAX(0,F25-E25)</f>
        <v/>
      </c>
    </row>
    <row r="26">
      <c r="A26" s="14" t="inlineStr">
        <is>
          <t>PO-00025</t>
        </is>
      </c>
      <c r="B26" s="14" t="inlineStr">
        <is>
          <t>S08</t>
        </is>
      </c>
      <c r="C26" s="14" t="inlineStr">
        <is>
          <t>NB-0001</t>
        </is>
      </c>
      <c r="D26" s="26" t="n">
        <v>45967</v>
      </c>
      <c r="E26" s="26" t="n">
        <v>46037</v>
      </c>
      <c r="F26" s="26" t="n">
        <v>46034</v>
      </c>
      <c r="G26" s="14" t="n">
        <v>339</v>
      </c>
      <c r="H26" s="14" t="n">
        <v>339</v>
      </c>
      <c r="I26" s="14" t="n">
        <v>11</v>
      </c>
      <c r="J26" s="58" t="n">
        <v>12112.47</v>
      </c>
      <c r="K26" s="59">
        <f>(F26-D26)/7</f>
        <v/>
      </c>
      <c r="L26" s="59">
        <f>K26^2</f>
        <v/>
      </c>
      <c r="M26" s="14">
        <f>IF(F26&lt;=E26,1,0)</f>
        <v/>
      </c>
      <c r="N26" s="14">
        <f>MAX(0,F26-E26)</f>
        <v/>
      </c>
    </row>
    <row r="27">
      <c r="A27" s="14" t="inlineStr">
        <is>
          <t>PO-00026</t>
        </is>
      </c>
      <c r="B27" s="14" t="inlineStr">
        <is>
          <t>S08</t>
        </is>
      </c>
      <c r="C27" s="14" t="inlineStr">
        <is>
          <t>NB-0001</t>
        </is>
      </c>
      <c r="D27" s="26" t="n">
        <v>45993</v>
      </c>
      <c r="E27" s="26" t="n">
        <v>46063</v>
      </c>
      <c r="F27" s="26" t="n">
        <v>46061</v>
      </c>
      <c r="G27" s="14" t="n">
        <v>334</v>
      </c>
      <c r="H27" s="14" t="n">
        <v>334</v>
      </c>
      <c r="I27" s="14" t="n">
        <v>9</v>
      </c>
      <c r="J27" s="58" t="n">
        <v>11933.82</v>
      </c>
      <c r="K27" s="59">
        <f>(F27-D27)/7</f>
        <v/>
      </c>
      <c r="L27" s="59">
        <f>K27^2</f>
        <v/>
      </c>
      <c r="M27" s="14">
        <f>IF(F27&lt;=E27,1,0)</f>
        <v/>
      </c>
      <c r="N27" s="14">
        <f>MAX(0,F27-E27)</f>
        <v/>
      </c>
    </row>
    <row r="28">
      <c r="A28" s="14" t="inlineStr">
        <is>
          <t>PO-00027</t>
        </is>
      </c>
      <c r="B28" s="14" t="inlineStr">
        <is>
          <t>S07</t>
        </is>
      </c>
      <c r="C28" s="14" t="inlineStr">
        <is>
          <t>NB-0002</t>
        </is>
      </c>
      <c r="D28" s="26" t="n">
        <v>45294</v>
      </c>
      <c r="E28" s="26" t="n">
        <v>45350</v>
      </c>
      <c r="F28" s="26" t="n">
        <v>45347</v>
      </c>
      <c r="G28" s="14" t="n">
        <v>100</v>
      </c>
      <c r="H28" s="14" t="n">
        <v>100</v>
      </c>
      <c r="I28" s="14" t="n">
        <v>3</v>
      </c>
      <c r="J28" s="58" t="n">
        <v>3521</v>
      </c>
      <c r="K28" s="59">
        <f>(F28-D28)/7</f>
        <v/>
      </c>
      <c r="L28" s="59">
        <f>K28^2</f>
        <v/>
      </c>
      <c r="M28" s="14">
        <f>IF(F28&lt;=E28,1,0)</f>
        <v/>
      </c>
      <c r="N28" s="14">
        <f>MAX(0,F28-E28)</f>
        <v/>
      </c>
    </row>
    <row r="29">
      <c r="A29" s="14" t="inlineStr">
        <is>
          <t>PO-00028</t>
        </is>
      </c>
      <c r="B29" s="14" t="inlineStr">
        <is>
          <t>S07</t>
        </is>
      </c>
      <c r="C29" s="14" t="inlineStr">
        <is>
          <t>NB-0002</t>
        </is>
      </c>
      <c r="D29" s="26" t="n">
        <v>45323</v>
      </c>
      <c r="E29" s="26" t="n">
        <v>45379</v>
      </c>
      <c r="F29" s="26" t="n">
        <v>45379</v>
      </c>
      <c r="G29" s="14" t="n">
        <v>82</v>
      </c>
      <c r="H29" s="14" t="n">
        <v>82</v>
      </c>
      <c r="I29" s="14" t="n">
        <v>1</v>
      </c>
      <c r="J29" s="58" t="n">
        <v>2887.22</v>
      </c>
      <c r="K29" s="59">
        <f>(F29-D29)/7</f>
        <v/>
      </c>
      <c r="L29" s="59">
        <f>K29^2</f>
        <v/>
      </c>
      <c r="M29" s="14">
        <f>IF(F29&lt;=E29,1,0)</f>
        <v/>
      </c>
      <c r="N29" s="14">
        <f>MAX(0,F29-E29)</f>
        <v/>
      </c>
    </row>
    <row r="30">
      <c r="A30" s="14" t="inlineStr">
        <is>
          <t>PO-00029</t>
        </is>
      </c>
      <c r="B30" s="14" t="inlineStr">
        <is>
          <t>S07</t>
        </is>
      </c>
      <c r="C30" s="14" t="inlineStr">
        <is>
          <t>NB-0002</t>
        </is>
      </c>
      <c r="D30" s="26" t="n">
        <v>45350</v>
      </c>
      <c r="E30" s="26" t="n">
        <v>45406</v>
      </c>
      <c r="F30" s="26" t="n">
        <v>45405</v>
      </c>
      <c r="G30" s="14" t="n">
        <v>82</v>
      </c>
      <c r="H30" s="14" t="n">
        <v>82</v>
      </c>
      <c r="I30" s="14" t="n">
        <v>2</v>
      </c>
      <c r="J30" s="58" t="n">
        <v>2887.22</v>
      </c>
      <c r="K30" s="59">
        <f>(F30-D30)/7</f>
        <v/>
      </c>
      <c r="L30" s="59">
        <f>K30^2</f>
        <v/>
      </c>
      <c r="M30" s="14">
        <f>IF(F30&lt;=E30,1,0)</f>
        <v/>
      </c>
      <c r="N30" s="14">
        <f>MAX(0,F30-E30)</f>
        <v/>
      </c>
    </row>
    <row r="31">
      <c r="A31" s="14" t="inlineStr">
        <is>
          <t>PO-00030</t>
        </is>
      </c>
      <c r="B31" s="14" t="inlineStr">
        <is>
          <t>S07</t>
        </is>
      </c>
      <c r="C31" s="14" t="inlineStr">
        <is>
          <t>NB-0002</t>
        </is>
      </c>
      <c r="D31" s="26" t="n">
        <v>45379</v>
      </c>
      <c r="E31" s="26" t="n">
        <v>45435</v>
      </c>
      <c r="F31" s="26" t="n">
        <v>45435</v>
      </c>
      <c r="G31" s="14" t="n">
        <v>81</v>
      </c>
      <c r="H31" s="14" t="n">
        <v>81</v>
      </c>
      <c r="I31" s="14" t="n">
        <v>2</v>
      </c>
      <c r="J31" s="58" t="n">
        <v>2852.01</v>
      </c>
      <c r="K31" s="59">
        <f>(F31-D31)/7</f>
        <v/>
      </c>
      <c r="L31" s="59">
        <f>K31^2</f>
        <v/>
      </c>
      <c r="M31" s="14">
        <f>IF(F31&lt;=E31,1,0)</f>
        <v/>
      </c>
      <c r="N31" s="14">
        <f>MAX(0,F31-E31)</f>
        <v/>
      </c>
    </row>
    <row r="32">
      <c r="A32" s="14" t="inlineStr">
        <is>
          <t>PO-00031</t>
        </is>
      </c>
      <c r="B32" s="14" t="inlineStr">
        <is>
          <t>S07</t>
        </is>
      </c>
      <c r="C32" s="14" t="inlineStr">
        <is>
          <t>NB-0002</t>
        </is>
      </c>
      <c r="D32" s="26" t="n">
        <v>45405</v>
      </c>
      <c r="E32" s="26" t="n">
        <v>45461</v>
      </c>
      <c r="F32" s="26" t="n">
        <v>45458</v>
      </c>
      <c r="G32" s="14" t="n">
        <v>92</v>
      </c>
      <c r="H32" s="14" t="n">
        <v>92</v>
      </c>
      <c r="I32" s="14" t="n">
        <v>0</v>
      </c>
      <c r="J32" s="58" t="n">
        <v>3239.32</v>
      </c>
      <c r="K32" s="59">
        <f>(F32-D32)/7</f>
        <v/>
      </c>
      <c r="L32" s="59">
        <f>K32^2</f>
        <v/>
      </c>
      <c r="M32" s="14">
        <f>IF(F32&lt;=E32,1,0)</f>
        <v/>
      </c>
      <c r="N32" s="14">
        <f>MAX(0,F32-E32)</f>
        <v/>
      </c>
    </row>
    <row r="33">
      <c r="A33" s="14" t="inlineStr">
        <is>
          <t>PO-00032</t>
        </is>
      </c>
      <c r="B33" s="14" t="inlineStr">
        <is>
          <t>S07</t>
        </is>
      </c>
      <c r="C33" s="14" t="inlineStr">
        <is>
          <t>NB-0002</t>
        </is>
      </c>
      <c r="D33" s="26" t="n">
        <v>45433</v>
      </c>
      <c r="E33" s="26" t="n">
        <v>45489</v>
      </c>
      <c r="F33" s="26" t="n">
        <v>45486</v>
      </c>
      <c r="G33" s="14" t="n">
        <v>94</v>
      </c>
      <c r="H33" s="14" t="n">
        <v>94</v>
      </c>
      <c r="I33" s="14" t="n">
        <v>2</v>
      </c>
      <c r="J33" s="58" t="n">
        <v>3309.74</v>
      </c>
      <c r="K33" s="59">
        <f>(F33-D33)/7</f>
        <v/>
      </c>
      <c r="L33" s="59">
        <f>K33^2</f>
        <v/>
      </c>
      <c r="M33" s="14">
        <f>IF(F33&lt;=E33,1,0)</f>
        <v/>
      </c>
      <c r="N33" s="14">
        <f>MAX(0,F33-E33)</f>
        <v/>
      </c>
    </row>
    <row r="34">
      <c r="A34" s="14" t="inlineStr">
        <is>
          <t>PO-00033</t>
        </is>
      </c>
      <c r="B34" s="14" t="inlineStr">
        <is>
          <t>S07</t>
        </is>
      </c>
      <c r="C34" s="14" t="inlineStr">
        <is>
          <t>NB-0002</t>
        </is>
      </c>
      <c r="D34" s="26" t="n">
        <v>45464</v>
      </c>
      <c r="E34" s="26" t="n">
        <v>45520</v>
      </c>
      <c r="F34" s="26" t="n">
        <v>45517</v>
      </c>
      <c r="G34" s="14" t="n">
        <v>91</v>
      </c>
      <c r="H34" s="14" t="n">
        <v>91</v>
      </c>
      <c r="I34" s="14" t="n">
        <v>3</v>
      </c>
      <c r="J34" s="58" t="n">
        <v>3204.11</v>
      </c>
      <c r="K34" s="59">
        <f>(F34-D34)/7</f>
        <v/>
      </c>
      <c r="L34" s="59">
        <f>K34^2</f>
        <v/>
      </c>
      <c r="M34" s="14">
        <f>IF(F34&lt;=E34,1,0)</f>
        <v/>
      </c>
      <c r="N34" s="14">
        <f>MAX(0,F34-E34)</f>
        <v/>
      </c>
    </row>
    <row r="35">
      <c r="A35" s="14" t="inlineStr">
        <is>
          <t>PO-00034</t>
        </is>
      </c>
      <c r="B35" s="14" t="inlineStr">
        <is>
          <t>S07</t>
        </is>
      </c>
      <c r="C35" s="14" t="inlineStr">
        <is>
          <t>NB-0002</t>
        </is>
      </c>
      <c r="D35" s="26" t="n">
        <v>45489</v>
      </c>
      <c r="E35" s="26" t="n">
        <v>45545</v>
      </c>
      <c r="F35" s="26" t="n">
        <v>45543</v>
      </c>
      <c r="G35" s="14" t="n">
        <v>84</v>
      </c>
      <c r="H35" s="14" t="n">
        <v>77</v>
      </c>
      <c r="I35" s="14" t="n">
        <v>0</v>
      </c>
      <c r="J35" s="58" t="n">
        <v>2957.64</v>
      </c>
      <c r="K35" s="59">
        <f>(F35-D35)/7</f>
        <v/>
      </c>
      <c r="L35" s="59">
        <f>K35^2</f>
        <v/>
      </c>
      <c r="M35" s="14">
        <f>IF(F35&lt;=E35,1,0)</f>
        <v/>
      </c>
      <c r="N35" s="14">
        <f>MAX(0,F35-E35)</f>
        <v/>
      </c>
    </row>
    <row r="36">
      <c r="A36" s="14" t="inlineStr">
        <is>
          <t>PO-00035</t>
        </is>
      </c>
      <c r="B36" s="14" t="inlineStr">
        <is>
          <t>S07</t>
        </is>
      </c>
      <c r="C36" s="14" t="inlineStr">
        <is>
          <t>NB-0002</t>
        </is>
      </c>
      <c r="D36" s="26" t="n">
        <v>45518</v>
      </c>
      <c r="E36" s="26" t="n">
        <v>45574</v>
      </c>
      <c r="F36" s="26" t="n">
        <v>45571</v>
      </c>
      <c r="G36" s="14" t="n">
        <v>86</v>
      </c>
      <c r="H36" s="14" t="n">
        <v>86</v>
      </c>
      <c r="I36" s="14" t="n">
        <v>2</v>
      </c>
      <c r="J36" s="58" t="n">
        <v>3028.06</v>
      </c>
      <c r="K36" s="59">
        <f>(F36-D36)/7</f>
        <v/>
      </c>
      <c r="L36" s="59">
        <f>K36^2</f>
        <v/>
      </c>
      <c r="M36" s="14">
        <f>IF(F36&lt;=E36,1,0)</f>
        <v/>
      </c>
      <c r="N36" s="14">
        <f>MAX(0,F36-E36)</f>
        <v/>
      </c>
    </row>
    <row r="37">
      <c r="A37" s="14" t="inlineStr">
        <is>
          <t>PO-00036</t>
        </is>
      </c>
      <c r="B37" s="14" t="inlineStr">
        <is>
          <t>S07</t>
        </is>
      </c>
      <c r="C37" s="14" t="inlineStr">
        <is>
          <t>NB-0002</t>
        </is>
      </c>
      <c r="D37" s="26" t="n">
        <v>45545</v>
      </c>
      <c r="E37" s="26" t="n">
        <v>45601</v>
      </c>
      <c r="F37" s="26" t="n">
        <v>45599</v>
      </c>
      <c r="G37" s="14" t="n">
        <v>107</v>
      </c>
      <c r="H37" s="14" t="n">
        <v>107</v>
      </c>
      <c r="I37" s="14" t="n">
        <v>2</v>
      </c>
      <c r="J37" s="58" t="n">
        <v>3767.47</v>
      </c>
      <c r="K37" s="59">
        <f>(F37-D37)/7</f>
        <v/>
      </c>
      <c r="L37" s="59">
        <f>K37^2</f>
        <v/>
      </c>
      <c r="M37" s="14">
        <f>IF(F37&lt;=E37,1,0)</f>
        <v/>
      </c>
      <c r="N37" s="14">
        <f>MAX(0,F37-E37)</f>
        <v/>
      </c>
    </row>
    <row r="38">
      <c r="A38" s="14" t="inlineStr">
        <is>
          <t>PO-00037</t>
        </is>
      </c>
      <c r="B38" s="14" t="inlineStr">
        <is>
          <t>S07</t>
        </is>
      </c>
      <c r="C38" s="14" t="inlineStr">
        <is>
          <t>NB-0002</t>
        </is>
      </c>
      <c r="D38" s="26" t="n">
        <v>45576</v>
      </c>
      <c r="E38" s="26" t="n">
        <v>45632</v>
      </c>
      <c r="F38" s="26" t="n">
        <v>45650</v>
      </c>
      <c r="G38" s="14" t="n">
        <v>97</v>
      </c>
      <c r="H38" s="14" t="n">
        <v>97</v>
      </c>
      <c r="I38" s="14" t="n">
        <v>3</v>
      </c>
      <c r="J38" s="58" t="n">
        <v>3415.37</v>
      </c>
      <c r="K38" s="59">
        <f>(F38-D38)/7</f>
        <v/>
      </c>
      <c r="L38" s="59">
        <f>K38^2</f>
        <v/>
      </c>
      <c r="M38" s="14">
        <f>IF(F38&lt;=E38,1,0)</f>
        <v/>
      </c>
      <c r="N38" s="14">
        <f>MAX(0,F38-E38)</f>
        <v/>
      </c>
    </row>
    <row r="39">
      <c r="A39" s="14" t="inlineStr">
        <is>
          <t>PO-00038</t>
        </is>
      </c>
      <c r="B39" s="14" t="inlineStr">
        <is>
          <t>S07</t>
        </is>
      </c>
      <c r="C39" s="14" t="inlineStr">
        <is>
          <t>NB-0002</t>
        </is>
      </c>
      <c r="D39" s="26" t="n">
        <v>45601</v>
      </c>
      <c r="E39" s="26" t="n">
        <v>45657</v>
      </c>
      <c r="F39" s="26" t="n">
        <v>45656</v>
      </c>
      <c r="G39" s="14" t="n">
        <v>108</v>
      </c>
      <c r="H39" s="14" t="n">
        <v>108</v>
      </c>
      <c r="I39" s="14" t="n">
        <v>2</v>
      </c>
      <c r="J39" s="58" t="n">
        <v>3802.68</v>
      </c>
      <c r="K39" s="59">
        <f>(F39-D39)/7</f>
        <v/>
      </c>
      <c r="L39" s="59">
        <f>K39^2</f>
        <v/>
      </c>
      <c r="M39" s="14">
        <f>IF(F39&lt;=E39,1,0)</f>
        <v/>
      </c>
      <c r="N39" s="14">
        <f>MAX(0,F39-E39)</f>
        <v/>
      </c>
    </row>
    <row r="40">
      <c r="A40" s="14" t="inlineStr">
        <is>
          <t>PO-00039</t>
        </is>
      </c>
      <c r="B40" s="14" t="inlineStr">
        <is>
          <t>S07</t>
        </is>
      </c>
      <c r="C40" s="14" t="inlineStr">
        <is>
          <t>NB-0002</t>
        </is>
      </c>
      <c r="D40" s="26" t="n">
        <v>45632</v>
      </c>
      <c r="E40" s="26" t="n">
        <v>45688</v>
      </c>
      <c r="F40" s="26" t="n">
        <v>45687</v>
      </c>
      <c r="G40" s="14" t="n">
        <v>80</v>
      </c>
      <c r="H40" s="14" t="n">
        <v>80</v>
      </c>
      <c r="I40" s="14" t="n">
        <v>2</v>
      </c>
      <c r="J40" s="58" t="n">
        <v>2816.8</v>
      </c>
      <c r="K40" s="59">
        <f>(F40-D40)/7</f>
        <v/>
      </c>
      <c r="L40" s="59">
        <f>K40^2</f>
        <v/>
      </c>
      <c r="M40" s="14">
        <f>IF(F40&lt;=E40,1,0)</f>
        <v/>
      </c>
      <c r="N40" s="14">
        <f>MAX(0,F40-E40)</f>
        <v/>
      </c>
    </row>
    <row r="41">
      <c r="A41" s="14" t="inlineStr">
        <is>
          <t>PO-00040</t>
        </is>
      </c>
      <c r="B41" s="14" t="inlineStr">
        <is>
          <t>S07</t>
        </is>
      </c>
      <c r="C41" s="14" t="inlineStr">
        <is>
          <t>NB-0002</t>
        </is>
      </c>
      <c r="D41" s="26" t="n">
        <v>45656</v>
      </c>
      <c r="E41" s="26" t="n">
        <v>45712</v>
      </c>
      <c r="F41" s="26" t="n">
        <v>45709</v>
      </c>
      <c r="G41" s="14" t="n">
        <v>97</v>
      </c>
      <c r="H41" s="14" t="n">
        <v>97</v>
      </c>
      <c r="I41" s="14" t="n">
        <v>3</v>
      </c>
      <c r="J41" s="58" t="n">
        <v>3415.37</v>
      </c>
      <c r="K41" s="59">
        <f>(F41-D41)/7</f>
        <v/>
      </c>
      <c r="L41" s="59">
        <f>K41^2</f>
        <v/>
      </c>
      <c r="M41" s="14">
        <f>IF(F41&lt;=E41,1,0)</f>
        <v/>
      </c>
      <c r="N41" s="14">
        <f>MAX(0,F41-E41)</f>
        <v/>
      </c>
    </row>
    <row r="42">
      <c r="A42" s="14" t="inlineStr">
        <is>
          <t>PO-00041</t>
        </is>
      </c>
      <c r="B42" s="14" t="inlineStr">
        <is>
          <t>S07</t>
        </is>
      </c>
      <c r="C42" s="14" t="inlineStr">
        <is>
          <t>NB-0002</t>
        </is>
      </c>
      <c r="D42" s="26" t="n">
        <v>45684</v>
      </c>
      <c r="E42" s="26" t="n">
        <v>45740</v>
      </c>
      <c r="F42" s="26" t="n">
        <v>45738</v>
      </c>
      <c r="G42" s="14" t="n">
        <v>89</v>
      </c>
      <c r="H42" s="14" t="n">
        <v>89</v>
      </c>
      <c r="I42" s="14" t="n">
        <v>3</v>
      </c>
      <c r="J42" s="58" t="n">
        <v>3133.69</v>
      </c>
      <c r="K42" s="59">
        <f>(F42-D42)/7</f>
        <v/>
      </c>
      <c r="L42" s="59">
        <f>K42^2</f>
        <v/>
      </c>
      <c r="M42" s="14">
        <f>IF(F42&lt;=E42,1,0)</f>
        <v/>
      </c>
      <c r="N42" s="14">
        <f>MAX(0,F42-E42)</f>
        <v/>
      </c>
    </row>
    <row r="43">
      <c r="A43" s="14" t="inlineStr">
        <is>
          <t>PO-00042</t>
        </is>
      </c>
      <c r="B43" s="14" t="inlineStr">
        <is>
          <t>S07</t>
        </is>
      </c>
      <c r="C43" s="14" t="inlineStr">
        <is>
          <t>NB-0002</t>
        </is>
      </c>
      <c r="D43" s="26" t="n">
        <v>45714</v>
      </c>
      <c r="E43" s="26" t="n">
        <v>45770</v>
      </c>
      <c r="F43" s="26" t="n">
        <v>45770</v>
      </c>
      <c r="G43" s="14" t="n">
        <v>107</v>
      </c>
      <c r="H43" s="14" t="n">
        <v>107</v>
      </c>
      <c r="I43" s="14" t="n">
        <v>3</v>
      </c>
      <c r="J43" s="58" t="n">
        <v>3767.47</v>
      </c>
      <c r="K43" s="59">
        <f>(F43-D43)/7</f>
        <v/>
      </c>
      <c r="L43" s="59">
        <f>K43^2</f>
        <v/>
      </c>
      <c r="M43" s="14">
        <f>IF(F43&lt;=E43,1,0)</f>
        <v/>
      </c>
      <c r="N43" s="14">
        <f>MAX(0,F43-E43)</f>
        <v/>
      </c>
    </row>
    <row r="44">
      <c r="A44" s="14" t="inlineStr">
        <is>
          <t>PO-00043</t>
        </is>
      </c>
      <c r="B44" s="14" t="inlineStr">
        <is>
          <t>S07</t>
        </is>
      </c>
      <c r="C44" s="14" t="inlineStr">
        <is>
          <t>NB-0002</t>
        </is>
      </c>
      <c r="D44" s="26" t="n">
        <v>45743</v>
      </c>
      <c r="E44" s="26" t="n">
        <v>45799</v>
      </c>
      <c r="F44" s="26" t="n">
        <v>45804</v>
      </c>
      <c r="G44" s="14" t="n">
        <v>93</v>
      </c>
      <c r="H44" s="14" t="n">
        <v>93</v>
      </c>
      <c r="I44" s="14" t="n">
        <v>2</v>
      </c>
      <c r="J44" s="58" t="n">
        <v>3274.53</v>
      </c>
      <c r="K44" s="59">
        <f>(F44-D44)/7</f>
        <v/>
      </c>
      <c r="L44" s="59">
        <f>K44^2</f>
        <v/>
      </c>
      <c r="M44" s="14">
        <f>IF(F44&lt;=E44,1,0)</f>
        <v/>
      </c>
      <c r="N44" s="14">
        <f>MAX(0,F44-E44)</f>
        <v/>
      </c>
    </row>
    <row r="45">
      <c r="A45" s="14" t="inlineStr">
        <is>
          <t>PO-00044</t>
        </is>
      </c>
      <c r="B45" s="14" t="inlineStr">
        <is>
          <t>S07</t>
        </is>
      </c>
      <c r="C45" s="14" t="inlineStr">
        <is>
          <t>NB-0002</t>
        </is>
      </c>
      <c r="D45" s="26" t="n">
        <v>45770</v>
      </c>
      <c r="E45" s="26" t="n">
        <v>45826</v>
      </c>
      <c r="F45" s="26" t="n">
        <v>45825</v>
      </c>
      <c r="G45" s="14" t="n">
        <v>105</v>
      </c>
      <c r="H45" s="14" t="n">
        <v>105</v>
      </c>
      <c r="I45" s="14" t="n">
        <v>0</v>
      </c>
      <c r="J45" s="58" t="n">
        <v>3697.05</v>
      </c>
      <c r="K45" s="59">
        <f>(F45-D45)/7</f>
        <v/>
      </c>
      <c r="L45" s="59">
        <f>K45^2</f>
        <v/>
      </c>
      <c r="M45" s="14">
        <f>IF(F45&lt;=E45,1,0)</f>
        <v/>
      </c>
      <c r="N45" s="14">
        <f>MAX(0,F45-E45)</f>
        <v/>
      </c>
    </row>
    <row r="46">
      <c r="A46" s="14" t="inlineStr">
        <is>
          <t>PO-00045</t>
        </is>
      </c>
      <c r="B46" s="14" t="inlineStr">
        <is>
          <t>S07</t>
        </is>
      </c>
      <c r="C46" s="14" t="inlineStr">
        <is>
          <t>NB-0002</t>
        </is>
      </c>
      <c r="D46" s="26" t="n">
        <v>45800</v>
      </c>
      <c r="E46" s="26" t="n">
        <v>45856</v>
      </c>
      <c r="F46" s="26" t="n">
        <v>45880</v>
      </c>
      <c r="G46" s="14" t="n">
        <v>86</v>
      </c>
      <c r="H46" s="14" t="n">
        <v>86</v>
      </c>
      <c r="I46" s="14" t="n">
        <v>0</v>
      </c>
      <c r="J46" s="58" t="n">
        <v>3028.06</v>
      </c>
      <c r="K46" s="59">
        <f>(F46-D46)/7</f>
        <v/>
      </c>
      <c r="L46" s="59">
        <f>K46^2</f>
        <v/>
      </c>
      <c r="M46" s="14">
        <f>IF(F46&lt;=E46,1,0)</f>
        <v/>
      </c>
      <c r="N46" s="14">
        <f>MAX(0,F46-E46)</f>
        <v/>
      </c>
    </row>
    <row r="47">
      <c r="A47" s="14" t="inlineStr">
        <is>
          <t>PO-00046</t>
        </is>
      </c>
      <c r="B47" s="14" t="inlineStr">
        <is>
          <t>S07</t>
        </is>
      </c>
      <c r="C47" s="14" t="inlineStr">
        <is>
          <t>NB-0002</t>
        </is>
      </c>
      <c r="D47" s="26" t="n">
        <v>45827</v>
      </c>
      <c r="E47" s="26" t="n">
        <v>45883</v>
      </c>
      <c r="F47" s="26" t="n">
        <v>45880</v>
      </c>
      <c r="G47" s="14" t="n">
        <v>82</v>
      </c>
      <c r="H47" s="14" t="n">
        <v>82</v>
      </c>
      <c r="I47" s="14" t="n">
        <v>2</v>
      </c>
      <c r="J47" s="58" t="n">
        <v>2887.22</v>
      </c>
      <c r="K47" s="59">
        <f>(F47-D47)/7</f>
        <v/>
      </c>
      <c r="L47" s="59">
        <f>K47^2</f>
        <v/>
      </c>
      <c r="M47" s="14">
        <f>IF(F47&lt;=E47,1,0)</f>
        <v/>
      </c>
      <c r="N47" s="14">
        <f>MAX(0,F47-E47)</f>
        <v/>
      </c>
    </row>
    <row r="48">
      <c r="A48" s="14" t="inlineStr">
        <is>
          <t>PO-00047</t>
        </is>
      </c>
      <c r="B48" s="14" t="inlineStr">
        <is>
          <t>S07</t>
        </is>
      </c>
      <c r="C48" s="14" t="inlineStr">
        <is>
          <t>NB-0002</t>
        </is>
      </c>
      <c r="D48" s="26" t="n">
        <v>45855</v>
      </c>
      <c r="E48" s="26" t="n">
        <v>45911</v>
      </c>
      <c r="F48" s="26" t="n">
        <v>45908</v>
      </c>
      <c r="G48" s="14" t="n">
        <v>101</v>
      </c>
      <c r="H48" s="14" t="n">
        <v>101</v>
      </c>
      <c r="I48" s="14" t="n">
        <v>1</v>
      </c>
      <c r="J48" s="58" t="n">
        <v>3556.21</v>
      </c>
      <c r="K48" s="59">
        <f>(F48-D48)/7</f>
        <v/>
      </c>
      <c r="L48" s="59">
        <f>K48^2</f>
        <v/>
      </c>
      <c r="M48" s="14">
        <f>IF(F48&lt;=E48,1,0)</f>
        <v/>
      </c>
      <c r="N48" s="14">
        <f>MAX(0,F48-E48)</f>
        <v/>
      </c>
    </row>
    <row r="49">
      <c r="A49" s="14" t="inlineStr">
        <is>
          <t>PO-00048</t>
        </is>
      </c>
      <c r="B49" s="14" t="inlineStr">
        <is>
          <t>S07</t>
        </is>
      </c>
      <c r="C49" s="14" t="inlineStr">
        <is>
          <t>NB-0002</t>
        </is>
      </c>
      <c r="D49" s="26" t="n">
        <v>45880</v>
      </c>
      <c r="E49" s="26" t="n">
        <v>45936</v>
      </c>
      <c r="F49" s="26" t="n">
        <v>45935</v>
      </c>
      <c r="G49" s="14" t="n">
        <v>109</v>
      </c>
      <c r="H49" s="14" t="n">
        <v>109</v>
      </c>
      <c r="I49" s="14" t="n">
        <v>1</v>
      </c>
      <c r="J49" s="58" t="n">
        <v>3837.89</v>
      </c>
      <c r="K49" s="59">
        <f>(F49-D49)/7</f>
        <v/>
      </c>
      <c r="L49" s="59">
        <f>K49^2</f>
        <v/>
      </c>
      <c r="M49" s="14">
        <f>IF(F49&lt;=E49,1,0)</f>
        <v/>
      </c>
      <c r="N49" s="14">
        <f>MAX(0,F49-E49)</f>
        <v/>
      </c>
    </row>
    <row r="50">
      <c r="A50" s="14" t="inlineStr">
        <is>
          <t>PO-00049</t>
        </is>
      </c>
      <c r="B50" s="14" t="inlineStr">
        <is>
          <t>S07</t>
        </is>
      </c>
      <c r="C50" s="14" t="inlineStr">
        <is>
          <t>NB-0002</t>
        </is>
      </c>
      <c r="D50" s="26" t="n">
        <v>45910</v>
      </c>
      <c r="E50" s="26" t="n">
        <v>45966</v>
      </c>
      <c r="F50" s="26" t="n">
        <v>45963</v>
      </c>
      <c r="G50" s="14" t="n">
        <v>100</v>
      </c>
      <c r="H50" s="14" t="n">
        <v>100</v>
      </c>
      <c r="I50" s="14" t="n">
        <v>1</v>
      </c>
      <c r="J50" s="58" t="n">
        <v>3521</v>
      </c>
      <c r="K50" s="59">
        <f>(F50-D50)/7</f>
        <v/>
      </c>
      <c r="L50" s="59">
        <f>K50^2</f>
        <v/>
      </c>
      <c r="M50" s="14">
        <f>IF(F50&lt;=E50,1,0)</f>
        <v/>
      </c>
      <c r="N50" s="14">
        <f>MAX(0,F50-E50)</f>
        <v/>
      </c>
    </row>
    <row r="51">
      <c r="A51" s="14" t="inlineStr">
        <is>
          <t>PO-00050</t>
        </is>
      </c>
      <c r="B51" s="14" t="inlineStr">
        <is>
          <t>S07</t>
        </is>
      </c>
      <c r="C51" s="14" t="inlineStr">
        <is>
          <t>NB-0002</t>
        </is>
      </c>
      <c r="D51" s="26" t="n">
        <v>45937</v>
      </c>
      <c r="E51" s="26" t="n">
        <v>45993</v>
      </c>
      <c r="F51" s="26" t="n">
        <v>46009</v>
      </c>
      <c r="G51" s="14" t="n">
        <v>101</v>
      </c>
      <c r="H51" s="14" t="n">
        <v>101</v>
      </c>
      <c r="I51" s="14" t="n">
        <v>0</v>
      </c>
      <c r="J51" s="58" t="n">
        <v>3556.21</v>
      </c>
      <c r="K51" s="59">
        <f>(F51-D51)/7</f>
        <v/>
      </c>
      <c r="L51" s="59">
        <f>K51^2</f>
        <v/>
      </c>
      <c r="M51" s="14">
        <f>IF(F51&lt;=E51,1,0)</f>
        <v/>
      </c>
      <c r="N51" s="14">
        <f>MAX(0,F51-E51)</f>
        <v/>
      </c>
    </row>
    <row r="52">
      <c r="A52" s="14" t="inlineStr">
        <is>
          <t>PO-00051</t>
        </is>
      </c>
      <c r="B52" s="14" t="inlineStr">
        <is>
          <t>S07</t>
        </is>
      </c>
      <c r="C52" s="14" t="inlineStr">
        <is>
          <t>NB-0002</t>
        </is>
      </c>
      <c r="D52" s="26" t="n">
        <v>45967</v>
      </c>
      <c r="E52" s="26" t="n">
        <v>46023</v>
      </c>
      <c r="F52" s="26" t="n">
        <v>46046</v>
      </c>
      <c r="G52" s="14" t="n">
        <v>86</v>
      </c>
      <c r="H52" s="14" t="n">
        <v>86</v>
      </c>
      <c r="I52" s="14" t="n">
        <v>0</v>
      </c>
      <c r="J52" s="58" t="n">
        <v>3028.06</v>
      </c>
      <c r="K52" s="59">
        <f>(F52-D52)/7</f>
        <v/>
      </c>
      <c r="L52" s="59">
        <f>K52^2</f>
        <v/>
      </c>
      <c r="M52" s="14">
        <f>IF(F52&lt;=E52,1,0)</f>
        <v/>
      </c>
      <c r="N52" s="14">
        <f>MAX(0,F52-E52)</f>
        <v/>
      </c>
    </row>
    <row r="53">
      <c r="A53" s="14" t="inlineStr">
        <is>
          <t>PO-00052</t>
        </is>
      </c>
      <c r="B53" s="14" t="inlineStr">
        <is>
          <t>S07</t>
        </is>
      </c>
      <c r="C53" s="14" t="inlineStr">
        <is>
          <t>NB-0002</t>
        </is>
      </c>
      <c r="D53" s="26" t="n">
        <v>45995</v>
      </c>
      <c r="E53" s="26" t="n">
        <v>46051</v>
      </c>
      <c r="F53" s="26" t="n">
        <v>46050</v>
      </c>
      <c r="G53" s="14" t="n">
        <v>105</v>
      </c>
      <c r="H53" s="14" t="n">
        <v>105</v>
      </c>
      <c r="I53" s="14" t="n">
        <v>2</v>
      </c>
      <c r="J53" s="58" t="n">
        <v>3697.05</v>
      </c>
      <c r="K53" s="59">
        <f>(F53-D53)/7</f>
        <v/>
      </c>
      <c r="L53" s="59">
        <f>K53^2</f>
        <v/>
      </c>
      <c r="M53" s="14">
        <f>IF(F53&lt;=E53,1,0)</f>
        <v/>
      </c>
      <c r="N53" s="14">
        <f>MAX(0,F53-E53)</f>
        <v/>
      </c>
    </row>
    <row r="54">
      <c r="A54" s="14" t="inlineStr">
        <is>
          <t>PO-00053</t>
        </is>
      </c>
      <c r="B54" s="14" t="inlineStr">
        <is>
          <t>S02</t>
        </is>
      </c>
      <c r="C54" s="14" t="inlineStr">
        <is>
          <t>NB-0003</t>
        </is>
      </c>
      <c r="D54" s="26" t="n">
        <v>45293</v>
      </c>
      <c r="E54" s="26" t="n">
        <v>45314</v>
      </c>
      <c r="F54" s="26" t="n">
        <v>45314</v>
      </c>
      <c r="G54" s="14" t="n">
        <v>593</v>
      </c>
      <c r="H54" s="14" t="n">
        <v>593</v>
      </c>
      <c r="I54" s="14" t="n">
        <v>1</v>
      </c>
      <c r="J54" s="58" t="n">
        <v>24906</v>
      </c>
      <c r="K54" s="59">
        <f>(F54-D54)/7</f>
        <v/>
      </c>
      <c r="L54" s="59">
        <f>K54^2</f>
        <v/>
      </c>
      <c r="M54" s="14">
        <f>IF(F54&lt;=E54,1,0)</f>
        <v/>
      </c>
      <c r="N54" s="14">
        <f>MAX(0,F54-E54)</f>
        <v/>
      </c>
    </row>
    <row r="55">
      <c r="A55" s="14" t="inlineStr">
        <is>
          <t>PO-00054</t>
        </is>
      </c>
      <c r="B55" s="14" t="inlineStr">
        <is>
          <t>S02</t>
        </is>
      </c>
      <c r="C55" s="14" t="inlineStr">
        <is>
          <t>NB-0003</t>
        </is>
      </c>
      <c r="D55" s="26" t="n">
        <v>45321</v>
      </c>
      <c r="E55" s="26" t="n">
        <v>45342</v>
      </c>
      <c r="F55" s="26" t="n">
        <v>45343</v>
      </c>
      <c r="G55" s="14" t="n">
        <v>644</v>
      </c>
      <c r="H55" s="14" t="n">
        <v>644</v>
      </c>
      <c r="I55" s="14" t="n">
        <v>3</v>
      </c>
      <c r="J55" s="58" t="n">
        <v>27048</v>
      </c>
      <c r="K55" s="59">
        <f>(F55-D55)/7</f>
        <v/>
      </c>
      <c r="L55" s="59">
        <f>K55^2</f>
        <v/>
      </c>
      <c r="M55" s="14">
        <f>IF(F55&lt;=E55,1,0)</f>
        <v/>
      </c>
      <c r="N55" s="14">
        <f>MAX(0,F55-E55)</f>
        <v/>
      </c>
    </row>
    <row r="56">
      <c r="A56" s="14" t="inlineStr">
        <is>
          <t>PO-00055</t>
        </is>
      </c>
      <c r="B56" s="14" t="inlineStr">
        <is>
          <t>S02</t>
        </is>
      </c>
      <c r="C56" s="14" t="inlineStr">
        <is>
          <t>NB-0003</t>
        </is>
      </c>
      <c r="D56" s="26" t="n">
        <v>45352</v>
      </c>
      <c r="E56" s="26" t="n">
        <v>45373</v>
      </c>
      <c r="F56" s="26" t="n">
        <v>45370</v>
      </c>
      <c r="G56" s="14" t="n">
        <v>617</v>
      </c>
      <c r="H56" s="14" t="n">
        <v>617</v>
      </c>
      <c r="I56" s="14" t="n">
        <v>6</v>
      </c>
      <c r="J56" s="58" t="n">
        <v>25914</v>
      </c>
      <c r="K56" s="59">
        <f>(F56-D56)/7</f>
        <v/>
      </c>
      <c r="L56" s="59">
        <f>K56^2</f>
        <v/>
      </c>
      <c r="M56" s="14">
        <f>IF(F56&lt;=E56,1,0)</f>
        <v/>
      </c>
      <c r="N56" s="14">
        <f>MAX(0,F56-E56)</f>
        <v/>
      </c>
    </row>
    <row r="57">
      <c r="A57" s="14" t="inlineStr">
        <is>
          <t>PO-00056</t>
        </is>
      </c>
      <c r="B57" s="14" t="inlineStr">
        <is>
          <t>S02</t>
        </is>
      </c>
      <c r="C57" s="14" t="inlineStr">
        <is>
          <t>NB-0003</t>
        </is>
      </c>
      <c r="D57" s="26" t="n">
        <v>45379</v>
      </c>
      <c r="E57" s="26" t="n">
        <v>45400</v>
      </c>
      <c r="F57" s="26" t="n">
        <v>45399</v>
      </c>
      <c r="G57" s="14" t="n">
        <v>542</v>
      </c>
      <c r="H57" s="14" t="n">
        <v>510</v>
      </c>
      <c r="I57" s="14" t="n">
        <v>3</v>
      </c>
      <c r="J57" s="58" t="n">
        <v>22764</v>
      </c>
      <c r="K57" s="59">
        <f>(F57-D57)/7</f>
        <v/>
      </c>
      <c r="L57" s="59">
        <f>K57^2</f>
        <v/>
      </c>
      <c r="M57" s="14">
        <f>IF(F57&lt;=E57,1,0)</f>
        <v/>
      </c>
      <c r="N57" s="14">
        <f>MAX(0,F57-E57)</f>
        <v/>
      </c>
    </row>
    <row r="58">
      <c r="A58" s="14" t="inlineStr">
        <is>
          <t>PO-00057</t>
        </is>
      </c>
      <c r="B58" s="14" t="inlineStr">
        <is>
          <t>S02</t>
        </is>
      </c>
      <c r="C58" s="14" t="inlineStr">
        <is>
          <t>NB-0003</t>
        </is>
      </c>
      <c r="D58" s="26" t="n">
        <v>45405</v>
      </c>
      <c r="E58" s="26" t="n">
        <v>45426</v>
      </c>
      <c r="F58" s="26" t="n">
        <v>45425</v>
      </c>
      <c r="G58" s="14" t="n">
        <v>639</v>
      </c>
      <c r="H58" s="14" t="n">
        <v>639</v>
      </c>
      <c r="I58" s="14" t="n">
        <v>3</v>
      </c>
      <c r="J58" s="58" t="n">
        <v>26838</v>
      </c>
      <c r="K58" s="59">
        <f>(F58-D58)/7</f>
        <v/>
      </c>
      <c r="L58" s="59">
        <f>K58^2</f>
        <v/>
      </c>
      <c r="M58" s="14">
        <f>IF(F58&lt;=E58,1,0)</f>
        <v/>
      </c>
      <c r="N58" s="14">
        <f>MAX(0,F58-E58)</f>
        <v/>
      </c>
    </row>
    <row r="59">
      <c r="A59" s="14" t="inlineStr">
        <is>
          <t>PO-00058</t>
        </is>
      </c>
      <c r="B59" s="14" t="inlineStr">
        <is>
          <t>S02</t>
        </is>
      </c>
      <c r="C59" s="14" t="inlineStr">
        <is>
          <t>NB-0003</t>
        </is>
      </c>
      <c r="D59" s="26" t="n">
        <v>45436</v>
      </c>
      <c r="E59" s="26" t="n">
        <v>45457</v>
      </c>
      <c r="F59" s="26" t="n">
        <v>45457</v>
      </c>
      <c r="G59" s="14" t="n">
        <v>668</v>
      </c>
      <c r="H59" s="14" t="n">
        <v>668</v>
      </c>
      <c r="I59" s="14" t="n">
        <v>6</v>
      </c>
      <c r="J59" s="58" t="n">
        <v>28056</v>
      </c>
      <c r="K59" s="59">
        <f>(F59-D59)/7</f>
        <v/>
      </c>
      <c r="L59" s="59">
        <f>K59^2</f>
        <v/>
      </c>
      <c r="M59" s="14">
        <f>IF(F59&lt;=E59,1,0)</f>
        <v/>
      </c>
      <c r="N59" s="14">
        <f>MAX(0,F59-E59)</f>
        <v/>
      </c>
    </row>
    <row r="60">
      <c r="A60" s="14" t="inlineStr">
        <is>
          <t>PO-00059</t>
        </is>
      </c>
      <c r="B60" s="14" t="inlineStr">
        <is>
          <t>S02</t>
        </is>
      </c>
      <c r="C60" s="14" t="inlineStr">
        <is>
          <t>NB-0003</t>
        </is>
      </c>
      <c r="D60" s="26" t="n">
        <v>45463</v>
      </c>
      <c r="E60" s="26" t="n">
        <v>45484</v>
      </c>
      <c r="F60" s="26" t="n">
        <v>45481</v>
      </c>
      <c r="G60" s="14" t="n">
        <v>657</v>
      </c>
      <c r="H60" s="14" t="n">
        <v>657</v>
      </c>
      <c r="I60" s="14" t="n">
        <v>2</v>
      </c>
      <c r="J60" s="58" t="n">
        <v>27594</v>
      </c>
      <c r="K60" s="59">
        <f>(F60-D60)/7</f>
        <v/>
      </c>
      <c r="L60" s="59">
        <f>K60^2</f>
        <v/>
      </c>
      <c r="M60" s="14">
        <f>IF(F60&lt;=E60,1,0)</f>
        <v/>
      </c>
      <c r="N60" s="14">
        <f>MAX(0,F60-E60)</f>
        <v/>
      </c>
    </row>
    <row r="61">
      <c r="A61" s="14" t="inlineStr">
        <is>
          <t>PO-00060</t>
        </is>
      </c>
      <c r="B61" s="14" t="inlineStr">
        <is>
          <t>S02</t>
        </is>
      </c>
      <c r="C61" s="14" t="inlineStr">
        <is>
          <t>NB-0003</t>
        </is>
      </c>
      <c r="D61" s="26" t="n">
        <v>45492</v>
      </c>
      <c r="E61" s="26" t="n">
        <v>45513</v>
      </c>
      <c r="F61" s="26" t="n">
        <v>45513</v>
      </c>
      <c r="G61" s="14" t="n">
        <v>516</v>
      </c>
      <c r="H61" s="14" t="n">
        <v>516</v>
      </c>
      <c r="I61" s="14" t="n">
        <v>6</v>
      </c>
      <c r="J61" s="58" t="n">
        <v>21672</v>
      </c>
      <c r="K61" s="59">
        <f>(F61-D61)/7</f>
        <v/>
      </c>
      <c r="L61" s="59">
        <f>K61^2</f>
        <v/>
      </c>
      <c r="M61" s="14">
        <f>IF(F61&lt;=E61,1,0)</f>
        <v/>
      </c>
      <c r="N61" s="14">
        <f>MAX(0,F61-E61)</f>
        <v/>
      </c>
    </row>
    <row r="62">
      <c r="A62" s="14" t="inlineStr">
        <is>
          <t>PO-00061</t>
        </is>
      </c>
      <c r="B62" s="14" t="inlineStr">
        <is>
          <t>S02</t>
        </is>
      </c>
      <c r="C62" s="14" t="inlineStr">
        <is>
          <t>NB-0003</t>
        </is>
      </c>
      <c r="D62" s="26" t="n">
        <v>45519</v>
      </c>
      <c r="E62" s="26" t="n">
        <v>45540</v>
      </c>
      <c r="F62" s="26" t="n">
        <v>45537</v>
      </c>
      <c r="G62" s="14" t="n">
        <v>626</v>
      </c>
      <c r="H62" s="14" t="n">
        <v>626</v>
      </c>
      <c r="I62" s="14" t="n">
        <v>5</v>
      </c>
      <c r="J62" s="58" t="n">
        <v>26292</v>
      </c>
      <c r="K62" s="59">
        <f>(F62-D62)/7</f>
        <v/>
      </c>
      <c r="L62" s="59">
        <f>K62^2</f>
        <v/>
      </c>
      <c r="M62" s="14">
        <f>IF(F62&lt;=E62,1,0)</f>
        <v/>
      </c>
      <c r="N62" s="14">
        <f>MAX(0,F62-E62)</f>
        <v/>
      </c>
    </row>
    <row r="63">
      <c r="A63" s="14" t="inlineStr">
        <is>
          <t>PO-00062</t>
        </is>
      </c>
      <c r="B63" s="14" t="inlineStr">
        <is>
          <t>S02</t>
        </is>
      </c>
      <c r="C63" s="14" t="inlineStr">
        <is>
          <t>NB-0003</t>
        </is>
      </c>
      <c r="D63" s="26" t="n">
        <v>45546</v>
      </c>
      <c r="E63" s="26" t="n">
        <v>45567</v>
      </c>
      <c r="F63" s="26" t="n">
        <v>45566</v>
      </c>
      <c r="G63" s="14" t="n">
        <v>607</v>
      </c>
      <c r="H63" s="14" t="n">
        <v>607</v>
      </c>
      <c r="I63" s="14" t="n">
        <v>5</v>
      </c>
      <c r="J63" s="58" t="n">
        <v>25494</v>
      </c>
      <c r="K63" s="59">
        <f>(F63-D63)/7</f>
        <v/>
      </c>
      <c r="L63" s="59">
        <f>K63^2</f>
        <v/>
      </c>
      <c r="M63" s="14">
        <f>IF(F63&lt;=E63,1,0)</f>
        <v/>
      </c>
      <c r="N63" s="14">
        <f>MAX(0,F63-E63)</f>
        <v/>
      </c>
    </row>
    <row r="64">
      <c r="A64" s="14" t="inlineStr">
        <is>
          <t>PO-00063</t>
        </is>
      </c>
      <c r="B64" s="14" t="inlineStr">
        <is>
          <t>S02</t>
        </is>
      </c>
      <c r="C64" s="14" t="inlineStr">
        <is>
          <t>NB-0003</t>
        </is>
      </c>
      <c r="D64" s="26" t="n">
        <v>45575</v>
      </c>
      <c r="E64" s="26" t="n">
        <v>45596</v>
      </c>
      <c r="F64" s="26" t="n">
        <v>45593</v>
      </c>
      <c r="G64" s="14" t="n">
        <v>505</v>
      </c>
      <c r="H64" s="14" t="n">
        <v>505</v>
      </c>
      <c r="I64" s="14" t="n">
        <v>4</v>
      </c>
      <c r="J64" s="58" t="n">
        <v>21210</v>
      </c>
      <c r="K64" s="59">
        <f>(F64-D64)/7</f>
        <v/>
      </c>
      <c r="L64" s="59">
        <f>K64^2</f>
        <v/>
      </c>
      <c r="M64" s="14">
        <f>IF(F64&lt;=E64,1,0)</f>
        <v/>
      </c>
      <c r="N64" s="14">
        <f>MAX(0,F64-E64)</f>
        <v/>
      </c>
    </row>
    <row r="65">
      <c r="A65" s="14" t="inlineStr">
        <is>
          <t>PO-00064</t>
        </is>
      </c>
      <c r="B65" s="14" t="inlineStr">
        <is>
          <t>S02</t>
        </is>
      </c>
      <c r="C65" s="14" t="inlineStr">
        <is>
          <t>NB-0003</t>
        </is>
      </c>
      <c r="D65" s="26" t="n">
        <v>45602</v>
      </c>
      <c r="E65" s="26" t="n">
        <v>45623</v>
      </c>
      <c r="F65" s="26" t="n">
        <v>45621</v>
      </c>
      <c r="G65" s="14" t="n">
        <v>638</v>
      </c>
      <c r="H65" s="14" t="n">
        <v>638</v>
      </c>
      <c r="I65" s="14" t="n">
        <v>2</v>
      </c>
      <c r="J65" s="58" t="n">
        <v>26796</v>
      </c>
      <c r="K65" s="59">
        <f>(F65-D65)/7</f>
        <v/>
      </c>
      <c r="L65" s="59">
        <f>K65^2</f>
        <v/>
      </c>
      <c r="M65" s="14">
        <f>IF(F65&lt;=E65,1,0)</f>
        <v/>
      </c>
      <c r="N65" s="14">
        <f>MAX(0,F65-E65)</f>
        <v/>
      </c>
    </row>
    <row r="66">
      <c r="A66" s="14" t="inlineStr">
        <is>
          <t>PO-00065</t>
        </is>
      </c>
      <c r="B66" s="14" t="inlineStr">
        <is>
          <t>S02</t>
        </is>
      </c>
      <c r="C66" s="14" t="inlineStr">
        <is>
          <t>NB-0003</t>
        </is>
      </c>
      <c r="D66" s="26" t="n">
        <v>45631</v>
      </c>
      <c r="E66" s="26" t="n">
        <v>45652</v>
      </c>
      <c r="F66" s="26" t="n">
        <v>45650</v>
      </c>
      <c r="G66" s="14" t="n">
        <v>564</v>
      </c>
      <c r="H66" s="14" t="n">
        <v>564</v>
      </c>
      <c r="I66" s="14" t="n">
        <v>4</v>
      </c>
      <c r="J66" s="58" t="n">
        <v>23688</v>
      </c>
      <c r="K66" s="59">
        <f>(F66-D66)/7</f>
        <v/>
      </c>
      <c r="L66" s="59">
        <f>K66^2</f>
        <v/>
      </c>
      <c r="M66" s="14">
        <f>IF(F66&lt;=E66,1,0)</f>
        <v/>
      </c>
      <c r="N66" s="14">
        <f>MAX(0,F66-E66)</f>
        <v/>
      </c>
    </row>
    <row r="67">
      <c r="A67" s="14" t="inlineStr">
        <is>
          <t>PO-00066</t>
        </is>
      </c>
      <c r="B67" s="14" t="inlineStr">
        <is>
          <t>S02</t>
        </is>
      </c>
      <c r="C67" s="14" t="inlineStr">
        <is>
          <t>NB-0003</t>
        </is>
      </c>
      <c r="D67" s="26" t="n">
        <v>45659</v>
      </c>
      <c r="E67" s="26" t="n">
        <v>45680</v>
      </c>
      <c r="F67" s="26" t="n">
        <v>45679</v>
      </c>
      <c r="G67" s="14" t="n">
        <v>528</v>
      </c>
      <c r="H67" s="14" t="n">
        <v>528</v>
      </c>
      <c r="I67" s="14" t="n">
        <v>2</v>
      </c>
      <c r="J67" s="58" t="n">
        <v>22176</v>
      </c>
      <c r="K67" s="59">
        <f>(F67-D67)/7</f>
        <v/>
      </c>
      <c r="L67" s="59">
        <f>K67^2</f>
        <v/>
      </c>
      <c r="M67" s="14">
        <f>IF(F67&lt;=E67,1,0)</f>
        <v/>
      </c>
      <c r="N67" s="14">
        <f>MAX(0,F67-E67)</f>
        <v/>
      </c>
    </row>
    <row r="68">
      <c r="A68" s="14" t="inlineStr">
        <is>
          <t>PO-00067</t>
        </is>
      </c>
      <c r="B68" s="14" t="inlineStr">
        <is>
          <t>S02</t>
        </is>
      </c>
      <c r="C68" s="14" t="inlineStr">
        <is>
          <t>NB-0003</t>
        </is>
      </c>
      <c r="D68" s="26" t="n">
        <v>45684</v>
      </c>
      <c r="E68" s="26" t="n">
        <v>45705</v>
      </c>
      <c r="F68" s="26" t="n">
        <v>45704</v>
      </c>
      <c r="G68" s="14" t="n">
        <v>599</v>
      </c>
      <c r="H68" s="14" t="n">
        <v>599</v>
      </c>
      <c r="I68" s="14" t="n">
        <v>3</v>
      </c>
      <c r="J68" s="58" t="n">
        <v>25158</v>
      </c>
      <c r="K68" s="59">
        <f>(F68-D68)/7</f>
        <v/>
      </c>
      <c r="L68" s="59">
        <f>K68^2</f>
        <v/>
      </c>
      <c r="M68" s="14">
        <f>IF(F68&lt;=E68,1,0)</f>
        <v/>
      </c>
      <c r="N68" s="14">
        <f>MAX(0,F68-E68)</f>
        <v/>
      </c>
    </row>
    <row r="69">
      <c r="A69" s="14" t="inlineStr">
        <is>
          <t>PO-00068</t>
        </is>
      </c>
      <c r="B69" s="14" t="inlineStr">
        <is>
          <t>S02</t>
        </is>
      </c>
      <c r="C69" s="14" t="inlineStr">
        <is>
          <t>NB-0003</t>
        </is>
      </c>
      <c r="D69" s="26" t="n">
        <v>45715</v>
      </c>
      <c r="E69" s="26" t="n">
        <v>45736</v>
      </c>
      <c r="F69" s="26" t="n">
        <v>45736</v>
      </c>
      <c r="G69" s="14" t="n">
        <v>625</v>
      </c>
      <c r="H69" s="14" t="n">
        <v>625</v>
      </c>
      <c r="I69" s="14" t="n">
        <v>4</v>
      </c>
      <c r="J69" s="58" t="n">
        <v>26250</v>
      </c>
      <c r="K69" s="59">
        <f>(F69-D69)/7</f>
        <v/>
      </c>
      <c r="L69" s="59">
        <f>K69^2</f>
        <v/>
      </c>
      <c r="M69" s="14">
        <f>IF(F69&lt;=E69,1,0)</f>
        <v/>
      </c>
      <c r="N69" s="14">
        <f>MAX(0,F69-E69)</f>
        <v/>
      </c>
    </row>
    <row r="70">
      <c r="A70" s="14" t="inlineStr">
        <is>
          <t>PO-00069</t>
        </is>
      </c>
      <c r="B70" s="14" t="inlineStr">
        <is>
          <t>S02</t>
        </is>
      </c>
      <c r="C70" s="14" t="inlineStr">
        <is>
          <t>NB-0003</t>
        </is>
      </c>
      <c r="D70" s="26" t="n">
        <v>45740</v>
      </c>
      <c r="E70" s="26" t="n">
        <v>45761</v>
      </c>
      <c r="F70" s="26" t="n">
        <v>45760</v>
      </c>
      <c r="G70" s="14" t="n">
        <v>589</v>
      </c>
      <c r="H70" s="14" t="n">
        <v>589</v>
      </c>
      <c r="I70" s="14" t="n">
        <v>2</v>
      </c>
      <c r="J70" s="58" t="n">
        <v>24738</v>
      </c>
      <c r="K70" s="59">
        <f>(F70-D70)/7</f>
        <v/>
      </c>
      <c r="L70" s="59">
        <f>K70^2</f>
        <v/>
      </c>
      <c r="M70" s="14">
        <f>IF(F70&lt;=E70,1,0)</f>
        <v/>
      </c>
      <c r="N70" s="14">
        <f>MAX(0,F70-E70)</f>
        <v/>
      </c>
    </row>
    <row r="71">
      <c r="A71" s="14" t="inlineStr">
        <is>
          <t>PO-00070</t>
        </is>
      </c>
      <c r="B71" s="14" t="inlineStr">
        <is>
          <t>S02</t>
        </is>
      </c>
      <c r="C71" s="14" t="inlineStr">
        <is>
          <t>NB-0003</t>
        </is>
      </c>
      <c r="D71" s="26" t="n">
        <v>45769</v>
      </c>
      <c r="E71" s="26" t="n">
        <v>45790</v>
      </c>
      <c r="F71" s="26" t="n">
        <v>45790</v>
      </c>
      <c r="G71" s="14" t="n">
        <v>608</v>
      </c>
      <c r="H71" s="14" t="n">
        <v>608</v>
      </c>
      <c r="I71" s="14" t="n">
        <v>2</v>
      </c>
      <c r="J71" s="58" t="n">
        <v>25536</v>
      </c>
      <c r="K71" s="59">
        <f>(F71-D71)/7</f>
        <v/>
      </c>
      <c r="L71" s="59">
        <f>K71^2</f>
        <v/>
      </c>
      <c r="M71" s="14">
        <f>IF(F71&lt;=E71,1,0)</f>
        <v/>
      </c>
      <c r="N71" s="14">
        <f>MAX(0,F71-E71)</f>
        <v/>
      </c>
    </row>
    <row r="72">
      <c r="A72" s="14" t="inlineStr">
        <is>
          <t>PO-00071</t>
        </is>
      </c>
      <c r="B72" s="14" t="inlineStr">
        <is>
          <t>S02</t>
        </is>
      </c>
      <c r="C72" s="14" t="inlineStr">
        <is>
          <t>NB-0003</t>
        </is>
      </c>
      <c r="D72" s="26" t="n">
        <v>45800</v>
      </c>
      <c r="E72" s="26" t="n">
        <v>45821</v>
      </c>
      <c r="F72" s="26" t="n">
        <v>45819</v>
      </c>
      <c r="G72" s="14" t="n">
        <v>513</v>
      </c>
      <c r="H72" s="14" t="n">
        <v>513</v>
      </c>
      <c r="I72" s="14" t="n">
        <v>0</v>
      </c>
      <c r="J72" s="58" t="n">
        <v>21546</v>
      </c>
      <c r="K72" s="59">
        <f>(F72-D72)/7</f>
        <v/>
      </c>
      <c r="L72" s="59">
        <f>K72^2</f>
        <v/>
      </c>
      <c r="M72" s="14">
        <f>IF(F72&lt;=E72,1,0)</f>
        <v/>
      </c>
      <c r="N72" s="14">
        <f>MAX(0,F72-E72)</f>
        <v/>
      </c>
    </row>
    <row r="73">
      <c r="A73" s="14" t="inlineStr">
        <is>
          <t>PO-00072</t>
        </is>
      </c>
      <c r="B73" s="14" t="inlineStr">
        <is>
          <t>S02</t>
        </is>
      </c>
      <c r="C73" s="14" t="inlineStr">
        <is>
          <t>NB-0003</t>
        </is>
      </c>
      <c r="D73" s="26" t="n">
        <v>45828</v>
      </c>
      <c r="E73" s="26" t="n">
        <v>45849</v>
      </c>
      <c r="F73" s="26" t="n">
        <v>45847</v>
      </c>
      <c r="G73" s="14" t="n">
        <v>543</v>
      </c>
      <c r="H73" s="14" t="n">
        <v>543</v>
      </c>
      <c r="I73" s="14" t="n">
        <v>3</v>
      </c>
      <c r="J73" s="58" t="n">
        <v>22806</v>
      </c>
      <c r="K73" s="59">
        <f>(F73-D73)/7</f>
        <v/>
      </c>
      <c r="L73" s="59">
        <f>K73^2</f>
        <v/>
      </c>
      <c r="M73" s="14">
        <f>IF(F73&lt;=E73,1,0)</f>
        <v/>
      </c>
      <c r="N73" s="14">
        <f>MAX(0,F73-E73)</f>
        <v/>
      </c>
    </row>
    <row r="74">
      <c r="A74" s="14" t="inlineStr">
        <is>
          <t>PO-00073</t>
        </is>
      </c>
      <c r="B74" s="14" t="inlineStr">
        <is>
          <t>S02</t>
        </is>
      </c>
      <c r="C74" s="14" t="inlineStr">
        <is>
          <t>NB-0003</t>
        </is>
      </c>
      <c r="D74" s="26" t="n">
        <v>45856</v>
      </c>
      <c r="E74" s="26" t="n">
        <v>45877</v>
      </c>
      <c r="F74" s="26" t="n">
        <v>45876</v>
      </c>
      <c r="G74" s="14" t="n">
        <v>605</v>
      </c>
      <c r="H74" s="14" t="n">
        <v>565</v>
      </c>
      <c r="I74" s="14" t="n">
        <v>4</v>
      </c>
      <c r="J74" s="58" t="n">
        <v>25410</v>
      </c>
      <c r="K74" s="59">
        <f>(F74-D74)/7</f>
        <v/>
      </c>
      <c r="L74" s="59">
        <f>K74^2</f>
        <v/>
      </c>
      <c r="M74" s="14">
        <f>IF(F74&lt;=E74,1,0)</f>
        <v/>
      </c>
      <c r="N74" s="14">
        <f>MAX(0,F74-E74)</f>
        <v/>
      </c>
    </row>
    <row r="75">
      <c r="A75" s="14" t="inlineStr">
        <is>
          <t>PO-00074</t>
        </is>
      </c>
      <c r="B75" s="14" t="inlineStr">
        <is>
          <t>S02</t>
        </is>
      </c>
      <c r="C75" s="14" t="inlineStr">
        <is>
          <t>NB-0003</t>
        </is>
      </c>
      <c r="D75" s="26" t="n">
        <v>45883</v>
      </c>
      <c r="E75" s="26" t="n">
        <v>45904</v>
      </c>
      <c r="F75" s="26" t="n">
        <v>45903</v>
      </c>
      <c r="G75" s="14" t="n">
        <v>629</v>
      </c>
      <c r="H75" s="14" t="n">
        <v>629</v>
      </c>
      <c r="I75" s="14" t="n">
        <v>2</v>
      </c>
      <c r="J75" s="58" t="n">
        <v>26418</v>
      </c>
      <c r="K75" s="59">
        <f>(F75-D75)/7</f>
        <v/>
      </c>
      <c r="L75" s="59">
        <f>K75^2</f>
        <v/>
      </c>
      <c r="M75" s="14">
        <f>IF(F75&lt;=E75,1,0)</f>
        <v/>
      </c>
      <c r="N75" s="14">
        <f>MAX(0,F75-E75)</f>
        <v/>
      </c>
    </row>
    <row r="76">
      <c r="A76" s="14" t="inlineStr">
        <is>
          <t>PO-00075</t>
        </is>
      </c>
      <c r="B76" s="14" t="inlineStr">
        <is>
          <t>S02</t>
        </is>
      </c>
      <c r="C76" s="14" t="inlineStr">
        <is>
          <t>NB-0003</t>
        </is>
      </c>
      <c r="D76" s="26" t="n">
        <v>45912</v>
      </c>
      <c r="E76" s="26" t="n">
        <v>45933</v>
      </c>
      <c r="F76" s="26" t="n">
        <v>45931</v>
      </c>
      <c r="G76" s="14" t="n">
        <v>532</v>
      </c>
      <c r="H76" s="14" t="n">
        <v>532</v>
      </c>
      <c r="I76" s="14" t="n">
        <v>1</v>
      </c>
      <c r="J76" s="58" t="n">
        <v>22344</v>
      </c>
      <c r="K76" s="59">
        <f>(F76-D76)/7</f>
        <v/>
      </c>
      <c r="L76" s="59">
        <f>K76^2</f>
        <v/>
      </c>
      <c r="M76" s="14">
        <f>IF(F76&lt;=E76,1,0)</f>
        <v/>
      </c>
      <c r="N76" s="14">
        <f>MAX(0,F76-E76)</f>
        <v/>
      </c>
    </row>
    <row r="77">
      <c r="A77" s="14" t="inlineStr">
        <is>
          <t>PO-00076</t>
        </is>
      </c>
      <c r="B77" s="14" t="inlineStr">
        <is>
          <t>S02</t>
        </is>
      </c>
      <c r="C77" s="14" t="inlineStr">
        <is>
          <t>NB-0003</t>
        </is>
      </c>
      <c r="D77" s="26" t="n">
        <v>45937</v>
      </c>
      <c r="E77" s="26" t="n">
        <v>45958</v>
      </c>
      <c r="F77" s="26" t="n">
        <v>45956</v>
      </c>
      <c r="G77" s="14" t="n">
        <v>526</v>
      </c>
      <c r="H77" s="14" t="n">
        <v>526</v>
      </c>
      <c r="I77" s="14" t="n">
        <v>4</v>
      </c>
      <c r="J77" s="58" t="n">
        <v>22092</v>
      </c>
      <c r="K77" s="59">
        <f>(F77-D77)/7</f>
        <v/>
      </c>
      <c r="L77" s="59">
        <f>K77^2</f>
        <v/>
      </c>
      <c r="M77" s="14">
        <f>IF(F77&lt;=E77,1,0)</f>
        <v/>
      </c>
      <c r="N77" s="14">
        <f>MAX(0,F77-E77)</f>
        <v/>
      </c>
    </row>
    <row r="78">
      <c r="A78" s="14" t="inlineStr">
        <is>
          <t>PO-00077</t>
        </is>
      </c>
      <c r="B78" s="14" t="inlineStr">
        <is>
          <t>S02</t>
        </is>
      </c>
      <c r="C78" s="14" t="inlineStr">
        <is>
          <t>NB-0003</t>
        </is>
      </c>
      <c r="D78" s="26" t="n">
        <v>45967</v>
      </c>
      <c r="E78" s="26" t="n">
        <v>45988</v>
      </c>
      <c r="F78" s="26" t="n">
        <v>45988</v>
      </c>
      <c r="G78" s="14" t="n">
        <v>549</v>
      </c>
      <c r="H78" s="14" t="n">
        <v>549</v>
      </c>
      <c r="I78" s="14" t="n">
        <v>7</v>
      </c>
      <c r="J78" s="58" t="n">
        <v>23058</v>
      </c>
      <c r="K78" s="59">
        <f>(F78-D78)/7</f>
        <v/>
      </c>
      <c r="L78" s="59">
        <f>K78^2</f>
        <v/>
      </c>
      <c r="M78" s="14">
        <f>IF(F78&lt;=E78,1,0)</f>
        <v/>
      </c>
      <c r="N78" s="14">
        <f>MAX(0,F78-E78)</f>
        <v/>
      </c>
    </row>
    <row r="79">
      <c r="A79" s="14" t="inlineStr">
        <is>
          <t>PO-00078</t>
        </is>
      </c>
      <c r="B79" s="14" t="inlineStr">
        <is>
          <t>S02</t>
        </is>
      </c>
      <c r="C79" s="14" t="inlineStr">
        <is>
          <t>NB-0003</t>
        </is>
      </c>
      <c r="D79" s="26" t="n">
        <v>45993</v>
      </c>
      <c r="E79" s="26" t="n">
        <v>46014</v>
      </c>
      <c r="F79" s="26" t="n">
        <v>46013</v>
      </c>
      <c r="G79" s="14" t="n">
        <v>592</v>
      </c>
      <c r="H79" s="14" t="n">
        <v>592</v>
      </c>
      <c r="I79" s="14" t="n">
        <v>5</v>
      </c>
      <c r="J79" s="58" t="n">
        <v>24864</v>
      </c>
      <c r="K79" s="59">
        <f>(F79-D79)/7</f>
        <v/>
      </c>
      <c r="L79" s="59">
        <f>K79^2</f>
        <v/>
      </c>
      <c r="M79" s="14">
        <f>IF(F79&lt;=E79,1,0)</f>
        <v/>
      </c>
      <c r="N79" s="14">
        <f>MAX(0,F79-E79)</f>
        <v/>
      </c>
    </row>
    <row r="80">
      <c r="A80" s="14" t="inlineStr">
        <is>
          <t>PO-00079</t>
        </is>
      </c>
      <c r="B80" s="14" t="inlineStr">
        <is>
          <t>S08</t>
        </is>
      </c>
      <c r="C80" s="14" t="inlineStr">
        <is>
          <t>NB-0004</t>
        </is>
      </c>
      <c r="D80" s="26" t="n">
        <v>45293</v>
      </c>
      <c r="E80" s="26" t="n">
        <v>45363</v>
      </c>
      <c r="F80" s="26" t="n">
        <v>45376</v>
      </c>
      <c r="G80" s="14" t="n">
        <v>325</v>
      </c>
      <c r="H80" s="14" t="n">
        <v>325</v>
      </c>
      <c r="I80" s="14" t="n">
        <v>11</v>
      </c>
      <c r="J80" s="58" t="n">
        <v>2151.5</v>
      </c>
      <c r="K80" s="59">
        <f>(F80-D80)/7</f>
        <v/>
      </c>
      <c r="L80" s="59">
        <f>K80^2</f>
        <v/>
      </c>
      <c r="M80" s="14">
        <f>IF(F80&lt;=E80,1,0)</f>
        <v/>
      </c>
      <c r="N80" s="14">
        <f>MAX(0,F80-E80)</f>
        <v/>
      </c>
    </row>
    <row r="81">
      <c r="A81" s="14" t="inlineStr">
        <is>
          <t>PO-00080</t>
        </is>
      </c>
      <c r="B81" s="14" t="inlineStr">
        <is>
          <t>S08</t>
        </is>
      </c>
      <c r="C81" s="14" t="inlineStr">
        <is>
          <t>NB-0004</t>
        </is>
      </c>
      <c r="D81" s="26" t="n">
        <v>45322</v>
      </c>
      <c r="E81" s="26" t="n">
        <v>45392</v>
      </c>
      <c r="F81" s="26" t="n">
        <v>45392</v>
      </c>
      <c r="G81" s="14" t="n">
        <v>414</v>
      </c>
      <c r="H81" s="14" t="n">
        <v>414</v>
      </c>
      <c r="I81" s="14" t="n">
        <v>10</v>
      </c>
      <c r="J81" s="58" t="n">
        <v>2740.68</v>
      </c>
      <c r="K81" s="59">
        <f>(F81-D81)/7</f>
        <v/>
      </c>
      <c r="L81" s="59">
        <f>K81^2</f>
        <v/>
      </c>
      <c r="M81" s="14">
        <f>IF(F81&lt;=E81,1,0)</f>
        <v/>
      </c>
      <c r="N81" s="14">
        <f>MAX(0,F81-E81)</f>
        <v/>
      </c>
    </row>
    <row r="82">
      <c r="A82" s="14" t="inlineStr">
        <is>
          <t>PO-00081</t>
        </is>
      </c>
      <c r="B82" s="14" t="inlineStr">
        <is>
          <t>S08</t>
        </is>
      </c>
      <c r="C82" s="14" t="inlineStr">
        <is>
          <t>NB-0004</t>
        </is>
      </c>
      <c r="D82" s="26" t="n">
        <v>45352</v>
      </c>
      <c r="E82" s="26" t="n">
        <v>45422</v>
      </c>
      <c r="F82" s="26" t="n">
        <v>45422</v>
      </c>
      <c r="G82" s="14" t="n">
        <v>421</v>
      </c>
      <c r="H82" s="14" t="n">
        <v>421</v>
      </c>
      <c r="I82" s="14" t="n">
        <v>13</v>
      </c>
      <c r="J82" s="58" t="n">
        <v>2787.02</v>
      </c>
      <c r="K82" s="59">
        <f>(F82-D82)/7</f>
        <v/>
      </c>
      <c r="L82" s="59">
        <f>K82^2</f>
        <v/>
      </c>
      <c r="M82" s="14">
        <f>IF(F82&lt;=E82,1,0)</f>
        <v/>
      </c>
      <c r="N82" s="14">
        <f>MAX(0,F82-E82)</f>
        <v/>
      </c>
    </row>
    <row r="83">
      <c r="A83" s="14" t="inlineStr">
        <is>
          <t>PO-00082</t>
        </is>
      </c>
      <c r="B83" s="14" t="inlineStr">
        <is>
          <t>S08</t>
        </is>
      </c>
      <c r="C83" s="14" t="inlineStr">
        <is>
          <t>NB-0004</t>
        </is>
      </c>
      <c r="D83" s="26" t="n">
        <v>45380</v>
      </c>
      <c r="E83" s="26" t="n">
        <v>45450</v>
      </c>
      <c r="F83" s="26" t="n">
        <v>45449</v>
      </c>
      <c r="G83" s="14" t="n">
        <v>427</v>
      </c>
      <c r="H83" s="14" t="n">
        <v>427</v>
      </c>
      <c r="I83" s="14" t="n">
        <v>9</v>
      </c>
      <c r="J83" s="58" t="n">
        <v>2826.74</v>
      </c>
      <c r="K83" s="59">
        <f>(F83-D83)/7</f>
        <v/>
      </c>
      <c r="L83" s="59">
        <f>K83^2</f>
        <v/>
      </c>
      <c r="M83" s="14">
        <f>IF(F83&lt;=E83,1,0)</f>
        <v/>
      </c>
      <c r="N83" s="14">
        <f>MAX(0,F83-E83)</f>
        <v/>
      </c>
    </row>
    <row r="84">
      <c r="A84" s="14" t="inlineStr">
        <is>
          <t>PO-00083</t>
        </is>
      </c>
      <c r="B84" s="14" t="inlineStr">
        <is>
          <t>S08</t>
        </is>
      </c>
      <c r="C84" s="14" t="inlineStr">
        <is>
          <t>NB-0004</t>
        </is>
      </c>
      <c r="D84" s="26" t="n">
        <v>45407</v>
      </c>
      <c r="E84" s="26" t="n">
        <v>45477</v>
      </c>
      <c r="F84" s="26" t="n">
        <v>45477</v>
      </c>
      <c r="G84" s="14" t="n">
        <v>438</v>
      </c>
      <c r="H84" s="14" t="n">
        <v>438</v>
      </c>
      <c r="I84" s="14" t="n">
        <v>9</v>
      </c>
      <c r="J84" s="58" t="n">
        <v>2899.56</v>
      </c>
      <c r="K84" s="59">
        <f>(F84-D84)/7</f>
        <v/>
      </c>
      <c r="L84" s="59">
        <f>K84^2</f>
        <v/>
      </c>
      <c r="M84" s="14">
        <f>IF(F84&lt;=E84,1,0)</f>
        <v/>
      </c>
      <c r="N84" s="14">
        <f>MAX(0,F84-E84)</f>
        <v/>
      </c>
    </row>
    <row r="85">
      <c r="A85" s="14" t="inlineStr">
        <is>
          <t>PO-00084</t>
        </is>
      </c>
      <c r="B85" s="14" t="inlineStr">
        <is>
          <t>S08</t>
        </is>
      </c>
      <c r="C85" s="14" t="inlineStr">
        <is>
          <t>NB-0004</t>
        </is>
      </c>
      <c r="D85" s="26" t="n">
        <v>45435</v>
      </c>
      <c r="E85" s="26" t="n">
        <v>45505</v>
      </c>
      <c r="F85" s="26" t="n">
        <v>45523</v>
      </c>
      <c r="G85" s="14" t="n">
        <v>390</v>
      </c>
      <c r="H85" s="14" t="n">
        <v>390</v>
      </c>
      <c r="I85" s="14" t="n">
        <v>8</v>
      </c>
      <c r="J85" s="58" t="n">
        <v>2581.8</v>
      </c>
      <c r="K85" s="59">
        <f>(F85-D85)/7</f>
        <v/>
      </c>
      <c r="L85" s="59">
        <f>K85^2</f>
        <v/>
      </c>
      <c r="M85" s="14">
        <f>IF(F85&lt;=E85,1,0)</f>
        <v/>
      </c>
      <c r="N85" s="14">
        <f>MAX(0,F85-E85)</f>
        <v/>
      </c>
    </row>
    <row r="86">
      <c r="A86" s="14" t="inlineStr">
        <is>
          <t>PO-00085</t>
        </is>
      </c>
      <c r="B86" s="14" t="inlineStr">
        <is>
          <t>S08</t>
        </is>
      </c>
      <c r="C86" s="14" t="inlineStr">
        <is>
          <t>NB-0004</t>
        </is>
      </c>
      <c r="D86" s="26" t="n">
        <v>45461</v>
      </c>
      <c r="E86" s="26" t="n">
        <v>45531</v>
      </c>
      <c r="F86" s="26" t="n">
        <v>45531</v>
      </c>
      <c r="G86" s="14" t="n">
        <v>374</v>
      </c>
      <c r="H86" s="14" t="n">
        <v>374</v>
      </c>
      <c r="I86" s="14" t="n">
        <v>10</v>
      </c>
      <c r="J86" s="58" t="n">
        <v>2475.88</v>
      </c>
      <c r="K86" s="59">
        <f>(F86-D86)/7</f>
        <v/>
      </c>
      <c r="L86" s="59">
        <f>K86^2</f>
        <v/>
      </c>
      <c r="M86" s="14">
        <f>IF(F86&lt;=E86,1,0)</f>
        <v/>
      </c>
      <c r="N86" s="14">
        <f>MAX(0,F86-E86)</f>
        <v/>
      </c>
    </row>
    <row r="87">
      <c r="A87" s="14" t="inlineStr">
        <is>
          <t>PO-00086</t>
        </is>
      </c>
      <c r="B87" s="14" t="inlineStr">
        <is>
          <t>S08</t>
        </is>
      </c>
      <c r="C87" s="14" t="inlineStr">
        <is>
          <t>NB-0004</t>
        </is>
      </c>
      <c r="D87" s="26" t="n">
        <v>45491</v>
      </c>
      <c r="E87" s="26" t="n">
        <v>45561</v>
      </c>
      <c r="F87" s="26" t="n">
        <v>45592</v>
      </c>
      <c r="G87" s="14" t="n">
        <v>335</v>
      </c>
      <c r="H87" s="14" t="n">
        <v>335</v>
      </c>
      <c r="I87" s="14" t="n">
        <v>4</v>
      </c>
      <c r="J87" s="58" t="n">
        <v>2217.7</v>
      </c>
      <c r="K87" s="59">
        <f>(F87-D87)/7</f>
        <v/>
      </c>
      <c r="L87" s="59">
        <f>K87^2</f>
        <v/>
      </c>
      <c r="M87" s="14">
        <f>IF(F87&lt;=E87,1,0)</f>
        <v/>
      </c>
      <c r="N87" s="14">
        <f>MAX(0,F87-E87)</f>
        <v/>
      </c>
    </row>
    <row r="88">
      <c r="A88" s="14" t="inlineStr">
        <is>
          <t>PO-00087</t>
        </is>
      </c>
      <c r="B88" s="14" t="inlineStr">
        <is>
          <t>S08</t>
        </is>
      </c>
      <c r="C88" s="14" t="inlineStr">
        <is>
          <t>NB-0004</t>
        </is>
      </c>
      <c r="D88" s="26" t="n">
        <v>45516</v>
      </c>
      <c r="E88" s="26" t="n">
        <v>45586</v>
      </c>
      <c r="F88" s="26" t="n">
        <v>45583</v>
      </c>
      <c r="G88" s="14" t="n">
        <v>346</v>
      </c>
      <c r="H88" s="14" t="n">
        <v>346</v>
      </c>
      <c r="I88" s="14" t="n">
        <v>7</v>
      </c>
      <c r="J88" s="58" t="n">
        <v>2290.52</v>
      </c>
      <c r="K88" s="59">
        <f>(F88-D88)/7</f>
        <v/>
      </c>
      <c r="L88" s="59">
        <f>K88^2</f>
        <v/>
      </c>
      <c r="M88" s="14">
        <f>IF(F88&lt;=E88,1,0)</f>
        <v/>
      </c>
      <c r="N88" s="14">
        <f>MAX(0,F88-E88)</f>
        <v/>
      </c>
    </row>
    <row r="89">
      <c r="A89" s="14" t="inlineStr">
        <is>
          <t>PO-00088</t>
        </is>
      </c>
      <c r="B89" s="14" t="inlineStr">
        <is>
          <t>S08</t>
        </is>
      </c>
      <c r="C89" s="14" t="inlineStr">
        <is>
          <t>NB-0004</t>
        </is>
      </c>
      <c r="D89" s="26" t="n">
        <v>45545</v>
      </c>
      <c r="E89" s="26" t="n">
        <v>45615</v>
      </c>
      <c r="F89" s="26" t="n">
        <v>45613</v>
      </c>
      <c r="G89" s="14" t="n">
        <v>345</v>
      </c>
      <c r="H89" s="14" t="n">
        <v>345</v>
      </c>
      <c r="I89" s="14" t="n">
        <v>11</v>
      </c>
      <c r="J89" s="58" t="n">
        <v>2283.9</v>
      </c>
      <c r="K89" s="59">
        <f>(F89-D89)/7</f>
        <v/>
      </c>
      <c r="L89" s="59">
        <f>K89^2</f>
        <v/>
      </c>
      <c r="M89" s="14">
        <f>IF(F89&lt;=E89,1,0)</f>
        <v/>
      </c>
      <c r="N89" s="14">
        <f>MAX(0,F89-E89)</f>
        <v/>
      </c>
    </row>
    <row r="90">
      <c r="A90" s="14" t="inlineStr">
        <is>
          <t>PO-00089</t>
        </is>
      </c>
      <c r="B90" s="14" t="inlineStr">
        <is>
          <t>S08</t>
        </is>
      </c>
      <c r="C90" s="14" t="inlineStr">
        <is>
          <t>NB-0004</t>
        </is>
      </c>
      <c r="D90" s="26" t="n">
        <v>45573</v>
      </c>
      <c r="E90" s="26" t="n">
        <v>45643</v>
      </c>
      <c r="F90" s="26" t="n">
        <v>45641</v>
      </c>
      <c r="G90" s="14" t="n">
        <v>390</v>
      </c>
      <c r="H90" s="14" t="n">
        <v>390</v>
      </c>
      <c r="I90" s="14" t="n">
        <v>5</v>
      </c>
      <c r="J90" s="58" t="n">
        <v>2581.8</v>
      </c>
      <c r="K90" s="59">
        <f>(F90-D90)/7</f>
        <v/>
      </c>
      <c r="L90" s="59">
        <f>K90^2</f>
        <v/>
      </c>
      <c r="M90" s="14">
        <f>IF(F90&lt;=E90,1,0)</f>
        <v/>
      </c>
      <c r="N90" s="14">
        <f>MAX(0,F90-E90)</f>
        <v/>
      </c>
    </row>
    <row r="91">
      <c r="A91" s="14" t="inlineStr">
        <is>
          <t>PO-00090</t>
        </is>
      </c>
      <c r="B91" s="14" t="inlineStr">
        <is>
          <t>S08</t>
        </is>
      </c>
      <c r="C91" s="14" t="inlineStr">
        <is>
          <t>NB-0004</t>
        </is>
      </c>
      <c r="D91" s="26" t="n">
        <v>45602</v>
      </c>
      <c r="E91" s="26" t="n">
        <v>45672</v>
      </c>
      <c r="F91" s="26" t="n">
        <v>45671</v>
      </c>
      <c r="G91" s="14" t="n">
        <v>321</v>
      </c>
      <c r="H91" s="14" t="n">
        <v>321</v>
      </c>
      <c r="I91" s="14" t="n">
        <v>9</v>
      </c>
      <c r="J91" s="58" t="n">
        <v>2125.02</v>
      </c>
      <c r="K91" s="59">
        <f>(F91-D91)/7</f>
        <v/>
      </c>
      <c r="L91" s="59">
        <f>K91^2</f>
        <v/>
      </c>
      <c r="M91" s="14">
        <f>IF(F91&lt;=E91,1,0)</f>
        <v/>
      </c>
      <c r="N91" s="14">
        <f>MAX(0,F91-E91)</f>
        <v/>
      </c>
    </row>
    <row r="92">
      <c r="A92" s="14" t="inlineStr">
        <is>
          <t>PO-00091</t>
        </is>
      </c>
      <c r="B92" s="14" t="inlineStr">
        <is>
          <t>S08</t>
        </is>
      </c>
      <c r="C92" s="14" t="inlineStr">
        <is>
          <t>NB-0004</t>
        </is>
      </c>
      <c r="D92" s="26" t="n">
        <v>45632</v>
      </c>
      <c r="E92" s="26" t="n">
        <v>45702</v>
      </c>
      <c r="F92" s="26" t="n">
        <v>45701</v>
      </c>
      <c r="G92" s="14" t="n">
        <v>372</v>
      </c>
      <c r="H92" s="14" t="n">
        <v>337</v>
      </c>
      <c r="I92" s="14" t="n">
        <v>9</v>
      </c>
      <c r="J92" s="58" t="n">
        <v>2462.64</v>
      </c>
      <c r="K92" s="59">
        <f>(F92-D92)/7</f>
        <v/>
      </c>
      <c r="L92" s="59">
        <f>K92^2</f>
        <v/>
      </c>
      <c r="M92" s="14">
        <f>IF(F92&lt;=E92,1,0)</f>
        <v/>
      </c>
      <c r="N92" s="14">
        <f>MAX(0,F92-E92)</f>
        <v/>
      </c>
    </row>
    <row r="93">
      <c r="A93" s="14" t="inlineStr">
        <is>
          <t>PO-00092</t>
        </is>
      </c>
      <c r="B93" s="14" t="inlineStr">
        <is>
          <t>S08</t>
        </is>
      </c>
      <c r="C93" s="14" t="inlineStr">
        <is>
          <t>NB-0004</t>
        </is>
      </c>
      <c r="D93" s="26" t="n">
        <v>45660</v>
      </c>
      <c r="E93" s="26" t="n">
        <v>45730</v>
      </c>
      <c r="F93" s="26" t="n">
        <v>45728</v>
      </c>
      <c r="G93" s="14" t="n">
        <v>323</v>
      </c>
      <c r="H93" s="14" t="n">
        <v>323</v>
      </c>
      <c r="I93" s="14" t="n">
        <v>3</v>
      </c>
      <c r="J93" s="58" t="n">
        <v>2138.26</v>
      </c>
      <c r="K93" s="59">
        <f>(F93-D93)/7</f>
        <v/>
      </c>
      <c r="L93" s="59">
        <f>K93^2</f>
        <v/>
      </c>
      <c r="M93" s="14">
        <f>IF(F93&lt;=E93,1,0)</f>
        <v/>
      </c>
      <c r="N93" s="14">
        <f>MAX(0,F93-E93)</f>
        <v/>
      </c>
    </row>
    <row r="94">
      <c r="A94" s="14" t="inlineStr">
        <is>
          <t>PO-00093</t>
        </is>
      </c>
      <c r="B94" s="14" t="inlineStr">
        <is>
          <t>S08</t>
        </is>
      </c>
      <c r="C94" s="14" t="inlineStr">
        <is>
          <t>NB-0004</t>
        </is>
      </c>
      <c r="D94" s="26" t="n">
        <v>45684</v>
      </c>
      <c r="E94" s="26" t="n">
        <v>45754</v>
      </c>
      <c r="F94" s="26" t="n">
        <v>45754</v>
      </c>
      <c r="G94" s="14" t="n">
        <v>378</v>
      </c>
      <c r="H94" s="14" t="n">
        <v>378</v>
      </c>
      <c r="I94" s="14" t="n">
        <v>7</v>
      </c>
      <c r="J94" s="58" t="n">
        <v>2502.36</v>
      </c>
      <c r="K94" s="59">
        <f>(F94-D94)/7</f>
        <v/>
      </c>
      <c r="L94" s="59">
        <f>K94^2</f>
        <v/>
      </c>
      <c r="M94" s="14">
        <f>IF(F94&lt;=E94,1,0)</f>
        <v/>
      </c>
      <c r="N94" s="14">
        <f>MAX(0,F94-E94)</f>
        <v/>
      </c>
    </row>
    <row r="95">
      <c r="A95" s="14" t="inlineStr">
        <is>
          <t>PO-00094</t>
        </is>
      </c>
      <c r="B95" s="14" t="inlineStr">
        <is>
          <t>S08</t>
        </is>
      </c>
      <c r="C95" s="14" t="inlineStr">
        <is>
          <t>NB-0004</t>
        </is>
      </c>
      <c r="D95" s="26" t="n">
        <v>45712</v>
      </c>
      <c r="E95" s="26" t="n">
        <v>45782</v>
      </c>
      <c r="F95" s="26" t="n">
        <v>45779</v>
      </c>
      <c r="G95" s="14" t="n">
        <v>351</v>
      </c>
      <c r="H95" s="14" t="n">
        <v>351</v>
      </c>
      <c r="I95" s="14" t="n">
        <v>8</v>
      </c>
      <c r="J95" s="58" t="n">
        <v>2323.62</v>
      </c>
      <c r="K95" s="59">
        <f>(F95-D95)/7</f>
        <v/>
      </c>
      <c r="L95" s="59">
        <f>K95^2</f>
        <v/>
      </c>
      <c r="M95" s="14">
        <f>IF(F95&lt;=E95,1,0)</f>
        <v/>
      </c>
      <c r="N95" s="14">
        <f>MAX(0,F95-E95)</f>
        <v/>
      </c>
    </row>
    <row r="96">
      <c r="A96" s="14" t="inlineStr">
        <is>
          <t>PO-00095</t>
        </is>
      </c>
      <c r="B96" s="14" t="inlineStr">
        <is>
          <t>S08</t>
        </is>
      </c>
      <c r="C96" s="14" t="inlineStr">
        <is>
          <t>NB-0004</t>
        </is>
      </c>
      <c r="D96" s="26" t="n">
        <v>45741</v>
      </c>
      <c r="E96" s="26" t="n">
        <v>45811</v>
      </c>
      <c r="F96" s="26" t="n">
        <v>45840</v>
      </c>
      <c r="G96" s="14" t="n">
        <v>383</v>
      </c>
      <c r="H96" s="14" t="n">
        <v>383</v>
      </c>
      <c r="I96" s="14" t="n">
        <v>12</v>
      </c>
      <c r="J96" s="58" t="n">
        <v>2535.46</v>
      </c>
      <c r="K96" s="59">
        <f>(F96-D96)/7</f>
        <v/>
      </c>
      <c r="L96" s="59">
        <f>K96^2</f>
        <v/>
      </c>
      <c r="M96" s="14">
        <f>IF(F96&lt;=E96,1,0)</f>
        <v/>
      </c>
      <c r="N96" s="14">
        <f>MAX(0,F96-E96)</f>
        <v/>
      </c>
    </row>
    <row r="97">
      <c r="A97" s="14" t="inlineStr">
        <is>
          <t>PO-00096</t>
        </is>
      </c>
      <c r="B97" s="14" t="inlineStr">
        <is>
          <t>S08</t>
        </is>
      </c>
      <c r="C97" s="14" t="inlineStr">
        <is>
          <t>NB-0004</t>
        </is>
      </c>
      <c r="D97" s="26" t="n">
        <v>45768</v>
      </c>
      <c r="E97" s="26" t="n">
        <v>45838</v>
      </c>
      <c r="F97" s="26" t="n">
        <v>45838</v>
      </c>
      <c r="G97" s="14" t="n">
        <v>358</v>
      </c>
      <c r="H97" s="14" t="n">
        <v>358</v>
      </c>
      <c r="I97" s="14" t="n">
        <v>9</v>
      </c>
      <c r="J97" s="58" t="n">
        <v>2369.96</v>
      </c>
      <c r="K97" s="59">
        <f>(F97-D97)/7</f>
        <v/>
      </c>
      <c r="L97" s="59">
        <f>K97^2</f>
        <v/>
      </c>
      <c r="M97" s="14">
        <f>IF(F97&lt;=E97,1,0)</f>
        <v/>
      </c>
      <c r="N97" s="14">
        <f>MAX(0,F97-E97)</f>
        <v/>
      </c>
    </row>
    <row r="98">
      <c r="A98" s="14" t="inlineStr">
        <is>
          <t>PO-00097</t>
        </is>
      </c>
      <c r="B98" s="14" t="inlineStr">
        <is>
          <t>S08</t>
        </is>
      </c>
      <c r="C98" s="14" t="inlineStr">
        <is>
          <t>NB-0004</t>
        </is>
      </c>
      <c r="D98" s="26" t="n">
        <v>45799</v>
      </c>
      <c r="E98" s="26" t="n">
        <v>45869</v>
      </c>
      <c r="F98" s="26" t="n">
        <v>45867</v>
      </c>
      <c r="G98" s="14" t="n">
        <v>420</v>
      </c>
      <c r="H98" s="14" t="n">
        <v>420</v>
      </c>
      <c r="I98" s="14" t="n">
        <v>5</v>
      </c>
      <c r="J98" s="58" t="n">
        <v>2780.4</v>
      </c>
      <c r="K98" s="59">
        <f>(F98-D98)/7</f>
        <v/>
      </c>
      <c r="L98" s="59">
        <f>K98^2</f>
        <v/>
      </c>
      <c r="M98" s="14">
        <f>IF(F98&lt;=E98,1,0)</f>
        <v/>
      </c>
      <c r="N98" s="14">
        <f>MAX(0,F98-E98)</f>
        <v/>
      </c>
    </row>
    <row r="99">
      <c r="A99" s="14" t="inlineStr">
        <is>
          <t>PO-00098</t>
        </is>
      </c>
      <c r="B99" s="14" t="inlineStr">
        <is>
          <t>S08</t>
        </is>
      </c>
      <c r="C99" s="14" t="inlineStr">
        <is>
          <t>NB-0004</t>
        </is>
      </c>
      <c r="D99" s="26" t="n">
        <v>45827</v>
      </c>
      <c r="E99" s="26" t="n">
        <v>45897</v>
      </c>
      <c r="F99" s="26" t="n">
        <v>45927</v>
      </c>
      <c r="G99" s="14" t="n">
        <v>362</v>
      </c>
      <c r="H99" s="14" t="n">
        <v>362</v>
      </c>
      <c r="I99" s="14" t="n">
        <v>10</v>
      </c>
      <c r="J99" s="58" t="n">
        <v>2396.44</v>
      </c>
      <c r="K99" s="59">
        <f>(F99-D99)/7</f>
        <v/>
      </c>
      <c r="L99" s="59">
        <f>K99^2</f>
        <v/>
      </c>
      <c r="M99" s="14">
        <f>IF(F99&lt;=E99,1,0)</f>
        <v/>
      </c>
      <c r="N99" s="14">
        <f>MAX(0,F99-E99)</f>
        <v/>
      </c>
    </row>
    <row r="100">
      <c r="A100" s="14" t="inlineStr">
        <is>
          <t>PO-00099</t>
        </is>
      </c>
      <c r="B100" s="14" t="inlineStr">
        <is>
          <t>S08</t>
        </is>
      </c>
      <c r="C100" s="14" t="inlineStr">
        <is>
          <t>NB-0004</t>
        </is>
      </c>
      <c r="D100" s="26" t="n">
        <v>45855</v>
      </c>
      <c r="E100" s="26" t="n">
        <v>45925</v>
      </c>
      <c r="F100" s="26" t="n">
        <v>45922</v>
      </c>
      <c r="G100" s="14" t="n">
        <v>431</v>
      </c>
      <c r="H100" s="14" t="n">
        <v>431</v>
      </c>
      <c r="I100" s="14" t="n">
        <v>11</v>
      </c>
      <c r="J100" s="58" t="n">
        <v>2853.22</v>
      </c>
      <c r="K100" s="59">
        <f>(F100-D100)/7</f>
        <v/>
      </c>
      <c r="L100" s="59">
        <f>K100^2</f>
        <v/>
      </c>
      <c r="M100" s="14">
        <f>IF(F100&lt;=E100,1,0)</f>
        <v/>
      </c>
      <c r="N100" s="14">
        <f>MAX(0,F100-E100)</f>
        <v/>
      </c>
    </row>
    <row r="101">
      <c r="A101" s="14" t="inlineStr">
        <is>
          <t>PO-00100</t>
        </is>
      </c>
      <c r="B101" s="14" t="inlineStr">
        <is>
          <t>S08</t>
        </is>
      </c>
      <c r="C101" s="14" t="inlineStr">
        <is>
          <t>NB-0004</t>
        </is>
      </c>
      <c r="D101" s="26" t="n">
        <v>45884</v>
      </c>
      <c r="E101" s="26" t="n">
        <v>45954</v>
      </c>
      <c r="F101" s="26" t="n">
        <v>45966</v>
      </c>
      <c r="G101" s="14" t="n">
        <v>425</v>
      </c>
      <c r="H101" s="14" t="n">
        <v>425</v>
      </c>
      <c r="I101" s="14" t="n">
        <v>11</v>
      </c>
      <c r="J101" s="58" t="n">
        <v>2813.5</v>
      </c>
      <c r="K101" s="59">
        <f>(F101-D101)/7</f>
        <v/>
      </c>
      <c r="L101" s="59">
        <f>K101^2</f>
        <v/>
      </c>
      <c r="M101" s="14">
        <f>IF(F101&lt;=E101,1,0)</f>
        <v/>
      </c>
      <c r="N101" s="14">
        <f>MAX(0,F101-E101)</f>
        <v/>
      </c>
    </row>
    <row r="102">
      <c r="A102" s="14" t="inlineStr">
        <is>
          <t>PO-00101</t>
        </is>
      </c>
      <c r="B102" s="14" t="inlineStr">
        <is>
          <t>S08</t>
        </is>
      </c>
      <c r="C102" s="14" t="inlineStr">
        <is>
          <t>NB-0004</t>
        </is>
      </c>
      <c r="D102" s="26" t="n">
        <v>45912</v>
      </c>
      <c r="E102" s="26" t="n">
        <v>45982</v>
      </c>
      <c r="F102" s="26" t="n">
        <v>45982</v>
      </c>
      <c r="G102" s="14" t="n">
        <v>334</v>
      </c>
      <c r="H102" s="14" t="n">
        <v>334</v>
      </c>
      <c r="I102" s="14" t="n">
        <v>11</v>
      </c>
      <c r="J102" s="58" t="n">
        <v>2211.08</v>
      </c>
      <c r="K102" s="59">
        <f>(F102-D102)/7</f>
        <v/>
      </c>
      <c r="L102" s="59">
        <f>K102^2</f>
        <v/>
      </c>
      <c r="M102" s="14">
        <f>IF(F102&lt;=E102,1,0)</f>
        <v/>
      </c>
      <c r="N102" s="14">
        <f>MAX(0,F102-E102)</f>
        <v/>
      </c>
    </row>
    <row r="103">
      <c r="A103" s="14" t="inlineStr">
        <is>
          <t>PO-00102</t>
        </is>
      </c>
      <c r="B103" s="14" t="inlineStr">
        <is>
          <t>S08</t>
        </is>
      </c>
      <c r="C103" s="14" t="inlineStr">
        <is>
          <t>NB-0004</t>
        </is>
      </c>
      <c r="D103" s="26" t="n">
        <v>45938</v>
      </c>
      <c r="E103" s="26" t="n">
        <v>46008</v>
      </c>
      <c r="F103" s="26" t="n">
        <v>46030</v>
      </c>
      <c r="G103" s="14" t="n">
        <v>415</v>
      </c>
      <c r="H103" s="14" t="n">
        <v>415</v>
      </c>
      <c r="I103" s="14" t="n">
        <v>4</v>
      </c>
      <c r="J103" s="58" t="n">
        <v>2747.3</v>
      </c>
      <c r="K103" s="59">
        <f>(F103-D103)/7</f>
        <v/>
      </c>
      <c r="L103" s="59">
        <f>K103^2</f>
        <v/>
      </c>
      <c r="M103" s="14">
        <f>IF(F103&lt;=E103,1,0)</f>
        <v/>
      </c>
      <c r="N103" s="14">
        <f>MAX(0,F103-E103)</f>
        <v/>
      </c>
    </row>
    <row r="104">
      <c r="A104" s="14" t="inlineStr">
        <is>
          <t>PO-00103</t>
        </is>
      </c>
      <c r="B104" s="14" t="inlineStr">
        <is>
          <t>S08</t>
        </is>
      </c>
      <c r="C104" s="14" t="inlineStr">
        <is>
          <t>NB-0004</t>
        </is>
      </c>
      <c r="D104" s="26" t="n">
        <v>45964</v>
      </c>
      <c r="E104" s="26" t="n">
        <v>46034</v>
      </c>
      <c r="F104" s="26" t="n">
        <v>46032</v>
      </c>
      <c r="G104" s="14" t="n">
        <v>329</v>
      </c>
      <c r="H104" s="14" t="n">
        <v>329</v>
      </c>
      <c r="I104" s="14" t="n">
        <v>11</v>
      </c>
      <c r="J104" s="58" t="n">
        <v>2177.98</v>
      </c>
      <c r="K104" s="59">
        <f>(F104-D104)/7</f>
        <v/>
      </c>
      <c r="L104" s="59">
        <f>K104^2</f>
        <v/>
      </c>
      <c r="M104" s="14">
        <f>IF(F104&lt;=E104,1,0)</f>
        <v/>
      </c>
      <c r="N104" s="14">
        <f>MAX(0,F104-E104)</f>
        <v/>
      </c>
    </row>
    <row r="105">
      <c r="A105" s="14" t="inlineStr">
        <is>
          <t>PO-00104</t>
        </is>
      </c>
      <c r="B105" s="14" t="inlineStr">
        <is>
          <t>S08</t>
        </is>
      </c>
      <c r="C105" s="14" t="inlineStr">
        <is>
          <t>NB-0004</t>
        </is>
      </c>
      <c r="D105" s="26" t="n">
        <v>45994</v>
      </c>
      <c r="E105" s="26" t="n">
        <v>46064</v>
      </c>
      <c r="F105" s="26" t="n">
        <v>46082</v>
      </c>
      <c r="G105" s="14" t="n">
        <v>436</v>
      </c>
      <c r="H105" s="14" t="n">
        <v>436</v>
      </c>
      <c r="I105" s="14" t="n">
        <v>15</v>
      </c>
      <c r="J105" s="58" t="n">
        <v>2886.32</v>
      </c>
      <c r="K105" s="59">
        <f>(F105-D105)/7</f>
        <v/>
      </c>
      <c r="L105" s="59">
        <f>K105^2</f>
        <v/>
      </c>
      <c r="M105" s="14">
        <f>IF(F105&lt;=E105,1,0)</f>
        <v/>
      </c>
      <c r="N105" s="14">
        <f>MAX(0,F105-E105)</f>
        <v/>
      </c>
    </row>
    <row r="106">
      <c r="A106" s="14" t="inlineStr">
        <is>
          <t>PO-00105</t>
        </is>
      </c>
      <c r="B106" s="14" t="inlineStr">
        <is>
          <t>S07</t>
        </is>
      </c>
      <c r="C106" s="14" t="inlineStr">
        <is>
          <t>NB-0005</t>
        </is>
      </c>
      <c r="D106" s="26" t="n">
        <v>45295</v>
      </c>
      <c r="E106" s="26" t="n">
        <v>45351</v>
      </c>
      <c r="F106" s="26" t="n">
        <v>45368</v>
      </c>
      <c r="G106" s="14" t="n">
        <v>88</v>
      </c>
      <c r="H106" s="14" t="n">
        <v>88</v>
      </c>
      <c r="I106" s="14" t="n">
        <v>3</v>
      </c>
      <c r="J106" s="58" t="n">
        <v>3854.4</v>
      </c>
      <c r="K106" s="59">
        <f>(F106-D106)/7</f>
        <v/>
      </c>
      <c r="L106" s="59">
        <f>K106^2</f>
        <v/>
      </c>
      <c r="M106" s="14">
        <f>IF(F106&lt;=E106,1,0)</f>
        <v/>
      </c>
      <c r="N106" s="14">
        <f>MAX(0,F106-E106)</f>
        <v/>
      </c>
    </row>
    <row r="107">
      <c r="A107" s="14" t="inlineStr">
        <is>
          <t>PO-00106</t>
        </is>
      </c>
      <c r="B107" s="14" t="inlineStr">
        <is>
          <t>S07</t>
        </is>
      </c>
      <c r="C107" s="14" t="inlineStr">
        <is>
          <t>NB-0005</t>
        </is>
      </c>
      <c r="D107" s="26" t="n">
        <v>45321</v>
      </c>
      <c r="E107" s="26" t="n">
        <v>45377</v>
      </c>
      <c r="F107" s="26" t="n">
        <v>45377</v>
      </c>
      <c r="G107" s="14" t="n">
        <v>76</v>
      </c>
      <c r="H107" s="14" t="n">
        <v>76</v>
      </c>
      <c r="I107" s="14" t="n">
        <v>0</v>
      </c>
      <c r="J107" s="58" t="n">
        <v>3328.8</v>
      </c>
      <c r="K107" s="59">
        <f>(F107-D107)/7</f>
        <v/>
      </c>
      <c r="L107" s="59">
        <f>K107^2</f>
        <v/>
      </c>
      <c r="M107" s="14">
        <f>IF(F107&lt;=E107,1,0)</f>
        <v/>
      </c>
      <c r="N107" s="14">
        <f>MAX(0,F107-E107)</f>
        <v/>
      </c>
    </row>
    <row r="108">
      <c r="A108" s="14" t="inlineStr">
        <is>
          <t>PO-00107</t>
        </is>
      </c>
      <c r="B108" s="14" t="inlineStr">
        <is>
          <t>S07</t>
        </is>
      </c>
      <c r="C108" s="14" t="inlineStr">
        <is>
          <t>NB-0005</t>
        </is>
      </c>
      <c r="D108" s="26" t="n">
        <v>45352</v>
      </c>
      <c r="E108" s="26" t="n">
        <v>45408</v>
      </c>
      <c r="F108" s="26" t="n">
        <v>45426</v>
      </c>
      <c r="G108" s="14" t="n">
        <v>89</v>
      </c>
      <c r="H108" s="14" t="n">
        <v>89</v>
      </c>
      <c r="I108" s="14" t="n">
        <v>1</v>
      </c>
      <c r="J108" s="58" t="n">
        <v>3898.2</v>
      </c>
      <c r="K108" s="59">
        <f>(F108-D108)/7</f>
        <v/>
      </c>
      <c r="L108" s="59">
        <f>K108^2</f>
        <v/>
      </c>
      <c r="M108" s="14">
        <f>IF(F108&lt;=E108,1,0)</f>
        <v/>
      </c>
      <c r="N108" s="14">
        <f>MAX(0,F108-E108)</f>
        <v/>
      </c>
    </row>
    <row r="109">
      <c r="A109" s="14" t="inlineStr">
        <is>
          <t>PO-00108</t>
        </is>
      </c>
      <c r="B109" s="14" t="inlineStr">
        <is>
          <t>S07</t>
        </is>
      </c>
      <c r="C109" s="14" t="inlineStr">
        <is>
          <t>NB-0005</t>
        </is>
      </c>
      <c r="D109" s="26" t="n">
        <v>45380</v>
      </c>
      <c r="E109" s="26" t="n">
        <v>45436</v>
      </c>
      <c r="F109" s="26" t="n">
        <v>45433</v>
      </c>
      <c r="G109" s="14" t="n">
        <v>78</v>
      </c>
      <c r="H109" s="14" t="n">
        <v>78</v>
      </c>
      <c r="I109" s="14" t="n">
        <v>1</v>
      </c>
      <c r="J109" s="58" t="n">
        <v>3416.4</v>
      </c>
      <c r="K109" s="59">
        <f>(F109-D109)/7</f>
        <v/>
      </c>
      <c r="L109" s="59">
        <f>K109^2</f>
        <v/>
      </c>
      <c r="M109" s="14">
        <f>IF(F109&lt;=E109,1,0)</f>
        <v/>
      </c>
      <c r="N109" s="14">
        <f>MAX(0,F109-E109)</f>
        <v/>
      </c>
    </row>
    <row r="110">
      <c r="A110" s="14" t="inlineStr">
        <is>
          <t>PO-00109</t>
        </is>
      </c>
      <c r="B110" s="14" t="inlineStr">
        <is>
          <t>S07</t>
        </is>
      </c>
      <c r="C110" s="14" t="inlineStr">
        <is>
          <t>NB-0005</t>
        </is>
      </c>
      <c r="D110" s="26" t="n">
        <v>45407</v>
      </c>
      <c r="E110" s="26" t="n">
        <v>45463</v>
      </c>
      <c r="F110" s="26" t="n">
        <v>45461</v>
      </c>
      <c r="G110" s="14" t="n">
        <v>76</v>
      </c>
      <c r="H110" s="14" t="n">
        <v>76</v>
      </c>
      <c r="I110" s="14" t="n">
        <v>1</v>
      </c>
      <c r="J110" s="58" t="n">
        <v>3328.8</v>
      </c>
      <c r="K110" s="59">
        <f>(F110-D110)/7</f>
        <v/>
      </c>
      <c r="L110" s="59">
        <f>K110^2</f>
        <v/>
      </c>
      <c r="M110" s="14">
        <f>IF(F110&lt;=E110,1,0)</f>
        <v/>
      </c>
      <c r="N110" s="14">
        <f>MAX(0,F110-E110)</f>
        <v/>
      </c>
    </row>
    <row r="111">
      <c r="A111" s="14" t="inlineStr">
        <is>
          <t>PO-00110</t>
        </is>
      </c>
      <c r="B111" s="14" t="inlineStr">
        <is>
          <t>S07</t>
        </is>
      </c>
      <c r="C111" s="14" t="inlineStr">
        <is>
          <t>NB-0005</t>
        </is>
      </c>
      <c r="D111" s="26" t="n">
        <v>45432</v>
      </c>
      <c r="E111" s="26" t="n">
        <v>45488</v>
      </c>
      <c r="F111" s="26" t="n">
        <v>45488</v>
      </c>
      <c r="G111" s="14" t="n">
        <v>77</v>
      </c>
      <c r="H111" s="14" t="n">
        <v>77</v>
      </c>
      <c r="I111" s="14" t="n">
        <v>0</v>
      </c>
      <c r="J111" s="58" t="n">
        <v>3372.6</v>
      </c>
      <c r="K111" s="59">
        <f>(F111-D111)/7</f>
        <v/>
      </c>
      <c r="L111" s="59">
        <f>K111^2</f>
        <v/>
      </c>
      <c r="M111" s="14">
        <f>IF(F111&lt;=E111,1,0)</f>
        <v/>
      </c>
      <c r="N111" s="14">
        <f>MAX(0,F111-E111)</f>
        <v/>
      </c>
    </row>
    <row r="112">
      <c r="A112" s="14" t="inlineStr">
        <is>
          <t>PO-00111</t>
        </is>
      </c>
      <c r="B112" s="14" t="inlineStr">
        <is>
          <t>S07</t>
        </is>
      </c>
      <c r="C112" s="14" t="inlineStr">
        <is>
          <t>NB-0005</t>
        </is>
      </c>
      <c r="D112" s="26" t="n">
        <v>45464</v>
      </c>
      <c r="E112" s="26" t="n">
        <v>45520</v>
      </c>
      <c r="F112" s="26" t="n">
        <v>45518</v>
      </c>
      <c r="G112" s="14" t="n">
        <v>67</v>
      </c>
      <c r="H112" s="14" t="n">
        <v>67</v>
      </c>
      <c r="I112" s="14" t="n">
        <v>3</v>
      </c>
      <c r="J112" s="58" t="n">
        <v>2934.6</v>
      </c>
      <c r="K112" s="59">
        <f>(F112-D112)/7</f>
        <v/>
      </c>
      <c r="L112" s="59">
        <f>K112^2</f>
        <v/>
      </c>
      <c r="M112" s="14">
        <f>IF(F112&lt;=E112,1,0)</f>
        <v/>
      </c>
      <c r="N112" s="14">
        <f>MAX(0,F112-E112)</f>
        <v/>
      </c>
    </row>
    <row r="113">
      <c r="A113" s="14" t="inlineStr">
        <is>
          <t>PO-00112</t>
        </is>
      </c>
      <c r="B113" s="14" t="inlineStr">
        <is>
          <t>S07</t>
        </is>
      </c>
      <c r="C113" s="14" t="inlineStr">
        <is>
          <t>NB-0005</t>
        </is>
      </c>
      <c r="D113" s="26" t="n">
        <v>45490</v>
      </c>
      <c r="E113" s="26" t="n">
        <v>45546</v>
      </c>
      <c r="F113" s="26" t="n">
        <v>45545</v>
      </c>
      <c r="G113" s="14" t="n">
        <v>83</v>
      </c>
      <c r="H113" s="14" t="n">
        <v>83</v>
      </c>
      <c r="I113" s="14" t="n">
        <v>1</v>
      </c>
      <c r="J113" s="58" t="n">
        <v>3635.4</v>
      </c>
      <c r="K113" s="59">
        <f>(F113-D113)/7</f>
        <v/>
      </c>
      <c r="L113" s="59">
        <f>K113^2</f>
        <v/>
      </c>
      <c r="M113" s="14">
        <f>IF(F113&lt;=E113,1,0)</f>
        <v/>
      </c>
      <c r="N113" s="14">
        <f>MAX(0,F113-E113)</f>
        <v/>
      </c>
    </row>
    <row r="114">
      <c r="A114" s="14" t="inlineStr">
        <is>
          <t>PO-00113</t>
        </is>
      </c>
      <c r="B114" s="14" t="inlineStr">
        <is>
          <t>S07</t>
        </is>
      </c>
      <c r="C114" s="14" t="inlineStr">
        <is>
          <t>NB-0005</t>
        </is>
      </c>
      <c r="D114" s="26" t="n">
        <v>45516</v>
      </c>
      <c r="E114" s="26" t="n">
        <v>45572</v>
      </c>
      <c r="F114" s="26" t="n">
        <v>45569</v>
      </c>
      <c r="G114" s="14" t="n">
        <v>89</v>
      </c>
      <c r="H114" s="14" t="n">
        <v>89</v>
      </c>
      <c r="I114" s="14" t="n">
        <v>0</v>
      </c>
      <c r="J114" s="58" t="n">
        <v>3898.2</v>
      </c>
      <c r="K114" s="59">
        <f>(F114-D114)/7</f>
        <v/>
      </c>
      <c r="L114" s="59">
        <f>K114^2</f>
        <v/>
      </c>
      <c r="M114" s="14">
        <f>IF(F114&lt;=E114,1,0)</f>
        <v/>
      </c>
      <c r="N114" s="14">
        <f>MAX(0,F114-E114)</f>
        <v/>
      </c>
    </row>
    <row r="115">
      <c r="A115" s="14" t="inlineStr">
        <is>
          <t>PO-00114</t>
        </is>
      </c>
      <c r="B115" s="14" t="inlineStr">
        <is>
          <t>S07</t>
        </is>
      </c>
      <c r="C115" s="14" t="inlineStr">
        <is>
          <t>NB-0005</t>
        </is>
      </c>
      <c r="D115" s="26" t="n">
        <v>45545</v>
      </c>
      <c r="E115" s="26" t="n">
        <v>45601</v>
      </c>
      <c r="F115" s="26" t="n">
        <v>45600</v>
      </c>
      <c r="G115" s="14" t="n">
        <v>91</v>
      </c>
      <c r="H115" s="14" t="n">
        <v>91</v>
      </c>
      <c r="I115" s="14" t="n">
        <v>3</v>
      </c>
      <c r="J115" s="58" t="n">
        <v>3985.8</v>
      </c>
      <c r="K115" s="59">
        <f>(F115-D115)/7</f>
        <v/>
      </c>
      <c r="L115" s="59">
        <f>K115^2</f>
        <v/>
      </c>
      <c r="M115" s="14">
        <f>IF(F115&lt;=E115,1,0)</f>
        <v/>
      </c>
      <c r="N115" s="14">
        <f>MAX(0,F115-E115)</f>
        <v/>
      </c>
    </row>
    <row r="116">
      <c r="A116" s="14" t="inlineStr">
        <is>
          <t>PO-00115</t>
        </is>
      </c>
      <c r="B116" s="14" t="inlineStr">
        <is>
          <t>S07</t>
        </is>
      </c>
      <c r="C116" s="14" t="inlineStr">
        <is>
          <t>NB-0005</t>
        </is>
      </c>
      <c r="D116" s="26" t="n">
        <v>45572</v>
      </c>
      <c r="E116" s="26" t="n">
        <v>45628</v>
      </c>
      <c r="F116" s="26" t="n">
        <v>45626</v>
      </c>
      <c r="G116" s="14" t="n">
        <v>80</v>
      </c>
      <c r="H116" s="14" t="n">
        <v>80</v>
      </c>
      <c r="I116" s="14" t="n">
        <v>3</v>
      </c>
      <c r="J116" s="58" t="n">
        <v>3504</v>
      </c>
      <c r="K116" s="59">
        <f>(F116-D116)/7</f>
        <v/>
      </c>
      <c r="L116" s="59">
        <f>K116^2</f>
        <v/>
      </c>
      <c r="M116" s="14">
        <f>IF(F116&lt;=E116,1,0)</f>
        <v/>
      </c>
      <c r="N116" s="14">
        <f>MAX(0,F116-E116)</f>
        <v/>
      </c>
    </row>
    <row r="117">
      <c r="A117" s="14" t="inlineStr">
        <is>
          <t>PO-00116</t>
        </is>
      </c>
      <c r="B117" s="14" t="inlineStr">
        <is>
          <t>S07</t>
        </is>
      </c>
      <c r="C117" s="14" t="inlineStr">
        <is>
          <t>NB-0005</t>
        </is>
      </c>
      <c r="D117" s="26" t="n">
        <v>45601</v>
      </c>
      <c r="E117" s="26" t="n">
        <v>45657</v>
      </c>
      <c r="F117" s="26" t="n">
        <v>45657</v>
      </c>
      <c r="G117" s="14" t="n">
        <v>71</v>
      </c>
      <c r="H117" s="14" t="n">
        <v>71</v>
      </c>
      <c r="I117" s="14" t="n">
        <v>0</v>
      </c>
      <c r="J117" s="58" t="n">
        <v>3109.8</v>
      </c>
      <c r="K117" s="59">
        <f>(F117-D117)/7</f>
        <v/>
      </c>
      <c r="L117" s="59">
        <f>K117^2</f>
        <v/>
      </c>
      <c r="M117" s="14">
        <f>IF(F117&lt;=E117,1,0)</f>
        <v/>
      </c>
      <c r="N117" s="14">
        <f>MAX(0,F117-E117)</f>
        <v/>
      </c>
    </row>
    <row r="118">
      <c r="A118" s="14" t="inlineStr">
        <is>
          <t>PO-00117</t>
        </is>
      </c>
      <c r="B118" s="14" t="inlineStr">
        <is>
          <t>S07</t>
        </is>
      </c>
      <c r="C118" s="14" t="inlineStr">
        <is>
          <t>NB-0005</t>
        </is>
      </c>
      <c r="D118" s="26" t="n">
        <v>45630</v>
      </c>
      <c r="E118" s="26" t="n">
        <v>45686</v>
      </c>
      <c r="F118" s="26" t="n">
        <v>45686</v>
      </c>
      <c r="G118" s="14" t="n">
        <v>87</v>
      </c>
      <c r="H118" s="14" t="n">
        <v>87</v>
      </c>
      <c r="I118" s="14" t="n">
        <v>2</v>
      </c>
      <c r="J118" s="58" t="n">
        <v>3810.6</v>
      </c>
      <c r="K118" s="59">
        <f>(F118-D118)/7</f>
        <v/>
      </c>
      <c r="L118" s="59">
        <f>K118^2</f>
        <v/>
      </c>
      <c r="M118" s="14">
        <f>IF(F118&lt;=E118,1,0)</f>
        <v/>
      </c>
      <c r="N118" s="14">
        <f>MAX(0,F118-E118)</f>
        <v/>
      </c>
    </row>
    <row r="119">
      <c r="A119" s="14" t="inlineStr">
        <is>
          <t>PO-00118</t>
        </is>
      </c>
      <c r="B119" s="14" t="inlineStr">
        <is>
          <t>S07</t>
        </is>
      </c>
      <c r="C119" s="14" t="inlineStr">
        <is>
          <t>NB-0005</t>
        </is>
      </c>
      <c r="D119" s="26" t="n">
        <v>45657</v>
      </c>
      <c r="E119" s="26" t="n">
        <v>45713</v>
      </c>
      <c r="F119" s="26" t="n">
        <v>45713</v>
      </c>
      <c r="G119" s="14" t="n">
        <v>68</v>
      </c>
      <c r="H119" s="14" t="n">
        <v>68</v>
      </c>
      <c r="I119" s="14" t="n">
        <v>4</v>
      </c>
      <c r="J119" s="58" t="n">
        <v>2978.4</v>
      </c>
      <c r="K119" s="59">
        <f>(F119-D119)/7</f>
        <v/>
      </c>
      <c r="L119" s="59">
        <f>K119^2</f>
        <v/>
      </c>
      <c r="M119" s="14">
        <f>IF(F119&lt;=E119,1,0)</f>
        <v/>
      </c>
      <c r="N119" s="14">
        <f>MAX(0,F119-E119)</f>
        <v/>
      </c>
    </row>
    <row r="120">
      <c r="A120" s="14" t="inlineStr">
        <is>
          <t>PO-00119</t>
        </is>
      </c>
      <c r="B120" s="14" t="inlineStr">
        <is>
          <t>S07</t>
        </is>
      </c>
      <c r="C120" s="14" t="inlineStr">
        <is>
          <t>NB-0005</t>
        </is>
      </c>
      <c r="D120" s="26" t="n">
        <v>45687</v>
      </c>
      <c r="E120" s="26" t="n">
        <v>45743</v>
      </c>
      <c r="F120" s="26" t="n">
        <v>45743</v>
      </c>
      <c r="G120" s="14" t="n">
        <v>76</v>
      </c>
      <c r="H120" s="14" t="n">
        <v>76</v>
      </c>
      <c r="I120" s="14" t="n">
        <v>0</v>
      </c>
      <c r="J120" s="58" t="n">
        <v>3328.8</v>
      </c>
      <c r="K120" s="59">
        <f>(F120-D120)/7</f>
        <v/>
      </c>
      <c r="L120" s="59">
        <f>K120^2</f>
        <v/>
      </c>
      <c r="M120" s="14">
        <f>IF(F120&lt;=E120,1,0)</f>
        <v/>
      </c>
      <c r="N120" s="14">
        <f>MAX(0,F120-E120)</f>
        <v/>
      </c>
    </row>
    <row r="121">
      <c r="A121" s="14" t="inlineStr">
        <is>
          <t>PO-00120</t>
        </is>
      </c>
      <c r="B121" s="14" t="inlineStr">
        <is>
          <t>S07</t>
        </is>
      </c>
      <c r="C121" s="14" t="inlineStr">
        <is>
          <t>NB-0005</t>
        </is>
      </c>
      <c r="D121" s="26" t="n">
        <v>45714</v>
      </c>
      <c r="E121" s="26" t="n">
        <v>45770</v>
      </c>
      <c r="F121" s="26" t="n">
        <v>45768</v>
      </c>
      <c r="G121" s="14" t="n">
        <v>81</v>
      </c>
      <c r="H121" s="14" t="n">
        <v>81</v>
      </c>
      <c r="I121" s="14" t="n">
        <v>1</v>
      </c>
      <c r="J121" s="58" t="n">
        <v>3547.8</v>
      </c>
      <c r="K121" s="59">
        <f>(F121-D121)/7</f>
        <v/>
      </c>
      <c r="L121" s="59">
        <f>K121^2</f>
        <v/>
      </c>
      <c r="M121" s="14">
        <f>IF(F121&lt;=E121,1,0)</f>
        <v/>
      </c>
      <c r="N121" s="14">
        <f>MAX(0,F121-E121)</f>
        <v/>
      </c>
    </row>
    <row r="122">
      <c r="A122" s="14" t="inlineStr">
        <is>
          <t>PO-00121</t>
        </is>
      </c>
      <c r="B122" s="14" t="inlineStr">
        <is>
          <t>S07</t>
        </is>
      </c>
      <c r="C122" s="14" t="inlineStr">
        <is>
          <t>NB-0005</t>
        </is>
      </c>
      <c r="D122" s="26" t="n">
        <v>45744</v>
      </c>
      <c r="E122" s="26" t="n">
        <v>45800</v>
      </c>
      <c r="F122" s="26" t="n">
        <v>45814</v>
      </c>
      <c r="G122" s="14" t="n">
        <v>92</v>
      </c>
      <c r="H122" s="14" t="n">
        <v>92</v>
      </c>
      <c r="I122" s="14" t="n">
        <v>2</v>
      </c>
      <c r="J122" s="58" t="n">
        <v>4029.6</v>
      </c>
      <c r="K122" s="59">
        <f>(F122-D122)/7</f>
        <v/>
      </c>
      <c r="L122" s="59">
        <f>K122^2</f>
        <v/>
      </c>
      <c r="M122" s="14">
        <f>IF(F122&lt;=E122,1,0)</f>
        <v/>
      </c>
      <c r="N122" s="14">
        <f>MAX(0,F122-E122)</f>
        <v/>
      </c>
    </row>
    <row r="123">
      <c r="A123" s="14" t="inlineStr">
        <is>
          <t>PO-00122</t>
        </is>
      </c>
      <c r="B123" s="14" t="inlineStr">
        <is>
          <t>S07</t>
        </is>
      </c>
      <c r="C123" s="14" t="inlineStr">
        <is>
          <t>NB-0005</t>
        </is>
      </c>
      <c r="D123" s="26" t="n">
        <v>45771</v>
      </c>
      <c r="E123" s="26" t="n">
        <v>45827</v>
      </c>
      <c r="F123" s="26" t="n">
        <v>45827</v>
      </c>
      <c r="G123" s="14" t="n">
        <v>76</v>
      </c>
      <c r="H123" s="14" t="n">
        <v>76</v>
      </c>
      <c r="I123" s="14" t="n">
        <v>1</v>
      </c>
      <c r="J123" s="58" t="n">
        <v>3328.8</v>
      </c>
      <c r="K123" s="59">
        <f>(F123-D123)/7</f>
        <v/>
      </c>
      <c r="L123" s="59">
        <f>K123^2</f>
        <v/>
      </c>
      <c r="M123" s="14">
        <f>IF(F123&lt;=E123,1,0)</f>
        <v/>
      </c>
      <c r="N123" s="14">
        <f>MAX(0,F123-E123)</f>
        <v/>
      </c>
    </row>
    <row r="124">
      <c r="A124" s="14" t="inlineStr">
        <is>
          <t>PO-00123</t>
        </is>
      </c>
      <c r="B124" s="14" t="inlineStr">
        <is>
          <t>S07</t>
        </is>
      </c>
      <c r="C124" s="14" t="inlineStr">
        <is>
          <t>NB-0005</t>
        </is>
      </c>
      <c r="D124" s="26" t="n">
        <v>45796</v>
      </c>
      <c r="E124" s="26" t="n">
        <v>45852</v>
      </c>
      <c r="F124" s="26" t="n">
        <v>45849</v>
      </c>
      <c r="G124" s="14" t="n">
        <v>76</v>
      </c>
      <c r="H124" s="14" t="n">
        <v>76</v>
      </c>
      <c r="I124" s="14" t="n">
        <v>0</v>
      </c>
      <c r="J124" s="58" t="n">
        <v>3328.8</v>
      </c>
      <c r="K124" s="59">
        <f>(F124-D124)/7</f>
        <v/>
      </c>
      <c r="L124" s="59">
        <f>K124^2</f>
        <v/>
      </c>
      <c r="M124" s="14">
        <f>IF(F124&lt;=E124,1,0)</f>
        <v/>
      </c>
      <c r="N124" s="14">
        <f>MAX(0,F124-E124)</f>
        <v/>
      </c>
    </row>
    <row r="125">
      <c r="A125" s="14" t="inlineStr">
        <is>
          <t>PO-00124</t>
        </is>
      </c>
      <c r="B125" s="14" t="inlineStr">
        <is>
          <t>S07</t>
        </is>
      </c>
      <c r="C125" s="14" t="inlineStr">
        <is>
          <t>NB-0005</t>
        </is>
      </c>
      <c r="D125" s="26" t="n">
        <v>45825</v>
      </c>
      <c r="E125" s="26" t="n">
        <v>45881</v>
      </c>
      <c r="F125" s="26" t="n">
        <v>45881</v>
      </c>
      <c r="G125" s="14" t="n">
        <v>76</v>
      </c>
      <c r="H125" s="14" t="n">
        <v>76</v>
      </c>
      <c r="I125" s="14" t="n">
        <v>0</v>
      </c>
      <c r="J125" s="58" t="n">
        <v>3328.8</v>
      </c>
      <c r="K125" s="59">
        <f>(F125-D125)/7</f>
        <v/>
      </c>
      <c r="L125" s="59">
        <f>K125^2</f>
        <v/>
      </c>
      <c r="M125" s="14">
        <f>IF(F125&lt;=E125,1,0)</f>
        <v/>
      </c>
      <c r="N125" s="14">
        <f>MAX(0,F125-E125)</f>
        <v/>
      </c>
    </row>
    <row r="126">
      <c r="A126" s="14" t="inlineStr">
        <is>
          <t>PO-00125</t>
        </is>
      </c>
      <c r="B126" s="14" t="inlineStr">
        <is>
          <t>S07</t>
        </is>
      </c>
      <c r="C126" s="14" t="inlineStr">
        <is>
          <t>NB-0005</t>
        </is>
      </c>
      <c r="D126" s="26" t="n">
        <v>45853</v>
      </c>
      <c r="E126" s="26" t="n">
        <v>45909</v>
      </c>
      <c r="F126" s="26" t="n">
        <v>45908</v>
      </c>
      <c r="G126" s="14" t="n">
        <v>72</v>
      </c>
      <c r="H126" s="14" t="n">
        <v>72</v>
      </c>
      <c r="I126" s="14" t="n">
        <v>0</v>
      </c>
      <c r="J126" s="58" t="n">
        <v>3153.6</v>
      </c>
      <c r="K126" s="59">
        <f>(F126-D126)/7</f>
        <v/>
      </c>
      <c r="L126" s="59">
        <f>K126^2</f>
        <v/>
      </c>
      <c r="M126" s="14">
        <f>IF(F126&lt;=E126,1,0)</f>
        <v/>
      </c>
      <c r="N126" s="14">
        <f>MAX(0,F126-E126)</f>
        <v/>
      </c>
    </row>
    <row r="127">
      <c r="A127" s="14" t="inlineStr">
        <is>
          <t>PO-00126</t>
        </is>
      </c>
      <c r="B127" s="14" t="inlineStr">
        <is>
          <t>S07</t>
        </is>
      </c>
      <c r="C127" s="14" t="inlineStr">
        <is>
          <t>NB-0005</t>
        </is>
      </c>
      <c r="D127" s="26" t="n">
        <v>45880</v>
      </c>
      <c r="E127" s="26" t="n">
        <v>45936</v>
      </c>
      <c r="F127" s="26" t="n">
        <v>45935</v>
      </c>
      <c r="G127" s="14" t="n">
        <v>83</v>
      </c>
      <c r="H127" s="14" t="n">
        <v>83</v>
      </c>
      <c r="I127" s="14" t="n">
        <v>1</v>
      </c>
      <c r="J127" s="58" t="n">
        <v>3635.4</v>
      </c>
      <c r="K127" s="59">
        <f>(F127-D127)/7</f>
        <v/>
      </c>
      <c r="L127" s="59">
        <f>K127^2</f>
        <v/>
      </c>
      <c r="M127" s="14">
        <f>IF(F127&lt;=E127,1,0)</f>
        <v/>
      </c>
      <c r="N127" s="14">
        <f>MAX(0,F127-E127)</f>
        <v/>
      </c>
    </row>
    <row r="128">
      <c r="A128" s="14" t="inlineStr">
        <is>
          <t>PO-00127</t>
        </is>
      </c>
      <c r="B128" s="14" t="inlineStr">
        <is>
          <t>S07</t>
        </is>
      </c>
      <c r="C128" s="14" t="inlineStr">
        <is>
          <t>NB-0005</t>
        </is>
      </c>
      <c r="D128" s="26" t="n">
        <v>45912</v>
      </c>
      <c r="E128" s="26" t="n">
        <v>45968</v>
      </c>
      <c r="F128" s="26" t="n">
        <v>45968</v>
      </c>
      <c r="G128" s="14" t="n">
        <v>92</v>
      </c>
      <c r="H128" s="14" t="n">
        <v>92</v>
      </c>
      <c r="I128" s="14" t="n">
        <v>1</v>
      </c>
      <c r="J128" s="58" t="n">
        <v>4029.6</v>
      </c>
      <c r="K128" s="59">
        <f>(F128-D128)/7</f>
        <v/>
      </c>
      <c r="L128" s="59">
        <f>K128^2</f>
        <v/>
      </c>
      <c r="M128" s="14">
        <f>IF(F128&lt;=E128,1,0)</f>
        <v/>
      </c>
      <c r="N128" s="14">
        <f>MAX(0,F128-E128)</f>
        <v/>
      </c>
    </row>
    <row r="129">
      <c r="A129" s="14" t="inlineStr">
        <is>
          <t>PO-00128</t>
        </is>
      </c>
      <c r="B129" s="14" t="inlineStr">
        <is>
          <t>S07</t>
        </is>
      </c>
      <c r="C129" s="14" t="inlineStr">
        <is>
          <t>NB-0005</t>
        </is>
      </c>
      <c r="D129" s="26" t="n">
        <v>45939</v>
      </c>
      <c r="E129" s="26" t="n">
        <v>45995</v>
      </c>
      <c r="F129" s="26" t="n">
        <v>45995</v>
      </c>
      <c r="G129" s="14" t="n">
        <v>70</v>
      </c>
      <c r="H129" s="14" t="n">
        <v>70</v>
      </c>
      <c r="I129" s="14" t="n">
        <v>1</v>
      </c>
      <c r="J129" s="58" t="n">
        <v>3066</v>
      </c>
      <c r="K129" s="59">
        <f>(F129-D129)/7</f>
        <v/>
      </c>
      <c r="L129" s="59">
        <f>K129^2</f>
        <v/>
      </c>
      <c r="M129" s="14">
        <f>IF(F129&lt;=E129,1,0)</f>
        <v/>
      </c>
      <c r="N129" s="14">
        <f>MAX(0,F129-E129)</f>
        <v/>
      </c>
    </row>
    <row r="130">
      <c r="A130" s="14" t="inlineStr">
        <is>
          <t>PO-00129</t>
        </is>
      </c>
      <c r="B130" s="14" t="inlineStr">
        <is>
          <t>S07</t>
        </is>
      </c>
      <c r="C130" s="14" t="inlineStr">
        <is>
          <t>NB-0005</t>
        </is>
      </c>
      <c r="D130" s="26" t="n">
        <v>45967</v>
      </c>
      <c r="E130" s="26" t="n">
        <v>46023</v>
      </c>
      <c r="F130" s="26" t="n">
        <v>46021</v>
      </c>
      <c r="G130" s="14" t="n">
        <v>87</v>
      </c>
      <c r="H130" s="14" t="n">
        <v>87</v>
      </c>
      <c r="I130" s="14" t="n">
        <v>2</v>
      </c>
      <c r="J130" s="58" t="n">
        <v>3810.6</v>
      </c>
      <c r="K130" s="59">
        <f>(F130-D130)/7</f>
        <v/>
      </c>
      <c r="L130" s="59">
        <f>K130^2</f>
        <v/>
      </c>
      <c r="M130" s="14">
        <f>IF(F130&lt;=E130,1,0)</f>
        <v/>
      </c>
      <c r="N130" s="14">
        <f>MAX(0,F130-E130)</f>
        <v/>
      </c>
    </row>
    <row r="131">
      <c r="A131" s="14" t="inlineStr">
        <is>
          <t>PO-00130</t>
        </is>
      </c>
      <c r="B131" s="14" t="inlineStr">
        <is>
          <t>S07</t>
        </is>
      </c>
      <c r="C131" s="14" t="inlineStr">
        <is>
          <t>NB-0005</t>
        </is>
      </c>
      <c r="D131" s="26" t="n">
        <v>45995</v>
      </c>
      <c r="E131" s="26" t="n">
        <v>46051</v>
      </c>
      <c r="F131" s="26" t="n">
        <v>46048</v>
      </c>
      <c r="G131" s="14" t="n">
        <v>85</v>
      </c>
      <c r="H131" s="14" t="n">
        <v>85</v>
      </c>
      <c r="I131" s="14" t="n">
        <v>1</v>
      </c>
      <c r="J131" s="58" t="n">
        <v>3723</v>
      </c>
      <c r="K131" s="59">
        <f>(F131-D131)/7</f>
        <v/>
      </c>
      <c r="L131" s="59">
        <f>K131^2</f>
        <v/>
      </c>
      <c r="M131" s="14">
        <f>IF(F131&lt;=E131,1,0)</f>
        <v/>
      </c>
      <c r="N131" s="14">
        <f>MAX(0,F131-E131)</f>
        <v/>
      </c>
    </row>
    <row r="132">
      <c r="A132" s="14" t="inlineStr">
        <is>
          <t>PO-00131</t>
        </is>
      </c>
      <c r="B132" s="14" t="inlineStr">
        <is>
          <t>S02</t>
        </is>
      </c>
      <c r="C132" s="14" t="inlineStr">
        <is>
          <t>NB-0006</t>
        </is>
      </c>
      <c r="D132" s="26" t="n">
        <v>45293</v>
      </c>
      <c r="E132" s="26" t="n">
        <v>45314</v>
      </c>
      <c r="F132" s="26" t="n">
        <v>45314</v>
      </c>
      <c r="G132" s="14" t="n">
        <v>213</v>
      </c>
      <c r="H132" s="14" t="n">
        <v>206</v>
      </c>
      <c r="I132" s="14" t="n">
        <v>2</v>
      </c>
      <c r="J132" s="58" t="n">
        <v>2200.29</v>
      </c>
      <c r="K132" s="59">
        <f>(F132-D132)/7</f>
        <v/>
      </c>
      <c r="L132" s="59">
        <f>K132^2</f>
        <v/>
      </c>
      <c r="M132" s="14">
        <f>IF(F132&lt;=E132,1,0)</f>
        <v/>
      </c>
      <c r="N132" s="14">
        <f>MAX(0,F132-E132)</f>
        <v/>
      </c>
    </row>
    <row r="133">
      <c r="A133" s="14" t="inlineStr">
        <is>
          <t>PO-00132</t>
        </is>
      </c>
      <c r="B133" s="14" t="inlineStr">
        <is>
          <t>S02</t>
        </is>
      </c>
      <c r="C133" s="14" t="inlineStr">
        <is>
          <t>NB-0006</t>
        </is>
      </c>
      <c r="D133" s="26" t="n">
        <v>45320</v>
      </c>
      <c r="E133" s="26" t="n">
        <v>45341</v>
      </c>
      <c r="F133" s="26" t="n">
        <v>45339</v>
      </c>
      <c r="G133" s="14" t="n">
        <v>205</v>
      </c>
      <c r="H133" s="14" t="n">
        <v>205</v>
      </c>
      <c r="I133" s="14" t="n">
        <v>2</v>
      </c>
      <c r="J133" s="58" t="n">
        <v>2117.65</v>
      </c>
      <c r="K133" s="59">
        <f>(F133-D133)/7</f>
        <v/>
      </c>
      <c r="L133" s="59">
        <f>K133^2</f>
        <v/>
      </c>
      <c r="M133" s="14">
        <f>IF(F133&lt;=E133,1,0)</f>
        <v/>
      </c>
      <c r="N133" s="14">
        <f>MAX(0,F133-E133)</f>
        <v/>
      </c>
    </row>
    <row r="134">
      <c r="A134" s="14" t="inlineStr">
        <is>
          <t>PO-00133</t>
        </is>
      </c>
      <c r="B134" s="14" t="inlineStr">
        <is>
          <t>S02</t>
        </is>
      </c>
      <c r="C134" s="14" t="inlineStr">
        <is>
          <t>NB-0006</t>
        </is>
      </c>
      <c r="D134" s="26" t="n">
        <v>45351</v>
      </c>
      <c r="E134" s="26" t="n">
        <v>45372</v>
      </c>
      <c r="F134" s="26" t="n">
        <v>45370</v>
      </c>
      <c r="G134" s="14" t="n">
        <v>214</v>
      </c>
      <c r="H134" s="14" t="n">
        <v>214</v>
      </c>
      <c r="I134" s="14" t="n">
        <v>4</v>
      </c>
      <c r="J134" s="58" t="n">
        <v>2210.62</v>
      </c>
      <c r="K134" s="59">
        <f>(F134-D134)/7</f>
        <v/>
      </c>
      <c r="L134" s="59">
        <f>K134^2</f>
        <v/>
      </c>
      <c r="M134" s="14">
        <f>IF(F134&lt;=E134,1,0)</f>
        <v/>
      </c>
      <c r="N134" s="14">
        <f>MAX(0,F134-E134)</f>
        <v/>
      </c>
    </row>
    <row r="135">
      <c r="A135" s="14" t="inlineStr">
        <is>
          <t>PO-00134</t>
        </is>
      </c>
      <c r="B135" s="14" t="inlineStr">
        <is>
          <t>S02</t>
        </is>
      </c>
      <c r="C135" s="14" t="inlineStr">
        <is>
          <t>NB-0006</t>
        </is>
      </c>
      <c r="D135" s="26" t="n">
        <v>45377</v>
      </c>
      <c r="E135" s="26" t="n">
        <v>45398</v>
      </c>
      <c r="F135" s="26" t="n">
        <v>45397</v>
      </c>
      <c r="G135" s="14" t="n">
        <v>209</v>
      </c>
      <c r="H135" s="14" t="n">
        <v>209</v>
      </c>
      <c r="I135" s="14" t="n">
        <v>4</v>
      </c>
      <c r="J135" s="58" t="n">
        <v>2158.97</v>
      </c>
      <c r="K135" s="59">
        <f>(F135-D135)/7</f>
        <v/>
      </c>
      <c r="L135" s="59">
        <f>K135^2</f>
        <v/>
      </c>
      <c r="M135" s="14">
        <f>IF(F135&lt;=E135,1,0)</f>
        <v/>
      </c>
      <c r="N135" s="14">
        <f>MAX(0,F135-E135)</f>
        <v/>
      </c>
    </row>
    <row r="136">
      <c r="A136" s="14" t="inlineStr">
        <is>
          <t>PO-00135</t>
        </is>
      </c>
      <c r="B136" s="14" t="inlineStr">
        <is>
          <t>S02</t>
        </is>
      </c>
      <c r="C136" s="14" t="inlineStr">
        <is>
          <t>NB-0006</t>
        </is>
      </c>
      <c r="D136" s="26" t="n">
        <v>45406</v>
      </c>
      <c r="E136" s="26" t="n">
        <v>45427</v>
      </c>
      <c r="F136" s="26" t="n">
        <v>45425</v>
      </c>
      <c r="G136" s="14" t="n">
        <v>206</v>
      </c>
      <c r="H136" s="14" t="n">
        <v>206</v>
      </c>
      <c r="I136" s="14" t="n">
        <v>0</v>
      </c>
      <c r="J136" s="58" t="n">
        <v>2127.98</v>
      </c>
      <c r="K136" s="59">
        <f>(F136-D136)/7</f>
        <v/>
      </c>
      <c r="L136" s="59">
        <f>K136^2</f>
        <v/>
      </c>
      <c r="M136" s="14">
        <f>IF(F136&lt;=E136,1,0)</f>
        <v/>
      </c>
      <c r="N136" s="14">
        <f>MAX(0,F136-E136)</f>
        <v/>
      </c>
    </row>
    <row r="137">
      <c r="A137" s="14" t="inlineStr">
        <is>
          <t>PO-00136</t>
        </is>
      </c>
      <c r="B137" s="14" t="inlineStr">
        <is>
          <t>S02</t>
        </is>
      </c>
      <c r="C137" s="14" t="inlineStr">
        <is>
          <t>NB-0006</t>
        </is>
      </c>
      <c r="D137" s="26" t="n">
        <v>45436</v>
      </c>
      <c r="E137" s="26" t="n">
        <v>45457</v>
      </c>
      <c r="F137" s="26" t="n">
        <v>45455</v>
      </c>
      <c r="G137" s="14" t="n">
        <v>240</v>
      </c>
      <c r="H137" s="14" t="n">
        <v>240</v>
      </c>
      <c r="I137" s="14" t="n">
        <v>2</v>
      </c>
      <c r="J137" s="58" t="n">
        <v>2479.2</v>
      </c>
      <c r="K137" s="59">
        <f>(F137-D137)/7</f>
        <v/>
      </c>
      <c r="L137" s="59">
        <f>K137^2</f>
        <v/>
      </c>
      <c r="M137" s="14">
        <f>IF(F137&lt;=E137,1,0)</f>
        <v/>
      </c>
      <c r="N137" s="14">
        <f>MAX(0,F137-E137)</f>
        <v/>
      </c>
    </row>
    <row r="138">
      <c r="A138" s="14" t="inlineStr">
        <is>
          <t>PO-00137</t>
        </is>
      </c>
      <c r="B138" s="14" t="inlineStr">
        <is>
          <t>S02</t>
        </is>
      </c>
      <c r="C138" s="14" t="inlineStr">
        <is>
          <t>NB-0006</t>
        </is>
      </c>
      <c r="D138" s="26" t="n">
        <v>45460</v>
      </c>
      <c r="E138" s="26" t="n">
        <v>45481</v>
      </c>
      <c r="F138" s="26" t="n">
        <v>45479</v>
      </c>
      <c r="G138" s="14" t="n">
        <v>199</v>
      </c>
      <c r="H138" s="14" t="n">
        <v>199</v>
      </c>
      <c r="I138" s="14" t="n">
        <v>2</v>
      </c>
      <c r="J138" s="58" t="n">
        <v>2055.67</v>
      </c>
      <c r="K138" s="59">
        <f>(F138-D138)/7</f>
        <v/>
      </c>
      <c r="L138" s="59">
        <f>K138^2</f>
        <v/>
      </c>
      <c r="M138" s="14">
        <f>IF(F138&lt;=E138,1,0)</f>
        <v/>
      </c>
      <c r="N138" s="14">
        <f>MAX(0,F138-E138)</f>
        <v/>
      </c>
    </row>
    <row r="139">
      <c r="A139" s="14" t="inlineStr">
        <is>
          <t>PO-00138</t>
        </is>
      </c>
      <c r="B139" s="14" t="inlineStr">
        <is>
          <t>S02</t>
        </is>
      </c>
      <c r="C139" s="14" t="inlineStr">
        <is>
          <t>NB-0006</t>
        </is>
      </c>
      <c r="D139" s="26" t="n">
        <v>45489</v>
      </c>
      <c r="E139" s="26" t="n">
        <v>45510</v>
      </c>
      <c r="F139" s="26" t="n">
        <v>45510</v>
      </c>
      <c r="G139" s="14" t="n">
        <v>194</v>
      </c>
      <c r="H139" s="14" t="n">
        <v>175</v>
      </c>
      <c r="I139" s="14" t="n">
        <v>2</v>
      </c>
      <c r="J139" s="58" t="n">
        <v>2004.02</v>
      </c>
      <c r="K139" s="59">
        <f>(F139-D139)/7</f>
        <v/>
      </c>
      <c r="L139" s="59">
        <f>K139^2</f>
        <v/>
      </c>
      <c r="M139" s="14">
        <f>IF(F139&lt;=E139,1,0)</f>
        <v/>
      </c>
      <c r="N139" s="14">
        <f>MAX(0,F139-E139)</f>
        <v/>
      </c>
    </row>
    <row r="140">
      <c r="A140" s="14" t="inlineStr">
        <is>
          <t>PO-00139</t>
        </is>
      </c>
      <c r="B140" s="14" t="inlineStr">
        <is>
          <t>S02</t>
        </is>
      </c>
      <c r="C140" s="14" t="inlineStr">
        <is>
          <t>NB-0006</t>
        </is>
      </c>
      <c r="D140" s="26" t="n">
        <v>45519</v>
      </c>
      <c r="E140" s="26" t="n">
        <v>45540</v>
      </c>
      <c r="F140" s="26" t="n">
        <v>45544</v>
      </c>
      <c r="G140" s="14" t="n">
        <v>214</v>
      </c>
      <c r="H140" s="14" t="n">
        <v>214</v>
      </c>
      <c r="I140" s="14" t="n">
        <v>1</v>
      </c>
      <c r="J140" s="58" t="n">
        <v>2210.62</v>
      </c>
      <c r="K140" s="59">
        <f>(F140-D140)/7</f>
        <v/>
      </c>
      <c r="L140" s="59">
        <f>K140^2</f>
        <v/>
      </c>
      <c r="M140" s="14">
        <f>IF(F140&lt;=E140,1,0)</f>
        <v/>
      </c>
      <c r="N140" s="14">
        <f>MAX(0,F140-E140)</f>
        <v/>
      </c>
    </row>
    <row r="141">
      <c r="A141" s="14" t="inlineStr">
        <is>
          <t>PO-00140</t>
        </is>
      </c>
      <c r="B141" s="14" t="inlineStr">
        <is>
          <t>S02</t>
        </is>
      </c>
      <c r="C141" s="14" t="inlineStr">
        <is>
          <t>NB-0006</t>
        </is>
      </c>
      <c r="D141" s="26" t="n">
        <v>45544</v>
      </c>
      <c r="E141" s="26" t="n">
        <v>45565</v>
      </c>
      <c r="F141" s="26" t="n">
        <v>45562</v>
      </c>
      <c r="G141" s="14" t="n">
        <v>194</v>
      </c>
      <c r="H141" s="14" t="n">
        <v>194</v>
      </c>
      <c r="I141" s="14" t="n">
        <v>0</v>
      </c>
      <c r="J141" s="58" t="n">
        <v>2004.02</v>
      </c>
      <c r="K141" s="59">
        <f>(F141-D141)/7</f>
        <v/>
      </c>
      <c r="L141" s="59">
        <f>K141^2</f>
        <v/>
      </c>
      <c r="M141" s="14">
        <f>IF(F141&lt;=E141,1,0)</f>
        <v/>
      </c>
      <c r="N141" s="14">
        <f>MAX(0,F141-E141)</f>
        <v/>
      </c>
    </row>
    <row r="142">
      <c r="A142" s="14" t="inlineStr">
        <is>
          <t>PO-00141</t>
        </is>
      </c>
      <c r="B142" s="14" t="inlineStr">
        <is>
          <t>S02</t>
        </is>
      </c>
      <c r="C142" s="14" t="inlineStr">
        <is>
          <t>NB-0006</t>
        </is>
      </c>
      <c r="D142" s="26" t="n">
        <v>45575</v>
      </c>
      <c r="E142" s="26" t="n">
        <v>45596</v>
      </c>
      <c r="F142" s="26" t="n">
        <v>45594</v>
      </c>
      <c r="G142" s="14" t="n">
        <v>182</v>
      </c>
      <c r="H142" s="14" t="n">
        <v>182</v>
      </c>
      <c r="I142" s="14" t="n">
        <v>1</v>
      </c>
      <c r="J142" s="58" t="n">
        <v>1880.06</v>
      </c>
      <c r="K142" s="59">
        <f>(F142-D142)/7</f>
        <v/>
      </c>
      <c r="L142" s="59">
        <f>K142^2</f>
        <v/>
      </c>
      <c r="M142" s="14">
        <f>IF(F142&lt;=E142,1,0)</f>
        <v/>
      </c>
      <c r="N142" s="14">
        <f>MAX(0,F142-E142)</f>
        <v/>
      </c>
    </row>
    <row r="143">
      <c r="A143" s="14" t="inlineStr">
        <is>
          <t>PO-00142</t>
        </is>
      </c>
      <c r="B143" s="14" t="inlineStr">
        <is>
          <t>S02</t>
        </is>
      </c>
      <c r="C143" s="14" t="inlineStr">
        <is>
          <t>NB-0006</t>
        </is>
      </c>
      <c r="D143" s="26" t="n">
        <v>45600</v>
      </c>
      <c r="E143" s="26" t="n">
        <v>45621</v>
      </c>
      <c r="F143" s="26" t="n">
        <v>45620</v>
      </c>
      <c r="G143" s="14" t="n">
        <v>224</v>
      </c>
      <c r="H143" s="14" t="n">
        <v>224</v>
      </c>
      <c r="I143" s="14" t="n">
        <v>2</v>
      </c>
      <c r="J143" s="58" t="n">
        <v>2313.92</v>
      </c>
      <c r="K143" s="59">
        <f>(F143-D143)/7</f>
        <v/>
      </c>
      <c r="L143" s="59">
        <f>K143^2</f>
        <v/>
      </c>
      <c r="M143" s="14">
        <f>IF(F143&lt;=E143,1,0)</f>
        <v/>
      </c>
      <c r="N143" s="14">
        <f>MAX(0,F143-E143)</f>
        <v/>
      </c>
    </row>
    <row r="144">
      <c r="A144" s="14" t="inlineStr">
        <is>
          <t>PO-00143</t>
        </is>
      </c>
      <c r="B144" s="14" t="inlineStr">
        <is>
          <t>S02</t>
        </is>
      </c>
      <c r="C144" s="14" t="inlineStr">
        <is>
          <t>NB-0006</t>
        </is>
      </c>
      <c r="D144" s="26" t="n">
        <v>45628</v>
      </c>
      <c r="E144" s="26" t="n">
        <v>45649</v>
      </c>
      <c r="F144" s="26" t="n">
        <v>45648</v>
      </c>
      <c r="G144" s="14" t="n">
        <v>194</v>
      </c>
      <c r="H144" s="14" t="n">
        <v>194</v>
      </c>
      <c r="I144" s="14" t="n">
        <v>1</v>
      </c>
      <c r="J144" s="58" t="n">
        <v>2004.02</v>
      </c>
      <c r="K144" s="59">
        <f>(F144-D144)/7</f>
        <v/>
      </c>
      <c r="L144" s="59">
        <f>K144^2</f>
        <v/>
      </c>
      <c r="M144" s="14">
        <f>IF(F144&lt;=E144,1,0)</f>
        <v/>
      </c>
      <c r="N144" s="14">
        <f>MAX(0,F144-E144)</f>
        <v/>
      </c>
    </row>
    <row r="145">
      <c r="A145" s="14" t="inlineStr">
        <is>
          <t>PO-00144</t>
        </is>
      </c>
      <c r="B145" s="14" t="inlineStr">
        <is>
          <t>S02</t>
        </is>
      </c>
      <c r="C145" s="14" t="inlineStr">
        <is>
          <t>NB-0006</t>
        </is>
      </c>
      <c r="D145" s="26" t="n">
        <v>45658</v>
      </c>
      <c r="E145" s="26" t="n">
        <v>45679</v>
      </c>
      <c r="F145" s="26" t="n">
        <v>45677</v>
      </c>
      <c r="G145" s="14" t="n">
        <v>191</v>
      </c>
      <c r="H145" s="14" t="n">
        <v>191</v>
      </c>
      <c r="I145" s="14" t="n">
        <v>0</v>
      </c>
      <c r="J145" s="58" t="n">
        <v>1973.03</v>
      </c>
      <c r="K145" s="59">
        <f>(F145-D145)/7</f>
        <v/>
      </c>
      <c r="L145" s="59">
        <f>K145^2</f>
        <v/>
      </c>
      <c r="M145" s="14">
        <f>IF(F145&lt;=E145,1,0)</f>
        <v/>
      </c>
      <c r="N145" s="14">
        <f>MAX(0,F145-E145)</f>
        <v/>
      </c>
    </row>
    <row r="146">
      <c r="A146" s="14" t="inlineStr">
        <is>
          <t>PO-00145</t>
        </is>
      </c>
      <c r="B146" s="14" t="inlineStr">
        <is>
          <t>S02</t>
        </is>
      </c>
      <c r="C146" s="14" t="inlineStr">
        <is>
          <t>NB-0006</t>
        </is>
      </c>
      <c r="D146" s="26" t="n">
        <v>45684</v>
      </c>
      <c r="E146" s="26" t="n">
        <v>45705</v>
      </c>
      <c r="F146" s="26" t="n">
        <v>45704</v>
      </c>
      <c r="G146" s="14" t="n">
        <v>213</v>
      </c>
      <c r="H146" s="14" t="n">
        <v>213</v>
      </c>
      <c r="I146" s="14" t="n">
        <v>2</v>
      </c>
      <c r="J146" s="58" t="n">
        <v>2200.29</v>
      </c>
      <c r="K146" s="59">
        <f>(F146-D146)/7</f>
        <v/>
      </c>
      <c r="L146" s="59">
        <f>K146^2</f>
        <v/>
      </c>
      <c r="M146" s="14">
        <f>IF(F146&lt;=E146,1,0)</f>
        <v/>
      </c>
      <c r="N146" s="14">
        <f>MAX(0,F146-E146)</f>
        <v/>
      </c>
    </row>
    <row r="147">
      <c r="A147" s="14" t="inlineStr">
        <is>
          <t>PO-00146</t>
        </is>
      </c>
      <c r="B147" s="14" t="inlineStr">
        <is>
          <t>S02</t>
        </is>
      </c>
      <c r="C147" s="14" t="inlineStr">
        <is>
          <t>NB-0006</t>
        </is>
      </c>
      <c r="D147" s="26" t="n">
        <v>45716</v>
      </c>
      <c r="E147" s="26" t="n">
        <v>45737</v>
      </c>
      <c r="F147" s="26" t="n">
        <v>45737</v>
      </c>
      <c r="G147" s="14" t="n">
        <v>196</v>
      </c>
      <c r="H147" s="14" t="n">
        <v>196</v>
      </c>
      <c r="I147" s="14" t="n">
        <v>1</v>
      </c>
      <c r="J147" s="58" t="n">
        <v>2024.68</v>
      </c>
      <c r="K147" s="59">
        <f>(F147-D147)/7</f>
        <v/>
      </c>
      <c r="L147" s="59">
        <f>K147^2</f>
        <v/>
      </c>
      <c r="M147" s="14">
        <f>IF(F147&lt;=E147,1,0)</f>
        <v/>
      </c>
      <c r="N147" s="14">
        <f>MAX(0,F147-E147)</f>
        <v/>
      </c>
    </row>
    <row r="148">
      <c r="A148" s="14" t="inlineStr">
        <is>
          <t>PO-00147</t>
        </is>
      </c>
      <c r="B148" s="14" t="inlineStr">
        <is>
          <t>S02</t>
        </is>
      </c>
      <c r="C148" s="14" t="inlineStr">
        <is>
          <t>NB-0006</t>
        </is>
      </c>
      <c r="D148" s="26" t="n">
        <v>45740</v>
      </c>
      <c r="E148" s="26" t="n">
        <v>45761</v>
      </c>
      <c r="F148" s="26" t="n">
        <v>45758</v>
      </c>
      <c r="G148" s="14" t="n">
        <v>242</v>
      </c>
      <c r="H148" s="14" t="n">
        <v>242</v>
      </c>
      <c r="I148" s="14" t="n">
        <v>0</v>
      </c>
      <c r="J148" s="58" t="n">
        <v>2499.86</v>
      </c>
      <c r="K148" s="59">
        <f>(F148-D148)/7</f>
        <v/>
      </c>
      <c r="L148" s="59">
        <f>K148^2</f>
        <v/>
      </c>
      <c r="M148" s="14">
        <f>IF(F148&lt;=E148,1,0)</f>
        <v/>
      </c>
      <c r="N148" s="14">
        <f>MAX(0,F148-E148)</f>
        <v/>
      </c>
    </row>
    <row r="149">
      <c r="A149" s="14" t="inlineStr">
        <is>
          <t>PO-00148</t>
        </is>
      </c>
      <c r="B149" s="14" t="inlineStr">
        <is>
          <t>S02</t>
        </is>
      </c>
      <c r="C149" s="14" t="inlineStr">
        <is>
          <t>NB-0006</t>
        </is>
      </c>
      <c r="D149" s="26" t="n">
        <v>45771</v>
      </c>
      <c r="E149" s="26" t="n">
        <v>45792</v>
      </c>
      <c r="F149" s="26" t="n">
        <v>45790</v>
      </c>
      <c r="G149" s="14" t="n">
        <v>238</v>
      </c>
      <c r="H149" s="14" t="n">
        <v>238</v>
      </c>
      <c r="I149" s="14" t="n">
        <v>4</v>
      </c>
      <c r="J149" s="58" t="n">
        <v>2458.54</v>
      </c>
      <c r="K149" s="59">
        <f>(F149-D149)/7</f>
        <v/>
      </c>
      <c r="L149" s="59">
        <f>K149^2</f>
        <v/>
      </c>
      <c r="M149" s="14">
        <f>IF(F149&lt;=E149,1,0)</f>
        <v/>
      </c>
      <c r="N149" s="14">
        <f>MAX(0,F149-E149)</f>
        <v/>
      </c>
    </row>
    <row r="150">
      <c r="A150" s="14" t="inlineStr">
        <is>
          <t>PO-00149</t>
        </is>
      </c>
      <c r="B150" s="14" t="inlineStr">
        <is>
          <t>S02</t>
        </is>
      </c>
      <c r="C150" s="14" t="inlineStr">
        <is>
          <t>NB-0006</t>
        </is>
      </c>
      <c r="D150" s="26" t="n">
        <v>45796</v>
      </c>
      <c r="E150" s="26" t="n">
        <v>45817</v>
      </c>
      <c r="F150" s="26" t="n">
        <v>45817</v>
      </c>
      <c r="G150" s="14" t="n">
        <v>225</v>
      </c>
      <c r="H150" s="14" t="n">
        <v>225</v>
      </c>
      <c r="I150" s="14" t="n">
        <v>1</v>
      </c>
      <c r="J150" s="58" t="n">
        <v>2324.25</v>
      </c>
      <c r="K150" s="59">
        <f>(F150-D150)/7</f>
        <v/>
      </c>
      <c r="L150" s="59">
        <f>K150^2</f>
        <v/>
      </c>
      <c r="M150" s="14">
        <f>IF(F150&lt;=E150,1,0)</f>
        <v/>
      </c>
      <c r="N150" s="14">
        <f>MAX(0,F150-E150)</f>
        <v/>
      </c>
    </row>
    <row r="151">
      <c r="A151" s="14" t="inlineStr">
        <is>
          <t>PO-00150</t>
        </is>
      </c>
      <c r="B151" s="14" t="inlineStr">
        <is>
          <t>S02</t>
        </is>
      </c>
      <c r="C151" s="14" t="inlineStr">
        <is>
          <t>NB-0006</t>
        </is>
      </c>
      <c r="D151" s="26" t="n">
        <v>45828</v>
      </c>
      <c r="E151" s="26" t="n">
        <v>45849</v>
      </c>
      <c r="F151" s="26" t="n">
        <v>45847</v>
      </c>
      <c r="G151" s="14" t="n">
        <v>206</v>
      </c>
      <c r="H151" s="14" t="n">
        <v>206</v>
      </c>
      <c r="I151" s="14" t="n">
        <v>0</v>
      </c>
      <c r="J151" s="58" t="n">
        <v>2127.98</v>
      </c>
      <c r="K151" s="59">
        <f>(F151-D151)/7</f>
        <v/>
      </c>
      <c r="L151" s="59">
        <f>K151^2</f>
        <v/>
      </c>
      <c r="M151" s="14">
        <f>IF(F151&lt;=E151,1,0)</f>
        <v/>
      </c>
      <c r="N151" s="14">
        <f>MAX(0,F151-E151)</f>
        <v/>
      </c>
    </row>
    <row r="152">
      <c r="A152" s="14" t="inlineStr">
        <is>
          <t>PO-00151</t>
        </is>
      </c>
      <c r="B152" s="14" t="inlineStr">
        <is>
          <t>S02</t>
        </is>
      </c>
      <c r="C152" s="14" t="inlineStr">
        <is>
          <t>NB-0006</t>
        </is>
      </c>
      <c r="D152" s="26" t="n">
        <v>45856</v>
      </c>
      <c r="E152" s="26" t="n">
        <v>45877</v>
      </c>
      <c r="F152" s="26" t="n">
        <v>45877</v>
      </c>
      <c r="G152" s="14" t="n">
        <v>215</v>
      </c>
      <c r="H152" s="14" t="n">
        <v>215</v>
      </c>
      <c r="I152" s="14" t="n">
        <v>0</v>
      </c>
      <c r="J152" s="58" t="n">
        <v>2220.95</v>
      </c>
      <c r="K152" s="59">
        <f>(F152-D152)/7</f>
        <v/>
      </c>
      <c r="L152" s="59">
        <f>K152^2</f>
        <v/>
      </c>
      <c r="M152" s="14">
        <f>IF(F152&lt;=E152,1,0)</f>
        <v/>
      </c>
      <c r="N152" s="14">
        <f>MAX(0,F152-E152)</f>
        <v/>
      </c>
    </row>
    <row r="153">
      <c r="A153" s="14" t="inlineStr">
        <is>
          <t>PO-00152</t>
        </is>
      </c>
      <c r="B153" s="14" t="inlineStr">
        <is>
          <t>S02</t>
        </is>
      </c>
      <c r="C153" s="14" t="inlineStr">
        <is>
          <t>NB-0006</t>
        </is>
      </c>
      <c r="D153" s="26" t="n">
        <v>45884</v>
      </c>
      <c r="E153" s="26" t="n">
        <v>45905</v>
      </c>
      <c r="F153" s="26" t="n">
        <v>45904</v>
      </c>
      <c r="G153" s="14" t="n">
        <v>232</v>
      </c>
      <c r="H153" s="14" t="n">
        <v>232</v>
      </c>
      <c r="I153" s="14" t="n">
        <v>2</v>
      </c>
      <c r="J153" s="58" t="n">
        <v>2396.56</v>
      </c>
      <c r="K153" s="59">
        <f>(F153-D153)/7</f>
        <v/>
      </c>
      <c r="L153" s="59">
        <f>K153^2</f>
        <v/>
      </c>
      <c r="M153" s="14">
        <f>IF(F153&lt;=E153,1,0)</f>
        <v/>
      </c>
      <c r="N153" s="14">
        <f>MAX(0,F153-E153)</f>
        <v/>
      </c>
    </row>
    <row r="154">
      <c r="A154" s="14" t="inlineStr">
        <is>
          <t>PO-00153</t>
        </is>
      </c>
      <c r="B154" s="14" t="inlineStr">
        <is>
          <t>S02</t>
        </is>
      </c>
      <c r="C154" s="14" t="inlineStr">
        <is>
          <t>NB-0006</t>
        </is>
      </c>
      <c r="D154" s="26" t="n">
        <v>45912</v>
      </c>
      <c r="E154" s="26" t="n">
        <v>45933</v>
      </c>
      <c r="F154" s="26" t="n">
        <v>45930</v>
      </c>
      <c r="G154" s="14" t="n">
        <v>183</v>
      </c>
      <c r="H154" s="14" t="n">
        <v>183</v>
      </c>
      <c r="I154" s="14" t="n">
        <v>1</v>
      </c>
      <c r="J154" s="58" t="n">
        <v>1890.39</v>
      </c>
      <c r="K154" s="59">
        <f>(F154-D154)/7</f>
        <v/>
      </c>
      <c r="L154" s="59">
        <f>K154^2</f>
        <v/>
      </c>
      <c r="M154" s="14">
        <f>IF(F154&lt;=E154,1,0)</f>
        <v/>
      </c>
      <c r="N154" s="14">
        <f>MAX(0,F154-E154)</f>
        <v/>
      </c>
    </row>
    <row r="155">
      <c r="A155" s="14" t="inlineStr">
        <is>
          <t>PO-00154</t>
        </is>
      </c>
      <c r="B155" s="14" t="inlineStr">
        <is>
          <t>S02</t>
        </is>
      </c>
      <c r="C155" s="14" t="inlineStr">
        <is>
          <t>NB-0006</t>
        </is>
      </c>
      <c r="D155" s="26" t="n">
        <v>45938</v>
      </c>
      <c r="E155" s="26" t="n">
        <v>45959</v>
      </c>
      <c r="F155" s="26" t="n">
        <v>45958</v>
      </c>
      <c r="G155" s="14" t="n">
        <v>182</v>
      </c>
      <c r="H155" s="14" t="n">
        <v>182</v>
      </c>
      <c r="I155" s="14" t="n">
        <v>1</v>
      </c>
      <c r="J155" s="58" t="n">
        <v>1880.06</v>
      </c>
      <c r="K155" s="59">
        <f>(F155-D155)/7</f>
        <v/>
      </c>
      <c r="L155" s="59">
        <f>K155^2</f>
        <v/>
      </c>
      <c r="M155" s="14">
        <f>IF(F155&lt;=E155,1,0)</f>
        <v/>
      </c>
      <c r="N155" s="14">
        <f>MAX(0,F155-E155)</f>
        <v/>
      </c>
    </row>
    <row r="156">
      <c r="A156" s="14" t="inlineStr">
        <is>
          <t>PO-00155</t>
        </is>
      </c>
      <c r="B156" s="14" t="inlineStr">
        <is>
          <t>S02</t>
        </is>
      </c>
      <c r="C156" s="14" t="inlineStr">
        <is>
          <t>NB-0006</t>
        </is>
      </c>
      <c r="D156" s="26" t="n">
        <v>45967</v>
      </c>
      <c r="E156" s="26" t="n">
        <v>45988</v>
      </c>
      <c r="F156" s="26" t="n">
        <v>45987</v>
      </c>
      <c r="G156" s="14" t="n">
        <v>235</v>
      </c>
      <c r="H156" s="14" t="n">
        <v>235</v>
      </c>
      <c r="I156" s="14" t="n">
        <v>1</v>
      </c>
      <c r="J156" s="58" t="n">
        <v>2427.55</v>
      </c>
      <c r="K156" s="59">
        <f>(F156-D156)/7</f>
        <v/>
      </c>
      <c r="L156" s="59">
        <f>K156^2</f>
        <v/>
      </c>
      <c r="M156" s="14">
        <f>IF(F156&lt;=E156,1,0)</f>
        <v/>
      </c>
      <c r="N156" s="14">
        <f>MAX(0,F156-E156)</f>
        <v/>
      </c>
    </row>
    <row r="157">
      <c r="A157" s="14" t="inlineStr">
        <is>
          <t>PO-00156</t>
        </is>
      </c>
      <c r="B157" s="14" t="inlineStr">
        <is>
          <t>S02</t>
        </is>
      </c>
      <c r="C157" s="14" t="inlineStr">
        <is>
          <t>NB-0006</t>
        </is>
      </c>
      <c r="D157" s="26" t="n">
        <v>45995</v>
      </c>
      <c r="E157" s="26" t="n">
        <v>46016</v>
      </c>
      <c r="F157" s="26" t="n">
        <v>46016</v>
      </c>
      <c r="G157" s="14" t="n">
        <v>186</v>
      </c>
      <c r="H157" s="14" t="n">
        <v>186</v>
      </c>
      <c r="I157" s="14" t="n">
        <v>3</v>
      </c>
      <c r="J157" s="58" t="n">
        <v>1921.38</v>
      </c>
      <c r="K157" s="59">
        <f>(F157-D157)/7</f>
        <v/>
      </c>
      <c r="L157" s="59">
        <f>K157^2</f>
        <v/>
      </c>
      <c r="M157" s="14">
        <f>IF(F157&lt;=E157,1,0)</f>
        <v/>
      </c>
      <c r="N157" s="14">
        <f>MAX(0,F157-E157)</f>
        <v/>
      </c>
    </row>
    <row r="158">
      <c r="A158" s="14" t="inlineStr">
        <is>
          <t>PO-00157</t>
        </is>
      </c>
      <c r="B158" s="14" t="inlineStr">
        <is>
          <t>S05</t>
        </is>
      </c>
      <c r="C158" s="14" t="inlineStr">
        <is>
          <t>NB-0007</t>
        </is>
      </c>
      <c r="D158" s="26" t="n">
        <v>45294</v>
      </c>
      <c r="E158" s="26" t="n">
        <v>45350</v>
      </c>
      <c r="F158" s="26" t="n">
        <v>45371</v>
      </c>
      <c r="G158" s="14" t="n">
        <v>497</v>
      </c>
      <c r="H158" s="14" t="n">
        <v>497</v>
      </c>
      <c r="I158" s="14" t="n">
        <v>11</v>
      </c>
      <c r="J158" s="58" t="n">
        <v>9537.43</v>
      </c>
      <c r="K158" s="59">
        <f>(F158-D158)/7</f>
        <v/>
      </c>
      <c r="L158" s="59">
        <f>K158^2</f>
        <v/>
      </c>
      <c r="M158" s="14">
        <f>IF(F158&lt;=E158,1,0)</f>
        <v/>
      </c>
      <c r="N158" s="14">
        <f>MAX(0,F158-E158)</f>
        <v/>
      </c>
    </row>
    <row r="159">
      <c r="A159" s="14" t="inlineStr">
        <is>
          <t>PO-00158</t>
        </is>
      </c>
      <c r="B159" s="14" t="inlineStr">
        <is>
          <t>S05</t>
        </is>
      </c>
      <c r="C159" s="14" t="inlineStr">
        <is>
          <t>NB-0007</t>
        </is>
      </c>
      <c r="D159" s="26" t="n">
        <v>45324</v>
      </c>
      <c r="E159" s="26" t="n">
        <v>45380</v>
      </c>
      <c r="F159" s="26" t="n">
        <v>45391</v>
      </c>
      <c r="G159" s="14" t="n">
        <v>460</v>
      </c>
      <c r="H159" s="14" t="n">
        <v>460</v>
      </c>
      <c r="I159" s="14" t="n">
        <v>5</v>
      </c>
      <c r="J159" s="58" t="n">
        <v>8827.4</v>
      </c>
      <c r="K159" s="59">
        <f>(F159-D159)/7</f>
        <v/>
      </c>
      <c r="L159" s="59">
        <f>K159^2</f>
        <v/>
      </c>
      <c r="M159" s="14">
        <f>IF(F159&lt;=E159,1,0)</f>
        <v/>
      </c>
      <c r="N159" s="14">
        <f>MAX(0,F159-E159)</f>
        <v/>
      </c>
    </row>
    <row r="160">
      <c r="A160" s="14" t="inlineStr">
        <is>
          <t>PO-00159</t>
        </is>
      </c>
      <c r="B160" s="14" t="inlineStr">
        <is>
          <t>S05</t>
        </is>
      </c>
      <c r="C160" s="14" t="inlineStr">
        <is>
          <t>NB-0007</t>
        </is>
      </c>
      <c r="D160" s="26" t="n">
        <v>45352</v>
      </c>
      <c r="E160" s="26" t="n">
        <v>45408</v>
      </c>
      <c r="F160" s="26" t="n">
        <v>45405</v>
      </c>
      <c r="G160" s="14" t="n">
        <v>610</v>
      </c>
      <c r="H160" s="14" t="n">
        <v>610</v>
      </c>
      <c r="I160" s="14" t="n">
        <v>6</v>
      </c>
      <c r="J160" s="58" t="n">
        <v>11705.9</v>
      </c>
      <c r="K160" s="59">
        <f>(F160-D160)/7</f>
        <v/>
      </c>
      <c r="L160" s="59">
        <f>K160^2</f>
        <v/>
      </c>
      <c r="M160" s="14">
        <f>IF(F160&lt;=E160,1,0)</f>
        <v/>
      </c>
      <c r="N160" s="14">
        <f>MAX(0,F160-E160)</f>
        <v/>
      </c>
    </row>
    <row r="161">
      <c r="A161" s="14" t="inlineStr">
        <is>
          <t>PO-00160</t>
        </is>
      </c>
      <c r="B161" s="14" t="inlineStr">
        <is>
          <t>S05</t>
        </is>
      </c>
      <c r="C161" s="14" t="inlineStr">
        <is>
          <t>NB-0007</t>
        </is>
      </c>
      <c r="D161" s="26" t="n">
        <v>45378</v>
      </c>
      <c r="E161" s="26" t="n">
        <v>45434</v>
      </c>
      <c r="F161" s="26" t="n">
        <v>45434</v>
      </c>
      <c r="G161" s="14" t="n">
        <v>566</v>
      </c>
      <c r="H161" s="14" t="n">
        <v>566</v>
      </c>
      <c r="I161" s="14" t="n">
        <v>7</v>
      </c>
      <c r="J161" s="58" t="n">
        <v>10861.54</v>
      </c>
      <c r="K161" s="59">
        <f>(F161-D161)/7</f>
        <v/>
      </c>
      <c r="L161" s="59">
        <f>K161^2</f>
        <v/>
      </c>
      <c r="M161" s="14">
        <f>IF(F161&lt;=E161,1,0)</f>
        <v/>
      </c>
      <c r="N161" s="14">
        <f>MAX(0,F161-E161)</f>
        <v/>
      </c>
    </row>
    <row r="162">
      <c r="A162" s="14" t="inlineStr">
        <is>
          <t>PO-00161</t>
        </is>
      </c>
      <c r="B162" s="14" t="inlineStr">
        <is>
          <t>S05</t>
        </is>
      </c>
      <c r="C162" s="14" t="inlineStr">
        <is>
          <t>NB-0007</t>
        </is>
      </c>
      <c r="D162" s="26" t="n">
        <v>45407</v>
      </c>
      <c r="E162" s="26" t="n">
        <v>45463</v>
      </c>
      <c r="F162" s="26" t="n">
        <v>45462</v>
      </c>
      <c r="G162" s="14" t="n">
        <v>564</v>
      </c>
      <c r="H162" s="14" t="n">
        <v>564</v>
      </c>
      <c r="I162" s="14" t="n">
        <v>6</v>
      </c>
      <c r="J162" s="58" t="n">
        <v>10823.16</v>
      </c>
      <c r="K162" s="59">
        <f>(F162-D162)/7</f>
        <v/>
      </c>
      <c r="L162" s="59">
        <f>K162^2</f>
        <v/>
      </c>
      <c r="M162" s="14">
        <f>IF(F162&lt;=E162,1,0)</f>
        <v/>
      </c>
      <c r="N162" s="14">
        <f>MAX(0,F162-E162)</f>
        <v/>
      </c>
    </row>
    <row r="163">
      <c r="A163" s="14" t="inlineStr">
        <is>
          <t>PO-00162</t>
        </is>
      </c>
      <c r="B163" s="14" t="inlineStr">
        <is>
          <t>S05</t>
        </is>
      </c>
      <c r="C163" s="14" t="inlineStr">
        <is>
          <t>NB-0007</t>
        </is>
      </c>
      <c r="D163" s="26" t="n">
        <v>45436</v>
      </c>
      <c r="E163" s="26" t="n">
        <v>45492</v>
      </c>
      <c r="F163" s="26" t="n">
        <v>45492</v>
      </c>
      <c r="G163" s="14" t="n">
        <v>561</v>
      </c>
      <c r="H163" s="14" t="n">
        <v>561</v>
      </c>
      <c r="I163" s="14" t="n">
        <v>8</v>
      </c>
      <c r="J163" s="58" t="n">
        <v>10765.59</v>
      </c>
      <c r="K163" s="59">
        <f>(F163-D163)/7</f>
        <v/>
      </c>
      <c r="L163" s="59">
        <f>K163^2</f>
        <v/>
      </c>
      <c r="M163" s="14">
        <f>IF(F163&lt;=E163,1,0)</f>
        <v/>
      </c>
      <c r="N163" s="14">
        <f>MAX(0,F163-E163)</f>
        <v/>
      </c>
    </row>
    <row r="164">
      <c r="A164" s="14" t="inlineStr">
        <is>
          <t>PO-00163</t>
        </is>
      </c>
      <c r="B164" s="14" t="inlineStr">
        <is>
          <t>S05</t>
        </is>
      </c>
      <c r="C164" s="14" t="inlineStr">
        <is>
          <t>NB-0007</t>
        </is>
      </c>
      <c r="D164" s="26" t="n">
        <v>45462</v>
      </c>
      <c r="E164" s="26" t="n">
        <v>45518</v>
      </c>
      <c r="F164" s="26" t="n">
        <v>45518</v>
      </c>
      <c r="G164" s="14" t="n">
        <v>544</v>
      </c>
      <c r="H164" s="14" t="n">
        <v>544</v>
      </c>
      <c r="I164" s="14" t="n">
        <v>5</v>
      </c>
      <c r="J164" s="58" t="n">
        <v>10439.36</v>
      </c>
      <c r="K164" s="59">
        <f>(F164-D164)/7</f>
        <v/>
      </c>
      <c r="L164" s="59">
        <f>K164^2</f>
        <v/>
      </c>
      <c r="M164" s="14">
        <f>IF(F164&lt;=E164,1,0)</f>
        <v/>
      </c>
      <c r="N164" s="14">
        <f>MAX(0,F164-E164)</f>
        <v/>
      </c>
    </row>
    <row r="165">
      <c r="A165" s="14" t="inlineStr">
        <is>
          <t>PO-00164</t>
        </is>
      </c>
      <c r="B165" s="14" t="inlineStr">
        <is>
          <t>S05</t>
        </is>
      </c>
      <c r="C165" s="14" t="inlineStr">
        <is>
          <t>NB-0007</t>
        </is>
      </c>
      <c r="D165" s="26" t="n">
        <v>45489</v>
      </c>
      <c r="E165" s="26" t="n">
        <v>45545</v>
      </c>
      <c r="F165" s="26" t="n">
        <v>45542</v>
      </c>
      <c r="G165" s="14" t="n">
        <v>544</v>
      </c>
      <c r="H165" s="14" t="n">
        <v>544</v>
      </c>
      <c r="I165" s="14" t="n">
        <v>7</v>
      </c>
      <c r="J165" s="58" t="n">
        <v>10439.36</v>
      </c>
      <c r="K165" s="59">
        <f>(F165-D165)/7</f>
        <v/>
      </c>
      <c r="L165" s="59">
        <f>K165^2</f>
        <v/>
      </c>
      <c r="M165" s="14">
        <f>IF(F165&lt;=E165,1,0)</f>
        <v/>
      </c>
      <c r="N165" s="14">
        <f>MAX(0,F165-E165)</f>
        <v/>
      </c>
    </row>
    <row r="166">
      <c r="A166" s="14" t="inlineStr">
        <is>
          <t>PO-00165</t>
        </is>
      </c>
      <c r="B166" s="14" t="inlineStr">
        <is>
          <t>S05</t>
        </is>
      </c>
      <c r="C166" s="14" t="inlineStr">
        <is>
          <t>NB-0007</t>
        </is>
      </c>
      <c r="D166" s="26" t="n">
        <v>45520</v>
      </c>
      <c r="E166" s="26" t="n">
        <v>45576</v>
      </c>
      <c r="F166" s="26" t="n">
        <v>45576</v>
      </c>
      <c r="G166" s="14" t="n">
        <v>481</v>
      </c>
      <c r="H166" s="14" t="n">
        <v>481</v>
      </c>
      <c r="I166" s="14" t="n">
        <v>7</v>
      </c>
      <c r="J166" s="58" t="n">
        <v>9230.389999999999</v>
      </c>
      <c r="K166" s="59">
        <f>(F166-D166)/7</f>
        <v/>
      </c>
      <c r="L166" s="59">
        <f>K166^2</f>
        <v/>
      </c>
      <c r="M166" s="14">
        <f>IF(F166&lt;=E166,1,0)</f>
        <v/>
      </c>
      <c r="N166" s="14">
        <f>MAX(0,F166-E166)</f>
        <v/>
      </c>
    </row>
    <row r="167">
      <c r="A167" s="14" t="inlineStr">
        <is>
          <t>PO-00166</t>
        </is>
      </c>
      <c r="B167" s="14" t="inlineStr">
        <is>
          <t>S05</t>
        </is>
      </c>
      <c r="C167" s="14" t="inlineStr">
        <is>
          <t>NB-0007</t>
        </is>
      </c>
      <c r="D167" s="26" t="n">
        <v>45548</v>
      </c>
      <c r="E167" s="26" t="n">
        <v>45604</v>
      </c>
      <c r="F167" s="26" t="n">
        <v>45603</v>
      </c>
      <c r="G167" s="14" t="n">
        <v>571</v>
      </c>
      <c r="H167" s="14" t="n">
        <v>571</v>
      </c>
      <c r="I167" s="14" t="n">
        <v>6</v>
      </c>
      <c r="J167" s="58" t="n">
        <v>10957.49</v>
      </c>
      <c r="K167" s="59">
        <f>(F167-D167)/7</f>
        <v/>
      </c>
      <c r="L167" s="59">
        <f>K167^2</f>
        <v/>
      </c>
      <c r="M167" s="14">
        <f>IF(F167&lt;=E167,1,0)</f>
        <v/>
      </c>
      <c r="N167" s="14">
        <f>MAX(0,F167-E167)</f>
        <v/>
      </c>
    </row>
    <row r="168">
      <c r="A168" s="14" t="inlineStr">
        <is>
          <t>PO-00167</t>
        </is>
      </c>
      <c r="B168" s="14" t="inlineStr">
        <is>
          <t>S05</t>
        </is>
      </c>
      <c r="C168" s="14" t="inlineStr">
        <is>
          <t>NB-0007</t>
        </is>
      </c>
      <c r="D168" s="26" t="n">
        <v>45574</v>
      </c>
      <c r="E168" s="26" t="n">
        <v>45630</v>
      </c>
      <c r="F168" s="26" t="n">
        <v>45644</v>
      </c>
      <c r="G168" s="14" t="n">
        <v>565</v>
      </c>
      <c r="H168" s="14" t="n">
        <v>565</v>
      </c>
      <c r="I168" s="14" t="n">
        <v>8</v>
      </c>
      <c r="J168" s="58" t="n">
        <v>10842.35</v>
      </c>
      <c r="K168" s="59">
        <f>(F168-D168)/7</f>
        <v/>
      </c>
      <c r="L168" s="59">
        <f>K168^2</f>
        <v/>
      </c>
      <c r="M168" s="14">
        <f>IF(F168&lt;=E168,1,0)</f>
        <v/>
      </c>
      <c r="N168" s="14">
        <f>MAX(0,F168-E168)</f>
        <v/>
      </c>
    </row>
    <row r="169">
      <c r="A169" s="14" t="inlineStr">
        <is>
          <t>PO-00168</t>
        </is>
      </c>
      <c r="B169" s="14" t="inlineStr">
        <is>
          <t>S05</t>
        </is>
      </c>
      <c r="C169" s="14" t="inlineStr">
        <is>
          <t>NB-0007</t>
        </is>
      </c>
      <c r="D169" s="26" t="n">
        <v>45602</v>
      </c>
      <c r="E169" s="26" t="n">
        <v>45658</v>
      </c>
      <c r="F169" s="26" t="n">
        <v>45664</v>
      </c>
      <c r="G169" s="14" t="n">
        <v>551</v>
      </c>
      <c r="H169" s="14" t="n">
        <v>551</v>
      </c>
      <c r="I169" s="14" t="n">
        <v>10</v>
      </c>
      <c r="J169" s="58" t="n">
        <v>10573.69</v>
      </c>
      <c r="K169" s="59">
        <f>(F169-D169)/7</f>
        <v/>
      </c>
      <c r="L169" s="59">
        <f>K169^2</f>
        <v/>
      </c>
      <c r="M169" s="14">
        <f>IF(F169&lt;=E169,1,0)</f>
        <v/>
      </c>
      <c r="N169" s="14">
        <f>MAX(0,F169-E169)</f>
        <v/>
      </c>
    </row>
    <row r="170">
      <c r="A170" s="14" t="inlineStr">
        <is>
          <t>PO-00169</t>
        </is>
      </c>
      <c r="B170" s="14" t="inlineStr">
        <is>
          <t>S05</t>
        </is>
      </c>
      <c r="C170" s="14" t="inlineStr">
        <is>
          <t>NB-0007</t>
        </is>
      </c>
      <c r="D170" s="26" t="n">
        <v>45629</v>
      </c>
      <c r="E170" s="26" t="n">
        <v>45685</v>
      </c>
      <c r="F170" s="26" t="n">
        <v>45697</v>
      </c>
      <c r="G170" s="14" t="n">
        <v>575</v>
      </c>
      <c r="H170" s="14" t="n">
        <v>575</v>
      </c>
      <c r="I170" s="14" t="n">
        <v>7</v>
      </c>
      <c r="J170" s="58" t="n">
        <v>11034.25</v>
      </c>
      <c r="K170" s="59">
        <f>(F170-D170)/7</f>
        <v/>
      </c>
      <c r="L170" s="59">
        <f>K170^2</f>
        <v/>
      </c>
      <c r="M170" s="14">
        <f>IF(F170&lt;=E170,1,0)</f>
        <v/>
      </c>
      <c r="N170" s="14">
        <f>MAX(0,F170-E170)</f>
        <v/>
      </c>
    </row>
    <row r="171">
      <c r="A171" s="14" t="inlineStr">
        <is>
          <t>PO-00170</t>
        </is>
      </c>
      <c r="B171" s="14" t="inlineStr">
        <is>
          <t>S05</t>
        </is>
      </c>
      <c r="C171" s="14" t="inlineStr">
        <is>
          <t>NB-0007</t>
        </is>
      </c>
      <c r="D171" s="26" t="n">
        <v>45660</v>
      </c>
      <c r="E171" s="26" t="n">
        <v>45716</v>
      </c>
      <c r="F171" s="26" t="n">
        <v>45730</v>
      </c>
      <c r="G171" s="14" t="n">
        <v>495</v>
      </c>
      <c r="H171" s="14" t="n">
        <v>495</v>
      </c>
      <c r="I171" s="14" t="n">
        <v>6</v>
      </c>
      <c r="J171" s="58" t="n">
        <v>9499.049999999999</v>
      </c>
      <c r="K171" s="59">
        <f>(F171-D171)/7</f>
        <v/>
      </c>
      <c r="L171" s="59">
        <f>K171^2</f>
        <v/>
      </c>
      <c r="M171" s="14">
        <f>IF(F171&lt;=E171,1,0)</f>
        <v/>
      </c>
      <c r="N171" s="14">
        <f>MAX(0,F171-E171)</f>
        <v/>
      </c>
    </row>
    <row r="172">
      <c r="A172" s="14" t="inlineStr">
        <is>
          <t>PO-00171</t>
        </is>
      </c>
      <c r="B172" s="14" t="inlineStr">
        <is>
          <t>S05</t>
        </is>
      </c>
      <c r="C172" s="14" t="inlineStr">
        <is>
          <t>NB-0007</t>
        </is>
      </c>
      <c r="D172" s="26" t="n">
        <v>45686</v>
      </c>
      <c r="E172" s="26" t="n">
        <v>45742</v>
      </c>
      <c r="F172" s="26" t="n">
        <v>45741</v>
      </c>
      <c r="G172" s="14" t="n">
        <v>551</v>
      </c>
      <c r="H172" s="14" t="n">
        <v>551</v>
      </c>
      <c r="I172" s="14" t="n">
        <v>7</v>
      </c>
      <c r="J172" s="58" t="n">
        <v>10573.69</v>
      </c>
      <c r="K172" s="59">
        <f>(F172-D172)/7</f>
        <v/>
      </c>
      <c r="L172" s="59">
        <f>K172^2</f>
        <v/>
      </c>
      <c r="M172" s="14">
        <f>IF(F172&lt;=E172,1,0)</f>
        <v/>
      </c>
      <c r="N172" s="14">
        <f>MAX(0,F172-E172)</f>
        <v/>
      </c>
    </row>
    <row r="173">
      <c r="A173" s="14" t="inlineStr">
        <is>
          <t>PO-00172</t>
        </is>
      </c>
      <c r="B173" s="14" t="inlineStr">
        <is>
          <t>S05</t>
        </is>
      </c>
      <c r="C173" s="14" t="inlineStr">
        <is>
          <t>NB-0007</t>
        </is>
      </c>
      <c r="D173" s="26" t="n">
        <v>45712</v>
      </c>
      <c r="E173" s="26" t="n">
        <v>45768</v>
      </c>
      <c r="F173" s="26" t="n">
        <v>45767</v>
      </c>
      <c r="G173" s="14" t="n">
        <v>514</v>
      </c>
      <c r="H173" s="14" t="n">
        <v>514</v>
      </c>
      <c r="I173" s="14" t="n">
        <v>11</v>
      </c>
      <c r="J173" s="58" t="n">
        <v>9863.66</v>
      </c>
      <c r="K173" s="59">
        <f>(F173-D173)/7</f>
        <v/>
      </c>
      <c r="L173" s="59">
        <f>K173^2</f>
        <v/>
      </c>
      <c r="M173" s="14">
        <f>IF(F173&lt;=E173,1,0)</f>
        <v/>
      </c>
      <c r="N173" s="14">
        <f>MAX(0,F173-E173)</f>
        <v/>
      </c>
    </row>
    <row r="174">
      <c r="A174" s="14" t="inlineStr">
        <is>
          <t>PO-00173</t>
        </is>
      </c>
      <c r="B174" s="14" t="inlineStr">
        <is>
          <t>S05</t>
        </is>
      </c>
      <c r="C174" s="14" t="inlineStr">
        <is>
          <t>NB-0007</t>
        </is>
      </c>
      <c r="D174" s="26" t="n">
        <v>45742</v>
      </c>
      <c r="E174" s="26" t="n">
        <v>45798</v>
      </c>
      <c r="F174" s="26" t="n">
        <v>45816</v>
      </c>
      <c r="G174" s="14" t="n">
        <v>446</v>
      </c>
      <c r="H174" s="14" t="n">
        <v>446</v>
      </c>
      <c r="I174" s="14" t="n">
        <v>5</v>
      </c>
      <c r="J174" s="58" t="n">
        <v>8558.74</v>
      </c>
      <c r="K174" s="59">
        <f>(F174-D174)/7</f>
        <v/>
      </c>
      <c r="L174" s="59">
        <f>K174^2</f>
        <v/>
      </c>
      <c r="M174" s="14">
        <f>IF(F174&lt;=E174,1,0)</f>
        <v/>
      </c>
      <c r="N174" s="14">
        <f>MAX(0,F174-E174)</f>
        <v/>
      </c>
    </row>
    <row r="175">
      <c r="A175" s="14" t="inlineStr">
        <is>
          <t>PO-00174</t>
        </is>
      </c>
      <c r="B175" s="14" t="inlineStr">
        <is>
          <t>S05</t>
        </is>
      </c>
      <c r="C175" s="14" t="inlineStr">
        <is>
          <t>NB-0007</t>
        </is>
      </c>
      <c r="D175" s="26" t="n">
        <v>45769</v>
      </c>
      <c r="E175" s="26" t="n">
        <v>45825</v>
      </c>
      <c r="F175" s="26" t="n">
        <v>45824</v>
      </c>
      <c r="G175" s="14" t="n">
        <v>594</v>
      </c>
      <c r="H175" s="14" t="n">
        <v>594</v>
      </c>
      <c r="I175" s="14" t="n">
        <v>10</v>
      </c>
      <c r="J175" s="58" t="n">
        <v>11398.86</v>
      </c>
      <c r="K175" s="59">
        <f>(F175-D175)/7</f>
        <v/>
      </c>
      <c r="L175" s="59">
        <f>K175^2</f>
        <v/>
      </c>
      <c r="M175" s="14">
        <f>IF(F175&lt;=E175,1,0)</f>
        <v/>
      </c>
      <c r="N175" s="14">
        <f>MAX(0,F175-E175)</f>
        <v/>
      </c>
    </row>
    <row r="176">
      <c r="A176" s="14" t="inlineStr">
        <is>
          <t>PO-00175</t>
        </is>
      </c>
      <c r="B176" s="14" t="inlineStr">
        <is>
          <t>S05</t>
        </is>
      </c>
      <c r="C176" s="14" t="inlineStr">
        <is>
          <t>NB-0007</t>
        </is>
      </c>
      <c r="D176" s="26" t="n">
        <v>45796</v>
      </c>
      <c r="E176" s="26" t="n">
        <v>45852</v>
      </c>
      <c r="F176" s="26" t="n">
        <v>45849</v>
      </c>
      <c r="G176" s="14" t="n">
        <v>555</v>
      </c>
      <c r="H176" s="14" t="n">
        <v>555</v>
      </c>
      <c r="I176" s="14" t="n">
        <v>12</v>
      </c>
      <c r="J176" s="58" t="n">
        <v>10650.45</v>
      </c>
      <c r="K176" s="59">
        <f>(F176-D176)/7</f>
        <v/>
      </c>
      <c r="L176" s="59">
        <f>K176^2</f>
        <v/>
      </c>
      <c r="M176" s="14">
        <f>IF(F176&lt;=E176,1,0)</f>
        <v/>
      </c>
      <c r="N176" s="14">
        <f>MAX(0,F176-E176)</f>
        <v/>
      </c>
    </row>
    <row r="177">
      <c r="A177" s="14" t="inlineStr">
        <is>
          <t>PO-00176</t>
        </is>
      </c>
      <c r="B177" s="14" t="inlineStr">
        <is>
          <t>S05</t>
        </is>
      </c>
      <c r="C177" s="14" t="inlineStr">
        <is>
          <t>NB-0007</t>
        </is>
      </c>
      <c r="D177" s="26" t="n">
        <v>45826</v>
      </c>
      <c r="E177" s="26" t="n">
        <v>45882</v>
      </c>
      <c r="F177" s="26" t="n">
        <v>45892</v>
      </c>
      <c r="G177" s="14" t="n">
        <v>459</v>
      </c>
      <c r="H177" s="14" t="n">
        <v>459</v>
      </c>
      <c r="I177" s="14" t="n">
        <v>8</v>
      </c>
      <c r="J177" s="58" t="n">
        <v>8808.209999999999</v>
      </c>
      <c r="K177" s="59">
        <f>(F177-D177)/7</f>
        <v/>
      </c>
      <c r="L177" s="59">
        <f>K177^2</f>
        <v/>
      </c>
      <c r="M177" s="14">
        <f>IF(F177&lt;=E177,1,0)</f>
        <v/>
      </c>
      <c r="N177" s="14">
        <f>MAX(0,F177-E177)</f>
        <v/>
      </c>
    </row>
    <row r="178">
      <c r="A178" s="14" t="inlineStr">
        <is>
          <t>PO-00177</t>
        </is>
      </c>
      <c r="B178" s="14" t="inlineStr">
        <is>
          <t>S05</t>
        </is>
      </c>
      <c r="C178" s="14" t="inlineStr">
        <is>
          <t>NB-0007</t>
        </is>
      </c>
      <c r="D178" s="26" t="n">
        <v>45853</v>
      </c>
      <c r="E178" s="26" t="n">
        <v>45909</v>
      </c>
      <c r="F178" s="26" t="n">
        <v>45908</v>
      </c>
      <c r="G178" s="14" t="n">
        <v>494</v>
      </c>
      <c r="H178" s="14" t="n">
        <v>494</v>
      </c>
      <c r="I178" s="14" t="n">
        <v>10</v>
      </c>
      <c r="J178" s="58" t="n">
        <v>9479.860000000001</v>
      </c>
      <c r="K178" s="59">
        <f>(F178-D178)/7</f>
        <v/>
      </c>
      <c r="L178" s="59">
        <f>K178^2</f>
        <v/>
      </c>
      <c r="M178" s="14">
        <f>IF(F178&lt;=E178,1,0)</f>
        <v/>
      </c>
      <c r="N178" s="14">
        <f>MAX(0,F178-E178)</f>
        <v/>
      </c>
    </row>
    <row r="179">
      <c r="A179" s="14" t="inlineStr">
        <is>
          <t>PO-00178</t>
        </is>
      </c>
      <c r="B179" s="14" t="inlineStr">
        <is>
          <t>S05</t>
        </is>
      </c>
      <c r="C179" s="14" t="inlineStr">
        <is>
          <t>NB-0007</t>
        </is>
      </c>
      <c r="D179" s="26" t="n">
        <v>45883</v>
      </c>
      <c r="E179" s="26" t="n">
        <v>45939</v>
      </c>
      <c r="F179" s="26" t="n">
        <v>45937</v>
      </c>
      <c r="G179" s="14" t="n">
        <v>464</v>
      </c>
      <c r="H179" s="14" t="n">
        <v>464</v>
      </c>
      <c r="I179" s="14" t="n">
        <v>5</v>
      </c>
      <c r="J179" s="58" t="n">
        <v>8904.16</v>
      </c>
      <c r="K179" s="59">
        <f>(F179-D179)/7</f>
        <v/>
      </c>
      <c r="L179" s="59">
        <f>K179^2</f>
        <v/>
      </c>
      <c r="M179" s="14">
        <f>IF(F179&lt;=E179,1,0)</f>
        <v/>
      </c>
      <c r="N179" s="14">
        <f>MAX(0,F179-E179)</f>
        <v/>
      </c>
    </row>
    <row r="180">
      <c r="A180" s="14" t="inlineStr">
        <is>
          <t>PO-00179</t>
        </is>
      </c>
      <c r="B180" s="14" t="inlineStr">
        <is>
          <t>S05</t>
        </is>
      </c>
      <c r="C180" s="14" t="inlineStr">
        <is>
          <t>NB-0007</t>
        </is>
      </c>
      <c r="D180" s="26" t="n">
        <v>45912</v>
      </c>
      <c r="E180" s="26" t="n">
        <v>45968</v>
      </c>
      <c r="F180" s="26" t="n">
        <v>45968</v>
      </c>
      <c r="G180" s="14" t="n">
        <v>437</v>
      </c>
      <c r="H180" s="14" t="n">
        <v>437</v>
      </c>
      <c r="I180" s="14" t="n">
        <v>11</v>
      </c>
      <c r="J180" s="58" t="n">
        <v>8386.030000000001</v>
      </c>
      <c r="K180" s="59">
        <f>(F180-D180)/7</f>
        <v/>
      </c>
      <c r="L180" s="59">
        <f>K180^2</f>
        <v/>
      </c>
      <c r="M180" s="14">
        <f>IF(F180&lt;=E180,1,0)</f>
        <v/>
      </c>
      <c r="N180" s="14">
        <f>MAX(0,F180-E180)</f>
        <v/>
      </c>
    </row>
    <row r="181">
      <c r="A181" s="14" t="inlineStr">
        <is>
          <t>PO-00180</t>
        </is>
      </c>
      <c r="B181" s="14" t="inlineStr">
        <is>
          <t>S05</t>
        </is>
      </c>
      <c r="C181" s="14" t="inlineStr">
        <is>
          <t>NB-0007</t>
        </is>
      </c>
      <c r="D181" s="26" t="n">
        <v>45936</v>
      </c>
      <c r="E181" s="26" t="n">
        <v>45992</v>
      </c>
      <c r="F181" s="26" t="n">
        <v>45992</v>
      </c>
      <c r="G181" s="14" t="n">
        <v>474</v>
      </c>
      <c r="H181" s="14" t="n">
        <v>449</v>
      </c>
      <c r="I181" s="14" t="n">
        <v>6</v>
      </c>
      <c r="J181" s="58" t="n">
        <v>9096.059999999999</v>
      </c>
      <c r="K181" s="59">
        <f>(F181-D181)/7</f>
        <v/>
      </c>
      <c r="L181" s="59">
        <f>K181^2</f>
        <v/>
      </c>
      <c r="M181" s="14">
        <f>IF(F181&lt;=E181,1,0)</f>
        <v/>
      </c>
      <c r="N181" s="14">
        <f>MAX(0,F181-E181)</f>
        <v/>
      </c>
    </row>
    <row r="182">
      <c r="A182" s="14" t="inlineStr">
        <is>
          <t>PO-00181</t>
        </is>
      </c>
      <c r="B182" s="14" t="inlineStr">
        <is>
          <t>S05</t>
        </is>
      </c>
      <c r="C182" s="14" t="inlineStr">
        <is>
          <t>NB-0007</t>
        </is>
      </c>
      <c r="D182" s="26" t="n">
        <v>45965</v>
      </c>
      <c r="E182" s="26" t="n">
        <v>46021</v>
      </c>
      <c r="F182" s="26" t="n">
        <v>46018</v>
      </c>
      <c r="G182" s="14" t="n">
        <v>607</v>
      </c>
      <c r="H182" s="14" t="n">
        <v>607</v>
      </c>
      <c r="I182" s="14" t="n">
        <v>7</v>
      </c>
      <c r="J182" s="58" t="n">
        <v>11648.33</v>
      </c>
      <c r="K182" s="59">
        <f>(F182-D182)/7</f>
        <v/>
      </c>
      <c r="L182" s="59">
        <f>K182^2</f>
        <v/>
      </c>
      <c r="M182" s="14">
        <f>IF(F182&lt;=E182,1,0)</f>
        <v/>
      </c>
      <c r="N182" s="14">
        <f>MAX(0,F182-E182)</f>
        <v/>
      </c>
    </row>
    <row r="183">
      <c r="A183" s="14" t="inlineStr">
        <is>
          <t>PO-00182</t>
        </is>
      </c>
      <c r="B183" s="14" t="inlineStr">
        <is>
          <t>S05</t>
        </is>
      </c>
      <c r="C183" s="14" t="inlineStr">
        <is>
          <t>NB-0007</t>
        </is>
      </c>
      <c r="D183" s="26" t="n">
        <v>45992</v>
      </c>
      <c r="E183" s="26" t="n">
        <v>46048</v>
      </c>
      <c r="F183" s="26" t="n">
        <v>46048</v>
      </c>
      <c r="G183" s="14" t="n">
        <v>594</v>
      </c>
      <c r="H183" s="14" t="n">
        <v>594</v>
      </c>
      <c r="I183" s="14" t="n">
        <v>10</v>
      </c>
      <c r="J183" s="58" t="n">
        <v>11398.86</v>
      </c>
      <c r="K183" s="59">
        <f>(F183-D183)/7</f>
        <v/>
      </c>
      <c r="L183" s="59">
        <f>K183^2</f>
        <v/>
      </c>
      <c r="M183" s="14">
        <f>IF(F183&lt;=E183,1,0)</f>
        <v/>
      </c>
      <c r="N183" s="14">
        <f>MAX(0,F183-E183)</f>
        <v/>
      </c>
    </row>
    <row r="184">
      <c r="A184" s="14" t="inlineStr">
        <is>
          <t>PO-00183</t>
        </is>
      </c>
      <c r="B184" s="14" t="inlineStr">
        <is>
          <t>S07</t>
        </is>
      </c>
      <c r="C184" s="14" t="inlineStr">
        <is>
          <t>NB-0008</t>
        </is>
      </c>
      <c r="D184" s="26" t="n">
        <v>45293</v>
      </c>
      <c r="E184" s="26" t="n">
        <v>45349</v>
      </c>
      <c r="F184" s="26" t="n">
        <v>45346</v>
      </c>
      <c r="G184" s="14" t="n">
        <v>418</v>
      </c>
      <c r="H184" s="14" t="n">
        <v>418</v>
      </c>
      <c r="I184" s="14" t="n">
        <v>7</v>
      </c>
      <c r="J184" s="58" t="n">
        <v>13150.28</v>
      </c>
      <c r="K184" s="59">
        <f>(F184-D184)/7</f>
        <v/>
      </c>
      <c r="L184" s="59">
        <f>K184^2</f>
        <v/>
      </c>
      <c r="M184" s="14">
        <f>IF(F184&lt;=E184,1,0)</f>
        <v/>
      </c>
      <c r="N184" s="14">
        <f>MAX(0,F184-E184)</f>
        <v/>
      </c>
    </row>
    <row r="185">
      <c r="A185" s="14" t="inlineStr">
        <is>
          <t>PO-00184</t>
        </is>
      </c>
      <c r="B185" s="14" t="inlineStr">
        <is>
          <t>S07</t>
        </is>
      </c>
      <c r="C185" s="14" t="inlineStr">
        <is>
          <t>NB-0008</t>
        </is>
      </c>
      <c r="D185" s="26" t="n">
        <v>45320</v>
      </c>
      <c r="E185" s="26" t="n">
        <v>45376</v>
      </c>
      <c r="F185" s="26" t="n">
        <v>45373</v>
      </c>
      <c r="G185" s="14" t="n">
        <v>377</v>
      </c>
      <c r="H185" s="14" t="n">
        <v>377</v>
      </c>
      <c r="I185" s="14" t="n">
        <v>4</v>
      </c>
      <c r="J185" s="58" t="n">
        <v>11860.42</v>
      </c>
      <c r="K185" s="59">
        <f>(F185-D185)/7</f>
        <v/>
      </c>
      <c r="L185" s="59">
        <f>K185^2</f>
        <v/>
      </c>
      <c r="M185" s="14">
        <f>IF(F185&lt;=E185,1,0)</f>
        <v/>
      </c>
      <c r="N185" s="14">
        <f>MAX(0,F185-E185)</f>
        <v/>
      </c>
    </row>
    <row r="186">
      <c r="A186" s="14" t="inlineStr">
        <is>
          <t>PO-00185</t>
        </is>
      </c>
      <c r="B186" s="14" t="inlineStr">
        <is>
          <t>S07</t>
        </is>
      </c>
      <c r="C186" s="14" t="inlineStr">
        <is>
          <t>NB-0008</t>
        </is>
      </c>
      <c r="D186" s="26" t="n">
        <v>45350</v>
      </c>
      <c r="E186" s="26" t="n">
        <v>45406</v>
      </c>
      <c r="F186" s="26" t="n">
        <v>45404</v>
      </c>
      <c r="G186" s="14" t="n">
        <v>436</v>
      </c>
      <c r="H186" s="14" t="n">
        <v>436</v>
      </c>
      <c r="I186" s="14" t="n">
        <v>6</v>
      </c>
      <c r="J186" s="58" t="n">
        <v>13716.56</v>
      </c>
      <c r="K186" s="59">
        <f>(F186-D186)/7</f>
        <v/>
      </c>
      <c r="L186" s="59">
        <f>K186^2</f>
        <v/>
      </c>
      <c r="M186" s="14">
        <f>IF(F186&lt;=E186,1,0)</f>
        <v/>
      </c>
      <c r="N186" s="14">
        <f>MAX(0,F186-E186)</f>
        <v/>
      </c>
    </row>
    <row r="187">
      <c r="A187" s="14" t="inlineStr">
        <is>
          <t>PO-00186</t>
        </is>
      </c>
      <c r="B187" s="14" t="inlineStr">
        <is>
          <t>S07</t>
        </is>
      </c>
      <c r="C187" s="14" t="inlineStr">
        <is>
          <t>NB-0008</t>
        </is>
      </c>
      <c r="D187" s="26" t="n">
        <v>45377</v>
      </c>
      <c r="E187" s="26" t="n">
        <v>45433</v>
      </c>
      <c r="F187" s="26" t="n">
        <v>45431</v>
      </c>
      <c r="G187" s="14" t="n">
        <v>428</v>
      </c>
      <c r="H187" s="14" t="n">
        <v>428</v>
      </c>
      <c r="I187" s="14" t="n">
        <v>10</v>
      </c>
      <c r="J187" s="58" t="n">
        <v>13464.88</v>
      </c>
      <c r="K187" s="59">
        <f>(F187-D187)/7</f>
        <v/>
      </c>
      <c r="L187" s="59">
        <f>K187^2</f>
        <v/>
      </c>
      <c r="M187" s="14">
        <f>IF(F187&lt;=E187,1,0)</f>
        <v/>
      </c>
      <c r="N187" s="14">
        <f>MAX(0,F187-E187)</f>
        <v/>
      </c>
    </row>
    <row r="188">
      <c r="A188" s="14" t="inlineStr">
        <is>
          <t>PO-00187</t>
        </is>
      </c>
      <c r="B188" s="14" t="inlineStr">
        <is>
          <t>S07</t>
        </is>
      </c>
      <c r="C188" s="14" t="inlineStr">
        <is>
          <t>NB-0008</t>
        </is>
      </c>
      <c r="D188" s="26" t="n">
        <v>45406</v>
      </c>
      <c r="E188" s="26" t="n">
        <v>45462</v>
      </c>
      <c r="F188" s="26" t="n">
        <v>45462</v>
      </c>
      <c r="G188" s="14" t="n">
        <v>422</v>
      </c>
      <c r="H188" s="14" t="n">
        <v>422</v>
      </c>
      <c r="I188" s="14" t="n">
        <v>7</v>
      </c>
      <c r="J188" s="58" t="n">
        <v>13276.12</v>
      </c>
      <c r="K188" s="59">
        <f>(F188-D188)/7</f>
        <v/>
      </c>
      <c r="L188" s="59">
        <f>K188^2</f>
        <v/>
      </c>
      <c r="M188" s="14">
        <f>IF(F188&lt;=E188,1,0)</f>
        <v/>
      </c>
      <c r="N188" s="14">
        <f>MAX(0,F188-E188)</f>
        <v/>
      </c>
    </row>
    <row r="189">
      <c r="A189" s="14" t="inlineStr">
        <is>
          <t>PO-00188</t>
        </is>
      </c>
      <c r="B189" s="14" t="inlineStr">
        <is>
          <t>S07</t>
        </is>
      </c>
      <c r="C189" s="14" t="inlineStr">
        <is>
          <t>NB-0008</t>
        </is>
      </c>
      <c r="D189" s="26" t="n">
        <v>45432</v>
      </c>
      <c r="E189" s="26" t="n">
        <v>45488</v>
      </c>
      <c r="F189" s="26" t="n">
        <v>45497</v>
      </c>
      <c r="G189" s="14" t="n">
        <v>406</v>
      </c>
      <c r="H189" s="14" t="n">
        <v>406</v>
      </c>
      <c r="I189" s="14" t="n">
        <v>7</v>
      </c>
      <c r="J189" s="58" t="n">
        <v>12772.76</v>
      </c>
      <c r="K189" s="59">
        <f>(F189-D189)/7</f>
        <v/>
      </c>
      <c r="L189" s="59">
        <f>K189^2</f>
        <v/>
      </c>
      <c r="M189" s="14">
        <f>IF(F189&lt;=E189,1,0)</f>
        <v/>
      </c>
      <c r="N189" s="14">
        <f>MAX(0,F189-E189)</f>
        <v/>
      </c>
    </row>
    <row r="190">
      <c r="A190" s="14" t="inlineStr">
        <is>
          <t>PO-00189</t>
        </is>
      </c>
      <c r="B190" s="14" t="inlineStr">
        <is>
          <t>S07</t>
        </is>
      </c>
      <c r="C190" s="14" t="inlineStr">
        <is>
          <t>NB-0008</t>
        </is>
      </c>
      <c r="D190" s="26" t="n">
        <v>45462</v>
      </c>
      <c r="E190" s="26" t="n">
        <v>45518</v>
      </c>
      <c r="F190" s="26" t="n">
        <v>45517</v>
      </c>
      <c r="G190" s="14" t="n">
        <v>403</v>
      </c>
      <c r="H190" s="14" t="n">
        <v>403</v>
      </c>
      <c r="I190" s="14" t="n">
        <v>9</v>
      </c>
      <c r="J190" s="58" t="n">
        <v>12678.38</v>
      </c>
      <c r="K190" s="59">
        <f>(F190-D190)/7</f>
        <v/>
      </c>
      <c r="L190" s="59">
        <f>K190^2</f>
        <v/>
      </c>
      <c r="M190" s="14">
        <f>IF(F190&lt;=E190,1,0)</f>
        <v/>
      </c>
      <c r="N190" s="14">
        <f>MAX(0,F190-E190)</f>
        <v/>
      </c>
    </row>
    <row r="191">
      <c r="A191" s="14" t="inlineStr">
        <is>
          <t>PO-00190</t>
        </is>
      </c>
      <c r="B191" s="14" t="inlineStr">
        <is>
          <t>S07</t>
        </is>
      </c>
      <c r="C191" s="14" t="inlineStr">
        <is>
          <t>NB-0008</t>
        </is>
      </c>
      <c r="D191" s="26" t="n">
        <v>45492</v>
      </c>
      <c r="E191" s="26" t="n">
        <v>45548</v>
      </c>
      <c r="F191" s="26" t="n">
        <v>45546</v>
      </c>
      <c r="G191" s="14" t="n">
        <v>409</v>
      </c>
      <c r="H191" s="14" t="n">
        <v>409</v>
      </c>
      <c r="I191" s="14" t="n">
        <v>9</v>
      </c>
      <c r="J191" s="58" t="n">
        <v>12867.14</v>
      </c>
      <c r="K191" s="59">
        <f>(F191-D191)/7</f>
        <v/>
      </c>
      <c r="L191" s="59">
        <f>K191^2</f>
        <v/>
      </c>
      <c r="M191" s="14">
        <f>IF(F191&lt;=E191,1,0)</f>
        <v/>
      </c>
      <c r="N191" s="14">
        <f>MAX(0,F191-E191)</f>
        <v/>
      </c>
    </row>
    <row r="192">
      <c r="A192" s="14" t="inlineStr">
        <is>
          <t>PO-00191</t>
        </is>
      </c>
      <c r="B192" s="14" t="inlineStr">
        <is>
          <t>S07</t>
        </is>
      </c>
      <c r="C192" s="14" t="inlineStr">
        <is>
          <t>NB-0008</t>
        </is>
      </c>
      <c r="D192" s="26" t="n">
        <v>45519</v>
      </c>
      <c r="E192" s="26" t="n">
        <v>45575</v>
      </c>
      <c r="F192" s="26" t="n">
        <v>45602</v>
      </c>
      <c r="G192" s="14" t="n">
        <v>389</v>
      </c>
      <c r="H192" s="14" t="n">
        <v>389</v>
      </c>
      <c r="I192" s="14" t="n">
        <v>6</v>
      </c>
      <c r="J192" s="58" t="n">
        <v>12237.94</v>
      </c>
      <c r="K192" s="59">
        <f>(F192-D192)/7</f>
        <v/>
      </c>
      <c r="L192" s="59">
        <f>K192^2</f>
        <v/>
      </c>
      <c r="M192" s="14">
        <f>IF(F192&lt;=E192,1,0)</f>
        <v/>
      </c>
      <c r="N192" s="14">
        <f>MAX(0,F192-E192)</f>
        <v/>
      </c>
    </row>
    <row r="193">
      <c r="A193" s="14" t="inlineStr">
        <is>
          <t>PO-00192</t>
        </is>
      </c>
      <c r="B193" s="14" t="inlineStr">
        <is>
          <t>S07</t>
        </is>
      </c>
      <c r="C193" s="14" t="inlineStr">
        <is>
          <t>NB-0008</t>
        </is>
      </c>
      <c r="D193" s="26" t="n">
        <v>45545</v>
      </c>
      <c r="E193" s="26" t="n">
        <v>45601</v>
      </c>
      <c r="F193" s="26" t="n">
        <v>45619</v>
      </c>
      <c r="G193" s="14" t="n">
        <v>396</v>
      </c>
      <c r="H193" s="14" t="n">
        <v>396</v>
      </c>
      <c r="I193" s="14" t="n">
        <v>3</v>
      </c>
      <c r="J193" s="58" t="n">
        <v>12458.16</v>
      </c>
      <c r="K193" s="59">
        <f>(F193-D193)/7</f>
        <v/>
      </c>
      <c r="L193" s="59">
        <f>K193^2</f>
        <v/>
      </c>
      <c r="M193" s="14">
        <f>IF(F193&lt;=E193,1,0)</f>
        <v/>
      </c>
      <c r="N193" s="14">
        <f>MAX(0,F193-E193)</f>
        <v/>
      </c>
    </row>
    <row r="194">
      <c r="A194" s="14" t="inlineStr">
        <is>
          <t>PO-00193</t>
        </is>
      </c>
      <c r="B194" s="14" t="inlineStr">
        <is>
          <t>S07</t>
        </is>
      </c>
      <c r="C194" s="14" t="inlineStr">
        <is>
          <t>NB-0008</t>
        </is>
      </c>
      <c r="D194" s="26" t="n">
        <v>45576</v>
      </c>
      <c r="E194" s="26" t="n">
        <v>45632</v>
      </c>
      <c r="F194" s="26" t="n">
        <v>45629</v>
      </c>
      <c r="G194" s="14" t="n">
        <v>372</v>
      </c>
      <c r="H194" s="14" t="n">
        <v>372</v>
      </c>
      <c r="I194" s="14" t="n">
        <v>8</v>
      </c>
      <c r="J194" s="58" t="n">
        <v>11703.12</v>
      </c>
      <c r="K194" s="59">
        <f>(F194-D194)/7</f>
        <v/>
      </c>
      <c r="L194" s="59">
        <f>K194^2</f>
        <v/>
      </c>
      <c r="M194" s="14">
        <f>IF(F194&lt;=E194,1,0)</f>
        <v/>
      </c>
      <c r="N194" s="14">
        <f>MAX(0,F194-E194)</f>
        <v/>
      </c>
    </row>
    <row r="195">
      <c r="A195" s="14" t="inlineStr">
        <is>
          <t>PO-00194</t>
        </is>
      </c>
      <c r="B195" s="14" t="inlineStr">
        <is>
          <t>S07</t>
        </is>
      </c>
      <c r="C195" s="14" t="inlineStr">
        <is>
          <t>NB-0008</t>
        </is>
      </c>
      <c r="D195" s="26" t="n">
        <v>45600</v>
      </c>
      <c r="E195" s="26" t="n">
        <v>45656</v>
      </c>
      <c r="F195" s="26" t="n">
        <v>45655</v>
      </c>
      <c r="G195" s="14" t="n">
        <v>430</v>
      </c>
      <c r="H195" s="14" t="n">
        <v>430</v>
      </c>
      <c r="I195" s="14" t="n">
        <v>11</v>
      </c>
      <c r="J195" s="58" t="n">
        <v>13527.8</v>
      </c>
      <c r="K195" s="59">
        <f>(F195-D195)/7</f>
        <v/>
      </c>
      <c r="L195" s="59">
        <f>K195^2</f>
        <v/>
      </c>
      <c r="M195" s="14">
        <f>IF(F195&lt;=E195,1,0)</f>
        <v/>
      </c>
      <c r="N195" s="14">
        <f>MAX(0,F195-E195)</f>
        <v/>
      </c>
    </row>
    <row r="196">
      <c r="A196" s="14" t="inlineStr">
        <is>
          <t>PO-00195</t>
        </is>
      </c>
      <c r="B196" s="14" t="inlineStr">
        <is>
          <t>S07</t>
        </is>
      </c>
      <c r="C196" s="14" t="inlineStr">
        <is>
          <t>NB-0008</t>
        </is>
      </c>
      <c r="D196" s="26" t="n">
        <v>45632</v>
      </c>
      <c r="E196" s="26" t="n">
        <v>45688</v>
      </c>
      <c r="F196" s="26" t="n">
        <v>45687</v>
      </c>
      <c r="G196" s="14" t="n">
        <v>402</v>
      </c>
      <c r="H196" s="14" t="n">
        <v>402</v>
      </c>
      <c r="I196" s="14" t="n">
        <v>5</v>
      </c>
      <c r="J196" s="58" t="n">
        <v>12646.92</v>
      </c>
      <c r="K196" s="59">
        <f>(F196-D196)/7</f>
        <v/>
      </c>
      <c r="L196" s="59">
        <f>K196^2</f>
        <v/>
      </c>
      <c r="M196" s="14">
        <f>IF(F196&lt;=E196,1,0)</f>
        <v/>
      </c>
      <c r="N196" s="14">
        <f>MAX(0,F196-E196)</f>
        <v/>
      </c>
    </row>
    <row r="197">
      <c r="A197" s="14" t="inlineStr">
        <is>
          <t>PO-00196</t>
        </is>
      </c>
      <c r="B197" s="14" t="inlineStr">
        <is>
          <t>S07</t>
        </is>
      </c>
      <c r="C197" s="14" t="inlineStr">
        <is>
          <t>NB-0008</t>
        </is>
      </c>
      <c r="D197" s="26" t="n">
        <v>45659</v>
      </c>
      <c r="E197" s="26" t="n">
        <v>45715</v>
      </c>
      <c r="F197" s="26" t="n">
        <v>45713</v>
      </c>
      <c r="G197" s="14" t="n">
        <v>427</v>
      </c>
      <c r="H197" s="14" t="n">
        <v>427</v>
      </c>
      <c r="I197" s="14" t="n">
        <v>2</v>
      </c>
      <c r="J197" s="58" t="n">
        <v>13433.42</v>
      </c>
      <c r="K197" s="59">
        <f>(F197-D197)/7</f>
        <v/>
      </c>
      <c r="L197" s="59">
        <f>K197^2</f>
        <v/>
      </c>
      <c r="M197" s="14">
        <f>IF(F197&lt;=E197,1,0)</f>
        <v/>
      </c>
      <c r="N197" s="14">
        <f>MAX(0,F197-E197)</f>
        <v/>
      </c>
    </row>
    <row r="198">
      <c r="A198" s="14" t="inlineStr">
        <is>
          <t>PO-00197</t>
        </is>
      </c>
      <c r="B198" s="14" t="inlineStr">
        <is>
          <t>S07</t>
        </is>
      </c>
      <c r="C198" s="14" t="inlineStr">
        <is>
          <t>NB-0008</t>
        </is>
      </c>
      <c r="D198" s="26" t="n">
        <v>45687</v>
      </c>
      <c r="E198" s="26" t="n">
        <v>45743</v>
      </c>
      <c r="F198" s="26" t="n">
        <v>45742</v>
      </c>
      <c r="G198" s="14" t="n">
        <v>378</v>
      </c>
      <c r="H198" s="14" t="n">
        <v>378</v>
      </c>
      <c r="I198" s="14" t="n">
        <v>10</v>
      </c>
      <c r="J198" s="58" t="n">
        <v>11891.88</v>
      </c>
      <c r="K198" s="59">
        <f>(F198-D198)/7</f>
        <v/>
      </c>
      <c r="L198" s="59">
        <f>K198^2</f>
        <v/>
      </c>
      <c r="M198" s="14">
        <f>IF(F198&lt;=E198,1,0)</f>
        <v/>
      </c>
      <c r="N198" s="14">
        <f>MAX(0,F198-E198)</f>
        <v/>
      </c>
    </row>
    <row r="199">
      <c r="A199" s="14" t="inlineStr">
        <is>
          <t>PO-00198</t>
        </is>
      </c>
      <c r="B199" s="14" t="inlineStr">
        <is>
          <t>S07</t>
        </is>
      </c>
      <c r="C199" s="14" t="inlineStr">
        <is>
          <t>NB-0008</t>
        </is>
      </c>
      <c r="D199" s="26" t="n">
        <v>45712</v>
      </c>
      <c r="E199" s="26" t="n">
        <v>45768</v>
      </c>
      <c r="F199" s="26" t="n">
        <v>45781</v>
      </c>
      <c r="G199" s="14" t="n">
        <v>392</v>
      </c>
      <c r="H199" s="14" t="n">
        <v>381</v>
      </c>
      <c r="I199" s="14" t="n">
        <v>3</v>
      </c>
      <c r="J199" s="58" t="n">
        <v>12332.32</v>
      </c>
      <c r="K199" s="59">
        <f>(F199-D199)/7</f>
        <v/>
      </c>
      <c r="L199" s="59">
        <f>K199^2</f>
        <v/>
      </c>
      <c r="M199" s="14">
        <f>IF(F199&lt;=E199,1,0)</f>
        <v/>
      </c>
      <c r="N199" s="14">
        <f>MAX(0,F199-E199)</f>
        <v/>
      </c>
    </row>
    <row r="200">
      <c r="A200" s="14" t="inlineStr">
        <is>
          <t>PO-00199</t>
        </is>
      </c>
      <c r="B200" s="14" t="inlineStr">
        <is>
          <t>S07</t>
        </is>
      </c>
      <c r="C200" s="14" t="inlineStr">
        <is>
          <t>NB-0008</t>
        </is>
      </c>
      <c r="D200" s="26" t="n">
        <v>45741</v>
      </c>
      <c r="E200" s="26" t="n">
        <v>45797</v>
      </c>
      <c r="F200" s="26" t="n">
        <v>45794</v>
      </c>
      <c r="G200" s="14" t="n">
        <v>393</v>
      </c>
      <c r="H200" s="14" t="n">
        <v>393</v>
      </c>
      <c r="I200" s="14" t="n">
        <v>5</v>
      </c>
      <c r="J200" s="58" t="n">
        <v>12363.78</v>
      </c>
      <c r="K200" s="59">
        <f>(F200-D200)/7</f>
        <v/>
      </c>
      <c r="L200" s="59">
        <f>K200^2</f>
        <v/>
      </c>
      <c r="M200" s="14">
        <f>IF(F200&lt;=E200,1,0)</f>
        <v/>
      </c>
      <c r="N200" s="14">
        <f>MAX(0,F200-E200)</f>
        <v/>
      </c>
    </row>
    <row r="201">
      <c r="A201" s="14" t="inlineStr">
        <is>
          <t>PO-00200</t>
        </is>
      </c>
      <c r="B201" s="14" t="inlineStr">
        <is>
          <t>S07</t>
        </is>
      </c>
      <c r="C201" s="14" t="inlineStr">
        <is>
          <t>NB-0008</t>
        </is>
      </c>
      <c r="D201" s="26" t="n">
        <v>45771</v>
      </c>
      <c r="E201" s="26" t="n">
        <v>45827</v>
      </c>
      <c r="F201" s="26" t="n">
        <v>45827</v>
      </c>
      <c r="G201" s="14" t="n">
        <v>414</v>
      </c>
      <c r="H201" s="14" t="n">
        <v>414</v>
      </c>
      <c r="I201" s="14" t="n">
        <v>8</v>
      </c>
      <c r="J201" s="58" t="n">
        <v>13024.44</v>
      </c>
      <c r="K201" s="59">
        <f>(F201-D201)/7</f>
        <v/>
      </c>
      <c r="L201" s="59">
        <f>K201^2</f>
        <v/>
      </c>
      <c r="M201" s="14">
        <f>IF(F201&lt;=E201,1,0)</f>
        <v/>
      </c>
      <c r="N201" s="14">
        <f>MAX(0,F201-E201)</f>
        <v/>
      </c>
    </row>
    <row r="202">
      <c r="A202" s="14" t="inlineStr">
        <is>
          <t>PO-00201</t>
        </is>
      </c>
      <c r="B202" s="14" t="inlineStr">
        <is>
          <t>S07</t>
        </is>
      </c>
      <c r="C202" s="14" t="inlineStr">
        <is>
          <t>NB-0008</t>
        </is>
      </c>
      <c r="D202" s="26" t="n">
        <v>45798</v>
      </c>
      <c r="E202" s="26" t="n">
        <v>45854</v>
      </c>
      <c r="F202" s="26" t="n">
        <v>45854</v>
      </c>
      <c r="G202" s="14" t="n">
        <v>344</v>
      </c>
      <c r="H202" s="14" t="n">
        <v>344</v>
      </c>
      <c r="I202" s="14" t="n">
        <v>2</v>
      </c>
      <c r="J202" s="58" t="n">
        <v>10822.24</v>
      </c>
      <c r="K202" s="59">
        <f>(F202-D202)/7</f>
        <v/>
      </c>
      <c r="L202" s="59">
        <f>K202^2</f>
        <v/>
      </c>
      <c r="M202" s="14">
        <f>IF(F202&lt;=E202,1,0)</f>
        <v/>
      </c>
      <c r="N202" s="14">
        <f>MAX(0,F202-E202)</f>
        <v/>
      </c>
    </row>
    <row r="203">
      <c r="A203" s="14" t="inlineStr">
        <is>
          <t>PO-00202</t>
        </is>
      </c>
      <c r="B203" s="14" t="inlineStr">
        <is>
          <t>S07</t>
        </is>
      </c>
      <c r="C203" s="14" t="inlineStr">
        <is>
          <t>NB-0008</t>
        </is>
      </c>
      <c r="D203" s="26" t="n">
        <v>45828</v>
      </c>
      <c r="E203" s="26" t="n">
        <v>45884</v>
      </c>
      <c r="F203" s="26" t="n">
        <v>45884</v>
      </c>
      <c r="G203" s="14" t="n">
        <v>345</v>
      </c>
      <c r="H203" s="14" t="n">
        <v>345</v>
      </c>
      <c r="I203" s="14" t="n">
        <v>2</v>
      </c>
      <c r="J203" s="58" t="n">
        <v>10853.7</v>
      </c>
      <c r="K203" s="59">
        <f>(F203-D203)/7</f>
        <v/>
      </c>
      <c r="L203" s="59">
        <f>K203^2</f>
        <v/>
      </c>
      <c r="M203" s="14">
        <f>IF(F203&lt;=E203,1,0)</f>
        <v/>
      </c>
      <c r="N203" s="14">
        <f>MAX(0,F203-E203)</f>
        <v/>
      </c>
    </row>
    <row r="204">
      <c r="A204" s="14" t="inlineStr">
        <is>
          <t>PO-00203</t>
        </is>
      </c>
      <c r="B204" s="14" t="inlineStr">
        <is>
          <t>S07</t>
        </is>
      </c>
      <c r="C204" s="14" t="inlineStr">
        <is>
          <t>NB-0008</t>
        </is>
      </c>
      <c r="D204" s="26" t="n">
        <v>45856</v>
      </c>
      <c r="E204" s="26" t="n">
        <v>45912</v>
      </c>
      <c r="F204" s="26" t="n">
        <v>45911</v>
      </c>
      <c r="G204" s="14" t="n">
        <v>383</v>
      </c>
      <c r="H204" s="14" t="n">
        <v>383</v>
      </c>
      <c r="I204" s="14" t="n">
        <v>8</v>
      </c>
      <c r="J204" s="58" t="n">
        <v>12049.18</v>
      </c>
      <c r="K204" s="59">
        <f>(F204-D204)/7</f>
        <v/>
      </c>
      <c r="L204" s="59">
        <f>K204^2</f>
        <v/>
      </c>
      <c r="M204" s="14">
        <f>IF(F204&lt;=E204,1,0)</f>
        <v/>
      </c>
      <c r="N204" s="14">
        <f>MAX(0,F204-E204)</f>
        <v/>
      </c>
    </row>
    <row r="205">
      <c r="A205" s="14" t="inlineStr">
        <is>
          <t>PO-00204</t>
        </is>
      </c>
      <c r="B205" s="14" t="inlineStr">
        <is>
          <t>S07</t>
        </is>
      </c>
      <c r="C205" s="14" t="inlineStr">
        <is>
          <t>NB-0008</t>
        </is>
      </c>
      <c r="D205" s="26" t="n">
        <v>45881</v>
      </c>
      <c r="E205" s="26" t="n">
        <v>45937</v>
      </c>
      <c r="F205" s="26" t="n">
        <v>45935</v>
      </c>
      <c r="G205" s="14" t="n">
        <v>323</v>
      </c>
      <c r="H205" s="14" t="n">
        <v>323</v>
      </c>
      <c r="I205" s="14" t="n">
        <v>6</v>
      </c>
      <c r="J205" s="58" t="n">
        <v>10161.58</v>
      </c>
      <c r="K205" s="59">
        <f>(F205-D205)/7</f>
        <v/>
      </c>
      <c r="L205" s="59">
        <f>K205^2</f>
        <v/>
      </c>
      <c r="M205" s="14">
        <f>IF(F205&lt;=E205,1,0)</f>
        <v/>
      </c>
      <c r="N205" s="14">
        <f>MAX(0,F205-E205)</f>
        <v/>
      </c>
    </row>
    <row r="206">
      <c r="A206" s="14" t="inlineStr">
        <is>
          <t>PO-00205</t>
        </is>
      </c>
      <c r="B206" s="14" t="inlineStr">
        <is>
          <t>S07</t>
        </is>
      </c>
      <c r="C206" s="14" t="inlineStr">
        <is>
          <t>NB-0008</t>
        </is>
      </c>
      <c r="D206" s="26" t="n">
        <v>45908</v>
      </c>
      <c r="E206" s="26" t="n">
        <v>45964</v>
      </c>
      <c r="F206" s="26" t="n">
        <v>45963</v>
      </c>
      <c r="G206" s="14" t="n">
        <v>382</v>
      </c>
      <c r="H206" s="14" t="n">
        <v>382</v>
      </c>
      <c r="I206" s="14" t="n">
        <v>11</v>
      </c>
      <c r="J206" s="58" t="n">
        <v>12017.72</v>
      </c>
      <c r="K206" s="59">
        <f>(F206-D206)/7</f>
        <v/>
      </c>
      <c r="L206" s="59">
        <f>K206^2</f>
        <v/>
      </c>
      <c r="M206" s="14">
        <f>IF(F206&lt;=E206,1,0)</f>
        <v/>
      </c>
      <c r="N206" s="14">
        <f>MAX(0,F206-E206)</f>
        <v/>
      </c>
    </row>
    <row r="207">
      <c r="A207" s="14" t="inlineStr">
        <is>
          <t>PO-00206</t>
        </is>
      </c>
      <c r="B207" s="14" t="inlineStr">
        <is>
          <t>S07</t>
        </is>
      </c>
      <c r="C207" s="14" t="inlineStr">
        <is>
          <t>NB-0008</t>
        </is>
      </c>
      <c r="D207" s="26" t="n">
        <v>45940</v>
      </c>
      <c r="E207" s="26" t="n">
        <v>45996</v>
      </c>
      <c r="F207" s="26" t="n">
        <v>45996</v>
      </c>
      <c r="G207" s="14" t="n">
        <v>384</v>
      </c>
      <c r="H207" s="14" t="n">
        <v>354</v>
      </c>
      <c r="I207" s="14" t="n">
        <v>8</v>
      </c>
      <c r="J207" s="58" t="n">
        <v>12080.64</v>
      </c>
      <c r="K207" s="59">
        <f>(F207-D207)/7</f>
        <v/>
      </c>
      <c r="L207" s="59">
        <f>K207^2</f>
        <v/>
      </c>
      <c r="M207" s="14">
        <f>IF(F207&lt;=E207,1,0)</f>
        <v/>
      </c>
      <c r="N207" s="14">
        <f>MAX(0,F207-E207)</f>
        <v/>
      </c>
    </row>
    <row r="208">
      <c r="A208" s="14" t="inlineStr">
        <is>
          <t>PO-00207</t>
        </is>
      </c>
      <c r="B208" s="14" t="inlineStr">
        <is>
          <t>S07</t>
        </is>
      </c>
      <c r="C208" s="14" t="inlineStr">
        <is>
          <t>NB-0008</t>
        </is>
      </c>
      <c r="D208" s="26" t="n">
        <v>45968</v>
      </c>
      <c r="E208" s="26" t="n">
        <v>46024</v>
      </c>
      <c r="F208" s="26" t="n">
        <v>46047</v>
      </c>
      <c r="G208" s="14" t="n">
        <v>353</v>
      </c>
      <c r="H208" s="14" t="n">
        <v>353</v>
      </c>
      <c r="I208" s="14" t="n">
        <v>3</v>
      </c>
      <c r="J208" s="58" t="n">
        <v>11105.38</v>
      </c>
      <c r="K208" s="59">
        <f>(F208-D208)/7</f>
        <v/>
      </c>
      <c r="L208" s="59">
        <f>K208^2</f>
        <v/>
      </c>
      <c r="M208" s="14">
        <f>IF(F208&lt;=E208,1,0)</f>
        <v/>
      </c>
      <c r="N208" s="14">
        <f>MAX(0,F208-E208)</f>
        <v/>
      </c>
    </row>
    <row r="209">
      <c r="A209" s="14" t="inlineStr">
        <is>
          <t>PO-00208</t>
        </is>
      </c>
      <c r="B209" s="14" t="inlineStr">
        <is>
          <t>S07</t>
        </is>
      </c>
      <c r="C209" s="14" t="inlineStr">
        <is>
          <t>NB-0008</t>
        </is>
      </c>
      <c r="D209" s="26" t="n">
        <v>45996</v>
      </c>
      <c r="E209" s="26" t="n">
        <v>46052</v>
      </c>
      <c r="F209" s="26" t="n">
        <v>46069</v>
      </c>
      <c r="G209" s="14" t="n">
        <v>366</v>
      </c>
      <c r="H209" s="14" t="n">
        <v>366</v>
      </c>
      <c r="I209" s="14" t="n">
        <v>5</v>
      </c>
      <c r="J209" s="58" t="n">
        <v>11514.36</v>
      </c>
      <c r="K209" s="59">
        <f>(F209-D209)/7</f>
        <v/>
      </c>
      <c r="L209" s="59">
        <f>K209^2</f>
        <v/>
      </c>
      <c r="M209" s="14">
        <f>IF(F209&lt;=E209,1,0)</f>
        <v/>
      </c>
      <c r="N209" s="14">
        <f>MAX(0,F209-E209)</f>
        <v/>
      </c>
    </row>
    <row r="210">
      <c r="A210" s="14" t="inlineStr">
        <is>
          <t>PO-00209</t>
        </is>
      </c>
      <c r="B210" s="14" t="inlineStr">
        <is>
          <t>S07</t>
        </is>
      </c>
      <c r="C210" s="14" t="inlineStr">
        <is>
          <t>NB-0009</t>
        </is>
      </c>
      <c r="D210" s="26" t="n">
        <v>45292</v>
      </c>
      <c r="E210" s="26" t="n">
        <v>45348</v>
      </c>
      <c r="F210" s="26" t="n">
        <v>45348</v>
      </c>
      <c r="G210" s="14" t="n">
        <v>158</v>
      </c>
      <c r="H210" s="14" t="n">
        <v>158</v>
      </c>
      <c r="I210" s="14" t="n">
        <v>2</v>
      </c>
      <c r="J210" s="58" t="n">
        <v>6022.96</v>
      </c>
      <c r="K210" s="59">
        <f>(F210-D210)/7</f>
        <v/>
      </c>
      <c r="L210" s="59">
        <f>K210^2</f>
        <v/>
      </c>
      <c r="M210" s="14">
        <f>IF(F210&lt;=E210,1,0)</f>
        <v/>
      </c>
      <c r="N210" s="14">
        <f>MAX(0,F210-E210)</f>
        <v/>
      </c>
    </row>
    <row r="211">
      <c r="A211" s="14" t="inlineStr">
        <is>
          <t>PO-00210</t>
        </is>
      </c>
      <c r="B211" s="14" t="inlineStr">
        <is>
          <t>S07</t>
        </is>
      </c>
      <c r="C211" s="14" t="inlineStr">
        <is>
          <t>NB-0009</t>
        </is>
      </c>
      <c r="D211" s="26" t="n">
        <v>45320</v>
      </c>
      <c r="E211" s="26" t="n">
        <v>45376</v>
      </c>
      <c r="F211" s="26" t="n">
        <v>45373</v>
      </c>
      <c r="G211" s="14" t="n">
        <v>171</v>
      </c>
      <c r="H211" s="14" t="n">
        <v>171</v>
      </c>
      <c r="I211" s="14" t="n">
        <v>5</v>
      </c>
      <c r="J211" s="58" t="n">
        <v>6518.52</v>
      </c>
      <c r="K211" s="59">
        <f>(F211-D211)/7</f>
        <v/>
      </c>
      <c r="L211" s="59">
        <f>K211^2</f>
        <v/>
      </c>
      <c r="M211" s="14">
        <f>IF(F211&lt;=E211,1,0)</f>
        <v/>
      </c>
      <c r="N211" s="14">
        <f>MAX(0,F211-E211)</f>
        <v/>
      </c>
    </row>
    <row r="212">
      <c r="A212" s="14" t="inlineStr">
        <is>
          <t>PO-00211</t>
        </is>
      </c>
      <c r="B212" s="14" t="inlineStr">
        <is>
          <t>S07</t>
        </is>
      </c>
      <c r="C212" s="14" t="inlineStr">
        <is>
          <t>NB-0009</t>
        </is>
      </c>
      <c r="D212" s="26" t="n">
        <v>45350</v>
      </c>
      <c r="E212" s="26" t="n">
        <v>45406</v>
      </c>
      <c r="F212" s="26" t="n">
        <v>45403</v>
      </c>
      <c r="G212" s="14" t="n">
        <v>171</v>
      </c>
      <c r="H212" s="14" t="n">
        <v>171</v>
      </c>
      <c r="I212" s="14" t="n">
        <v>3</v>
      </c>
      <c r="J212" s="58" t="n">
        <v>6518.52</v>
      </c>
      <c r="K212" s="59">
        <f>(F212-D212)/7</f>
        <v/>
      </c>
      <c r="L212" s="59">
        <f>K212^2</f>
        <v/>
      </c>
      <c r="M212" s="14">
        <f>IF(F212&lt;=E212,1,0)</f>
        <v/>
      </c>
      <c r="N212" s="14">
        <f>MAX(0,F212-E212)</f>
        <v/>
      </c>
    </row>
    <row r="213">
      <c r="A213" s="14" t="inlineStr">
        <is>
          <t>PO-00212</t>
        </is>
      </c>
      <c r="B213" s="14" t="inlineStr">
        <is>
          <t>S07</t>
        </is>
      </c>
      <c r="C213" s="14" t="inlineStr">
        <is>
          <t>NB-0009</t>
        </is>
      </c>
      <c r="D213" s="26" t="n">
        <v>45379</v>
      </c>
      <c r="E213" s="26" t="n">
        <v>45435</v>
      </c>
      <c r="F213" s="26" t="n">
        <v>45432</v>
      </c>
      <c r="G213" s="14" t="n">
        <v>167</v>
      </c>
      <c r="H213" s="14" t="n">
        <v>167</v>
      </c>
      <c r="I213" s="14" t="n">
        <v>6</v>
      </c>
      <c r="J213" s="58" t="n">
        <v>6366.04</v>
      </c>
      <c r="K213" s="59">
        <f>(F213-D213)/7</f>
        <v/>
      </c>
      <c r="L213" s="59">
        <f>K213^2</f>
        <v/>
      </c>
      <c r="M213" s="14">
        <f>IF(F213&lt;=E213,1,0)</f>
        <v/>
      </c>
      <c r="N213" s="14">
        <f>MAX(0,F213-E213)</f>
        <v/>
      </c>
    </row>
    <row r="214">
      <c r="A214" s="14" t="inlineStr">
        <is>
          <t>PO-00213</t>
        </is>
      </c>
      <c r="B214" s="14" t="inlineStr">
        <is>
          <t>S07</t>
        </is>
      </c>
      <c r="C214" s="14" t="inlineStr">
        <is>
          <t>NB-0009</t>
        </is>
      </c>
      <c r="D214" s="26" t="n">
        <v>45407</v>
      </c>
      <c r="E214" s="26" t="n">
        <v>45463</v>
      </c>
      <c r="F214" s="26" t="n">
        <v>45461</v>
      </c>
      <c r="G214" s="14" t="n">
        <v>178</v>
      </c>
      <c r="H214" s="14" t="n">
        <v>178</v>
      </c>
      <c r="I214" s="14" t="n">
        <v>3</v>
      </c>
      <c r="J214" s="58" t="n">
        <v>6785.36</v>
      </c>
      <c r="K214" s="59">
        <f>(F214-D214)/7</f>
        <v/>
      </c>
      <c r="L214" s="59">
        <f>K214^2</f>
        <v/>
      </c>
      <c r="M214" s="14">
        <f>IF(F214&lt;=E214,1,0)</f>
        <v/>
      </c>
      <c r="N214" s="14">
        <f>MAX(0,F214-E214)</f>
        <v/>
      </c>
    </row>
    <row r="215">
      <c r="A215" s="14" t="inlineStr">
        <is>
          <t>PO-00214</t>
        </is>
      </c>
      <c r="B215" s="14" t="inlineStr">
        <is>
          <t>S07</t>
        </is>
      </c>
      <c r="C215" s="14" t="inlineStr">
        <is>
          <t>NB-0009</t>
        </is>
      </c>
      <c r="D215" s="26" t="n">
        <v>45435</v>
      </c>
      <c r="E215" s="26" t="n">
        <v>45491</v>
      </c>
      <c r="F215" s="26" t="n">
        <v>45491</v>
      </c>
      <c r="G215" s="14" t="n">
        <v>147</v>
      </c>
      <c r="H215" s="14" t="n">
        <v>147</v>
      </c>
      <c r="I215" s="14" t="n">
        <v>3</v>
      </c>
      <c r="J215" s="58" t="n">
        <v>5603.64</v>
      </c>
      <c r="K215" s="59">
        <f>(F215-D215)/7</f>
        <v/>
      </c>
      <c r="L215" s="59">
        <f>K215^2</f>
        <v/>
      </c>
      <c r="M215" s="14">
        <f>IF(F215&lt;=E215,1,0)</f>
        <v/>
      </c>
      <c r="N215" s="14">
        <f>MAX(0,F215-E215)</f>
        <v/>
      </c>
    </row>
    <row r="216">
      <c r="A216" s="14" t="inlineStr">
        <is>
          <t>PO-00215</t>
        </is>
      </c>
      <c r="B216" s="14" t="inlineStr">
        <is>
          <t>S07</t>
        </is>
      </c>
      <c r="C216" s="14" t="inlineStr">
        <is>
          <t>NB-0009</t>
        </is>
      </c>
      <c r="D216" s="26" t="n">
        <v>45464</v>
      </c>
      <c r="E216" s="26" t="n">
        <v>45520</v>
      </c>
      <c r="F216" s="26" t="n">
        <v>45519</v>
      </c>
      <c r="G216" s="14" t="n">
        <v>147</v>
      </c>
      <c r="H216" s="14" t="n">
        <v>147</v>
      </c>
      <c r="I216" s="14" t="n">
        <v>9</v>
      </c>
      <c r="J216" s="58" t="n">
        <v>5603.64</v>
      </c>
      <c r="K216" s="59">
        <f>(F216-D216)/7</f>
        <v/>
      </c>
      <c r="L216" s="59">
        <f>K216^2</f>
        <v/>
      </c>
      <c r="M216" s="14">
        <f>IF(F216&lt;=E216,1,0)</f>
        <v/>
      </c>
      <c r="N216" s="14">
        <f>MAX(0,F216-E216)</f>
        <v/>
      </c>
    </row>
    <row r="217">
      <c r="A217" s="14" t="inlineStr">
        <is>
          <t>PO-00216</t>
        </is>
      </c>
      <c r="B217" s="14" t="inlineStr">
        <is>
          <t>S07</t>
        </is>
      </c>
      <c r="C217" s="14" t="inlineStr">
        <is>
          <t>NB-0009</t>
        </is>
      </c>
      <c r="D217" s="26" t="n">
        <v>45490</v>
      </c>
      <c r="E217" s="26" t="n">
        <v>45546</v>
      </c>
      <c r="F217" s="26" t="n">
        <v>45543</v>
      </c>
      <c r="G217" s="14" t="n">
        <v>152</v>
      </c>
      <c r="H217" s="14" t="n">
        <v>152</v>
      </c>
      <c r="I217" s="14" t="n">
        <v>2</v>
      </c>
      <c r="J217" s="58" t="n">
        <v>5794.24</v>
      </c>
      <c r="K217" s="59">
        <f>(F217-D217)/7</f>
        <v/>
      </c>
      <c r="L217" s="59">
        <f>K217^2</f>
        <v/>
      </c>
      <c r="M217" s="14">
        <f>IF(F217&lt;=E217,1,0)</f>
        <v/>
      </c>
      <c r="N217" s="14">
        <f>MAX(0,F217-E217)</f>
        <v/>
      </c>
    </row>
    <row r="218">
      <c r="A218" s="14" t="inlineStr">
        <is>
          <t>PO-00217</t>
        </is>
      </c>
      <c r="B218" s="14" t="inlineStr">
        <is>
          <t>S07</t>
        </is>
      </c>
      <c r="C218" s="14" t="inlineStr">
        <is>
          <t>NB-0009</t>
        </is>
      </c>
      <c r="D218" s="26" t="n">
        <v>45517</v>
      </c>
      <c r="E218" s="26" t="n">
        <v>45573</v>
      </c>
      <c r="F218" s="26" t="n">
        <v>45570</v>
      </c>
      <c r="G218" s="14" t="n">
        <v>134</v>
      </c>
      <c r="H218" s="14" t="n">
        <v>134</v>
      </c>
      <c r="I218" s="14" t="n">
        <v>3</v>
      </c>
      <c r="J218" s="58" t="n">
        <v>5108.08</v>
      </c>
      <c r="K218" s="59">
        <f>(F218-D218)/7</f>
        <v/>
      </c>
      <c r="L218" s="59">
        <f>K218^2</f>
        <v/>
      </c>
      <c r="M218" s="14">
        <f>IF(F218&lt;=E218,1,0)</f>
        <v/>
      </c>
      <c r="N218" s="14">
        <f>MAX(0,F218-E218)</f>
        <v/>
      </c>
    </row>
    <row r="219">
      <c r="A219" s="14" t="inlineStr">
        <is>
          <t>PO-00218</t>
        </is>
      </c>
      <c r="B219" s="14" t="inlineStr">
        <is>
          <t>S07</t>
        </is>
      </c>
      <c r="C219" s="14" t="inlineStr">
        <is>
          <t>NB-0009</t>
        </is>
      </c>
      <c r="D219" s="26" t="n">
        <v>45545</v>
      </c>
      <c r="E219" s="26" t="n">
        <v>45601</v>
      </c>
      <c r="F219" s="26" t="n">
        <v>45624</v>
      </c>
      <c r="G219" s="14" t="n">
        <v>139</v>
      </c>
      <c r="H219" s="14" t="n">
        <v>139</v>
      </c>
      <c r="I219" s="14" t="n">
        <v>0</v>
      </c>
      <c r="J219" s="58" t="n">
        <v>5298.68</v>
      </c>
      <c r="K219" s="59">
        <f>(F219-D219)/7</f>
        <v/>
      </c>
      <c r="L219" s="59">
        <f>K219^2</f>
        <v/>
      </c>
      <c r="M219" s="14">
        <f>IF(F219&lt;=E219,1,0)</f>
        <v/>
      </c>
      <c r="N219" s="14">
        <f>MAX(0,F219-E219)</f>
        <v/>
      </c>
    </row>
    <row r="220">
      <c r="A220" s="14" t="inlineStr">
        <is>
          <t>PO-00219</t>
        </is>
      </c>
      <c r="B220" s="14" t="inlineStr">
        <is>
          <t>S07</t>
        </is>
      </c>
      <c r="C220" s="14" t="inlineStr">
        <is>
          <t>NB-0009</t>
        </is>
      </c>
      <c r="D220" s="26" t="n">
        <v>45574</v>
      </c>
      <c r="E220" s="26" t="n">
        <v>45630</v>
      </c>
      <c r="F220" s="26" t="n">
        <v>45628</v>
      </c>
      <c r="G220" s="14" t="n">
        <v>147</v>
      </c>
      <c r="H220" s="14" t="n">
        <v>147</v>
      </c>
      <c r="I220" s="14" t="n">
        <v>7</v>
      </c>
      <c r="J220" s="58" t="n">
        <v>5603.64</v>
      </c>
      <c r="K220" s="59">
        <f>(F220-D220)/7</f>
        <v/>
      </c>
      <c r="L220" s="59">
        <f>K220^2</f>
        <v/>
      </c>
      <c r="M220" s="14">
        <f>IF(F220&lt;=E220,1,0)</f>
        <v/>
      </c>
      <c r="N220" s="14">
        <f>MAX(0,F220-E220)</f>
        <v/>
      </c>
    </row>
    <row r="221">
      <c r="A221" s="14" t="inlineStr">
        <is>
          <t>PO-00220</t>
        </is>
      </c>
      <c r="B221" s="14" t="inlineStr">
        <is>
          <t>S07</t>
        </is>
      </c>
      <c r="C221" s="14" t="inlineStr">
        <is>
          <t>NB-0009</t>
        </is>
      </c>
      <c r="D221" s="26" t="n">
        <v>45603</v>
      </c>
      <c r="E221" s="26" t="n">
        <v>45659</v>
      </c>
      <c r="F221" s="26" t="n">
        <v>45678</v>
      </c>
      <c r="G221" s="14" t="n">
        <v>156</v>
      </c>
      <c r="H221" s="14" t="n">
        <v>156</v>
      </c>
      <c r="I221" s="14" t="n">
        <v>4</v>
      </c>
      <c r="J221" s="58" t="n">
        <v>5946.72</v>
      </c>
      <c r="K221" s="59">
        <f>(F221-D221)/7</f>
        <v/>
      </c>
      <c r="L221" s="59">
        <f>K221^2</f>
        <v/>
      </c>
      <c r="M221" s="14">
        <f>IF(F221&lt;=E221,1,0)</f>
        <v/>
      </c>
      <c r="N221" s="14">
        <f>MAX(0,F221-E221)</f>
        <v/>
      </c>
    </row>
    <row r="222">
      <c r="A222" s="14" t="inlineStr">
        <is>
          <t>PO-00221</t>
        </is>
      </c>
      <c r="B222" s="14" t="inlineStr">
        <is>
          <t>S07</t>
        </is>
      </c>
      <c r="C222" s="14" t="inlineStr">
        <is>
          <t>NB-0009</t>
        </is>
      </c>
      <c r="D222" s="26" t="n">
        <v>45628</v>
      </c>
      <c r="E222" s="26" t="n">
        <v>45684</v>
      </c>
      <c r="F222" s="26" t="n">
        <v>45684</v>
      </c>
      <c r="G222" s="14" t="n">
        <v>148</v>
      </c>
      <c r="H222" s="14" t="n">
        <v>143</v>
      </c>
      <c r="I222" s="14" t="n">
        <v>3</v>
      </c>
      <c r="J222" s="58" t="n">
        <v>5641.76</v>
      </c>
      <c r="K222" s="59">
        <f>(F222-D222)/7</f>
        <v/>
      </c>
      <c r="L222" s="59">
        <f>K222^2</f>
        <v/>
      </c>
      <c r="M222" s="14">
        <f>IF(F222&lt;=E222,1,0)</f>
        <v/>
      </c>
      <c r="N222" s="14">
        <f>MAX(0,F222-E222)</f>
        <v/>
      </c>
    </row>
    <row r="223">
      <c r="A223" s="14" t="inlineStr">
        <is>
          <t>PO-00222</t>
        </is>
      </c>
      <c r="B223" s="14" t="inlineStr">
        <is>
          <t>S07</t>
        </is>
      </c>
      <c r="C223" s="14" t="inlineStr">
        <is>
          <t>NB-0009</t>
        </is>
      </c>
      <c r="D223" s="26" t="n">
        <v>45658</v>
      </c>
      <c r="E223" s="26" t="n">
        <v>45714</v>
      </c>
      <c r="F223" s="26" t="n">
        <v>45713</v>
      </c>
      <c r="G223" s="14" t="n">
        <v>165</v>
      </c>
      <c r="H223" s="14" t="n">
        <v>165</v>
      </c>
      <c r="I223" s="14" t="n">
        <v>1</v>
      </c>
      <c r="J223" s="58" t="n">
        <v>6289.8</v>
      </c>
      <c r="K223" s="59">
        <f>(F223-D223)/7</f>
        <v/>
      </c>
      <c r="L223" s="59">
        <f>K223^2</f>
        <v/>
      </c>
      <c r="M223" s="14">
        <f>IF(F223&lt;=E223,1,0)</f>
        <v/>
      </c>
      <c r="N223" s="14">
        <f>MAX(0,F223-E223)</f>
        <v/>
      </c>
    </row>
    <row r="224">
      <c r="A224" s="14" t="inlineStr">
        <is>
          <t>PO-00223</t>
        </is>
      </c>
      <c r="B224" s="14" t="inlineStr">
        <is>
          <t>S07</t>
        </is>
      </c>
      <c r="C224" s="14" t="inlineStr">
        <is>
          <t>NB-0009</t>
        </is>
      </c>
      <c r="D224" s="26" t="n">
        <v>45687</v>
      </c>
      <c r="E224" s="26" t="n">
        <v>45743</v>
      </c>
      <c r="F224" s="26" t="n">
        <v>45743</v>
      </c>
      <c r="G224" s="14" t="n">
        <v>181</v>
      </c>
      <c r="H224" s="14" t="n">
        <v>181</v>
      </c>
      <c r="I224" s="14" t="n">
        <v>1</v>
      </c>
      <c r="J224" s="58" t="n">
        <v>6899.72</v>
      </c>
      <c r="K224" s="59">
        <f>(F224-D224)/7</f>
        <v/>
      </c>
      <c r="L224" s="59">
        <f>K224^2</f>
        <v/>
      </c>
      <c r="M224" s="14">
        <f>IF(F224&lt;=E224,1,0)</f>
        <v/>
      </c>
      <c r="N224" s="14">
        <f>MAX(0,F224-E224)</f>
        <v/>
      </c>
    </row>
    <row r="225">
      <c r="A225" s="14" t="inlineStr">
        <is>
          <t>PO-00224</t>
        </is>
      </c>
      <c r="B225" s="14" t="inlineStr">
        <is>
          <t>S07</t>
        </is>
      </c>
      <c r="C225" s="14" t="inlineStr">
        <is>
          <t>NB-0009</t>
        </is>
      </c>
      <c r="D225" s="26" t="n">
        <v>45715</v>
      </c>
      <c r="E225" s="26" t="n">
        <v>45771</v>
      </c>
      <c r="F225" s="26" t="n">
        <v>45787</v>
      </c>
      <c r="G225" s="14" t="n">
        <v>172</v>
      </c>
      <c r="H225" s="14" t="n">
        <v>164</v>
      </c>
      <c r="I225" s="14" t="n">
        <v>2</v>
      </c>
      <c r="J225" s="58" t="n">
        <v>6556.64</v>
      </c>
      <c r="K225" s="59">
        <f>(F225-D225)/7</f>
        <v/>
      </c>
      <c r="L225" s="59">
        <f>K225^2</f>
        <v/>
      </c>
      <c r="M225" s="14">
        <f>IF(F225&lt;=E225,1,0)</f>
        <v/>
      </c>
      <c r="N225" s="14">
        <f>MAX(0,F225-E225)</f>
        <v/>
      </c>
    </row>
    <row r="226">
      <c r="A226" s="14" t="inlineStr">
        <is>
          <t>PO-00225</t>
        </is>
      </c>
      <c r="B226" s="14" t="inlineStr">
        <is>
          <t>S07</t>
        </is>
      </c>
      <c r="C226" s="14" t="inlineStr">
        <is>
          <t>NB-0009</t>
        </is>
      </c>
      <c r="D226" s="26" t="n">
        <v>45743</v>
      </c>
      <c r="E226" s="26" t="n">
        <v>45799</v>
      </c>
      <c r="F226" s="26" t="n">
        <v>45798</v>
      </c>
      <c r="G226" s="14" t="n">
        <v>168</v>
      </c>
      <c r="H226" s="14" t="n">
        <v>168</v>
      </c>
      <c r="I226" s="14" t="n">
        <v>0</v>
      </c>
      <c r="J226" s="58" t="n">
        <v>6404.16</v>
      </c>
      <c r="K226" s="59">
        <f>(F226-D226)/7</f>
        <v/>
      </c>
      <c r="L226" s="59">
        <f>K226^2</f>
        <v/>
      </c>
      <c r="M226" s="14">
        <f>IF(F226&lt;=E226,1,0)</f>
        <v/>
      </c>
      <c r="N226" s="14">
        <f>MAX(0,F226-E226)</f>
        <v/>
      </c>
    </row>
    <row r="227">
      <c r="A227" s="14" t="inlineStr">
        <is>
          <t>PO-00226</t>
        </is>
      </c>
      <c r="B227" s="14" t="inlineStr">
        <is>
          <t>S07</t>
        </is>
      </c>
      <c r="C227" s="14" t="inlineStr">
        <is>
          <t>NB-0009</t>
        </is>
      </c>
      <c r="D227" s="26" t="n">
        <v>45772</v>
      </c>
      <c r="E227" s="26" t="n">
        <v>45828</v>
      </c>
      <c r="F227" s="26" t="n">
        <v>45825</v>
      </c>
      <c r="G227" s="14" t="n">
        <v>150</v>
      </c>
      <c r="H227" s="14" t="n">
        <v>150</v>
      </c>
      <c r="I227" s="14" t="n">
        <v>3</v>
      </c>
      <c r="J227" s="58" t="n">
        <v>5718</v>
      </c>
      <c r="K227" s="59">
        <f>(F227-D227)/7</f>
        <v/>
      </c>
      <c r="L227" s="59">
        <f>K227^2</f>
        <v/>
      </c>
      <c r="M227" s="14">
        <f>IF(F227&lt;=E227,1,0)</f>
        <v/>
      </c>
      <c r="N227" s="14">
        <f>MAX(0,F227-E227)</f>
        <v/>
      </c>
    </row>
    <row r="228">
      <c r="A228" s="14" t="inlineStr">
        <is>
          <t>PO-00227</t>
        </is>
      </c>
      <c r="B228" s="14" t="inlineStr">
        <is>
          <t>S07</t>
        </is>
      </c>
      <c r="C228" s="14" t="inlineStr">
        <is>
          <t>NB-0009</t>
        </is>
      </c>
      <c r="D228" s="26" t="n">
        <v>45798</v>
      </c>
      <c r="E228" s="26" t="n">
        <v>45854</v>
      </c>
      <c r="F228" s="26" t="n">
        <v>45852</v>
      </c>
      <c r="G228" s="14" t="n">
        <v>162</v>
      </c>
      <c r="H228" s="14" t="n">
        <v>162</v>
      </c>
      <c r="I228" s="14" t="n">
        <v>6</v>
      </c>
      <c r="J228" s="58" t="n">
        <v>6175.44</v>
      </c>
      <c r="K228" s="59">
        <f>(F228-D228)/7</f>
        <v/>
      </c>
      <c r="L228" s="59">
        <f>K228^2</f>
        <v/>
      </c>
      <c r="M228" s="14">
        <f>IF(F228&lt;=E228,1,0)</f>
        <v/>
      </c>
      <c r="N228" s="14">
        <f>MAX(0,F228-E228)</f>
        <v/>
      </c>
    </row>
    <row r="229">
      <c r="A229" s="14" t="inlineStr">
        <is>
          <t>PO-00228</t>
        </is>
      </c>
      <c r="B229" s="14" t="inlineStr">
        <is>
          <t>S07</t>
        </is>
      </c>
      <c r="C229" s="14" t="inlineStr">
        <is>
          <t>NB-0009</t>
        </is>
      </c>
      <c r="D229" s="26" t="n">
        <v>45826</v>
      </c>
      <c r="E229" s="26" t="n">
        <v>45882</v>
      </c>
      <c r="F229" s="26" t="n">
        <v>45879</v>
      </c>
      <c r="G229" s="14" t="n">
        <v>156</v>
      </c>
      <c r="H229" s="14" t="n">
        <v>156</v>
      </c>
      <c r="I229" s="14" t="n">
        <v>1</v>
      </c>
      <c r="J229" s="58" t="n">
        <v>5946.72</v>
      </c>
      <c r="K229" s="59">
        <f>(F229-D229)/7</f>
        <v/>
      </c>
      <c r="L229" s="59">
        <f>K229^2</f>
        <v/>
      </c>
      <c r="M229" s="14">
        <f>IF(F229&lt;=E229,1,0)</f>
        <v/>
      </c>
      <c r="N229" s="14">
        <f>MAX(0,F229-E229)</f>
        <v/>
      </c>
    </row>
    <row r="230">
      <c r="A230" s="14" t="inlineStr">
        <is>
          <t>PO-00229</t>
        </is>
      </c>
      <c r="B230" s="14" t="inlineStr">
        <is>
          <t>S07</t>
        </is>
      </c>
      <c r="C230" s="14" t="inlineStr">
        <is>
          <t>NB-0009</t>
        </is>
      </c>
      <c r="D230" s="26" t="n">
        <v>45856</v>
      </c>
      <c r="E230" s="26" t="n">
        <v>45912</v>
      </c>
      <c r="F230" s="26" t="n">
        <v>45909</v>
      </c>
      <c r="G230" s="14" t="n">
        <v>147</v>
      </c>
      <c r="H230" s="14" t="n">
        <v>147</v>
      </c>
      <c r="I230" s="14" t="n">
        <v>2</v>
      </c>
      <c r="J230" s="58" t="n">
        <v>5603.64</v>
      </c>
      <c r="K230" s="59">
        <f>(F230-D230)/7</f>
        <v/>
      </c>
      <c r="L230" s="59">
        <f>K230^2</f>
        <v/>
      </c>
      <c r="M230" s="14">
        <f>IF(F230&lt;=E230,1,0)</f>
        <v/>
      </c>
      <c r="N230" s="14">
        <f>MAX(0,F230-E230)</f>
        <v/>
      </c>
    </row>
    <row r="231">
      <c r="A231" s="14" t="inlineStr">
        <is>
          <t>PO-00230</t>
        </is>
      </c>
      <c r="B231" s="14" t="inlineStr">
        <is>
          <t>S07</t>
        </is>
      </c>
      <c r="C231" s="14" t="inlineStr">
        <is>
          <t>NB-0009</t>
        </is>
      </c>
      <c r="D231" s="26" t="n">
        <v>45880</v>
      </c>
      <c r="E231" s="26" t="n">
        <v>45936</v>
      </c>
      <c r="F231" s="26" t="n">
        <v>45936</v>
      </c>
      <c r="G231" s="14" t="n">
        <v>179</v>
      </c>
      <c r="H231" s="14" t="n">
        <v>179</v>
      </c>
      <c r="I231" s="14" t="n">
        <v>3</v>
      </c>
      <c r="J231" s="58" t="n">
        <v>6823.48</v>
      </c>
      <c r="K231" s="59">
        <f>(F231-D231)/7</f>
        <v/>
      </c>
      <c r="L231" s="59">
        <f>K231^2</f>
        <v/>
      </c>
      <c r="M231" s="14">
        <f>IF(F231&lt;=E231,1,0)</f>
        <v/>
      </c>
      <c r="N231" s="14">
        <f>MAX(0,F231-E231)</f>
        <v/>
      </c>
    </row>
    <row r="232">
      <c r="A232" s="14" t="inlineStr">
        <is>
          <t>PO-00231</t>
        </is>
      </c>
      <c r="B232" s="14" t="inlineStr">
        <is>
          <t>S07</t>
        </is>
      </c>
      <c r="C232" s="14" t="inlineStr">
        <is>
          <t>NB-0009</t>
        </is>
      </c>
      <c r="D232" s="26" t="n">
        <v>45910</v>
      </c>
      <c r="E232" s="26" t="n">
        <v>45966</v>
      </c>
      <c r="F232" s="26" t="n">
        <v>45965</v>
      </c>
      <c r="G232" s="14" t="n">
        <v>171</v>
      </c>
      <c r="H232" s="14" t="n">
        <v>171</v>
      </c>
      <c r="I232" s="14" t="n">
        <v>5</v>
      </c>
      <c r="J232" s="58" t="n">
        <v>6518.52</v>
      </c>
      <c r="K232" s="59">
        <f>(F232-D232)/7</f>
        <v/>
      </c>
      <c r="L232" s="59">
        <f>K232^2</f>
        <v/>
      </c>
      <c r="M232" s="14">
        <f>IF(F232&lt;=E232,1,0)</f>
        <v/>
      </c>
      <c r="N232" s="14">
        <f>MAX(0,F232-E232)</f>
        <v/>
      </c>
    </row>
    <row r="233">
      <c r="A233" s="14" t="inlineStr">
        <is>
          <t>PO-00232</t>
        </is>
      </c>
      <c r="B233" s="14" t="inlineStr">
        <is>
          <t>S07</t>
        </is>
      </c>
      <c r="C233" s="14" t="inlineStr">
        <is>
          <t>NB-0009</t>
        </is>
      </c>
      <c r="D233" s="26" t="n">
        <v>45939</v>
      </c>
      <c r="E233" s="26" t="n">
        <v>45995</v>
      </c>
      <c r="F233" s="26" t="n">
        <v>45995</v>
      </c>
      <c r="G233" s="14" t="n">
        <v>158</v>
      </c>
      <c r="H233" s="14" t="n">
        <v>158</v>
      </c>
      <c r="I233" s="14" t="n">
        <v>3</v>
      </c>
      <c r="J233" s="58" t="n">
        <v>6022.96</v>
      </c>
      <c r="K233" s="59">
        <f>(F233-D233)/7</f>
        <v/>
      </c>
      <c r="L233" s="59">
        <f>K233^2</f>
        <v/>
      </c>
      <c r="M233" s="14">
        <f>IF(F233&lt;=E233,1,0)</f>
        <v/>
      </c>
      <c r="N233" s="14">
        <f>MAX(0,F233-E233)</f>
        <v/>
      </c>
    </row>
    <row r="234">
      <c r="A234" s="14" t="inlineStr">
        <is>
          <t>PO-00233</t>
        </is>
      </c>
      <c r="B234" s="14" t="inlineStr">
        <is>
          <t>S07</t>
        </is>
      </c>
      <c r="C234" s="14" t="inlineStr">
        <is>
          <t>NB-0009</t>
        </is>
      </c>
      <c r="D234" s="26" t="n">
        <v>45964</v>
      </c>
      <c r="E234" s="26" t="n">
        <v>46020</v>
      </c>
      <c r="F234" s="26" t="n">
        <v>46017</v>
      </c>
      <c r="G234" s="14" t="n">
        <v>145</v>
      </c>
      <c r="H234" s="14" t="n">
        <v>145</v>
      </c>
      <c r="I234" s="14" t="n">
        <v>5</v>
      </c>
      <c r="J234" s="58" t="n">
        <v>5527.4</v>
      </c>
      <c r="K234" s="59">
        <f>(F234-D234)/7</f>
        <v/>
      </c>
      <c r="L234" s="59">
        <f>K234^2</f>
        <v/>
      </c>
      <c r="M234" s="14">
        <f>IF(F234&lt;=E234,1,0)</f>
        <v/>
      </c>
      <c r="N234" s="14">
        <f>MAX(0,F234-E234)</f>
        <v/>
      </c>
    </row>
    <row r="235">
      <c r="A235" s="14" t="inlineStr">
        <is>
          <t>PO-00234</t>
        </is>
      </c>
      <c r="B235" s="14" t="inlineStr">
        <is>
          <t>S07</t>
        </is>
      </c>
      <c r="C235" s="14" t="inlineStr">
        <is>
          <t>NB-0009</t>
        </is>
      </c>
      <c r="D235" s="26" t="n">
        <v>45993</v>
      </c>
      <c r="E235" s="26" t="n">
        <v>46049</v>
      </c>
      <c r="F235" s="26" t="n">
        <v>46047</v>
      </c>
      <c r="G235" s="14" t="n">
        <v>159</v>
      </c>
      <c r="H235" s="14" t="n">
        <v>159</v>
      </c>
      <c r="I235" s="14" t="n">
        <v>5</v>
      </c>
      <c r="J235" s="58" t="n">
        <v>6061.08</v>
      </c>
      <c r="K235" s="59">
        <f>(F235-D235)/7</f>
        <v/>
      </c>
      <c r="L235" s="59">
        <f>K235^2</f>
        <v/>
      </c>
      <c r="M235" s="14">
        <f>IF(F235&lt;=E235,1,0)</f>
        <v/>
      </c>
      <c r="N235" s="14">
        <f>MAX(0,F235-E235)</f>
        <v/>
      </c>
    </row>
    <row r="236">
      <c r="A236" s="14" t="inlineStr">
        <is>
          <t>PO-00235</t>
        </is>
      </c>
      <c r="B236" s="14" t="inlineStr">
        <is>
          <t>S02</t>
        </is>
      </c>
      <c r="C236" s="14" t="inlineStr">
        <is>
          <t>NB-0010</t>
        </is>
      </c>
      <c r="D236" s="26" t="n">
        <v>45296</v>
      </c>
      <c r="E236" s="26" t="n">
        <v>45317</v>
      </c>
      <c r="F236" s="26" t="n">
        <v>45314</v>
      </c>
      <c r="G236" s="14" t="n">
        <v>119</v>
      </c>
      <c r="H236" s="14" t="n">
        <v>119</v>
      </c>
      <c r="I236" s="14" t="n">
        <v>0</v>
      </c>
      <c r="J236" s="58" t="n">
        <v>1451.8</v>
      </c>
      <c r="K236" s="59">
        <f>(F236-D236)/7</f>
        <v/>
      </c>
      <c r="L236" s="59">
        <f>K236^2</f>
        <v/>
      </c>
      <c r="M236" s="14">
        <f>IF(F236&lt;=E236,1,0)</f>
        <v/>
      </c>
      <c r="N236" s="14">
        <f>MAX(0,F236-E236)</f>
        <v/>
      </c>
    </row>
    <row r="237">
      <c r="A237" s="14" t="inlineStr">
        <is>
          <t>PO-00236</t>
        </is>
      </c>
      <c r="B237" s="14" t="inlineStr">
        <is>
          <t>S02</t>
        </is>
      </c>
      <c r="C237" s="14" t="inlineStr">
        <is>
          <t>NB-0010</t>
        </is>
      </c>
      <c r="D237" s="26" t="n">
        <v>45322</v>
      </c>
      <c r="E237" s="26" t="n">
        <v>45343</v>
      </c>
      <c r="F237" s="26" t="n">
        <v>45341</v>
      </c>
      <c r="G237" s="14" t="n">
        <v>123</v>
      </c>
      <c r="H237" s="14" t="n">
        <v>123</v>
      </c>
      <c r="I237" s="14" t="n">
        <v>3</v>
      </c>
      <c r="J237" s="58" t="n">
        <v>1500.6</v>
      </c>
      <c r="K237" s="59">
        <f>(F237-D237)/7</f>
        <v/>
      </c>
      <c r="L237" s="59">
        <f>K237^2</f>
        <v/>
      </c>
      <c r="M237" s="14">
        <f>IF(F237&lt;=E237,1,0)</f>
        <v/>
      </c>
      <c r="N237" s="14">
        <f>MAX(0,F237-E237)</f>
        <v/>
      </c>
    </row>
    <row r="238">
      <c r="A238" s="14" t="inlineStr">
        <is>
          <t>PO-00237</t>
        </is>
      </c>
      <c r="B238" s="14" t="inlineStr">
        <is>
          <t>S02</t>
        </is>
      </c>
      <c r="C238" s="14" t="inlineStr">
        <is>
          <t>NB-0010</t>
        </is>
      </c>
      <c r="D238" s="26" t="n">
        <v>45348</v>
      </c>
      <c r="E238" s="26" t="n">
        <v>45369</v>
      </c>
      <c r="F238" s="26" t="n">
        <v>45369</v>
      </c>
      <c r="G238" s="14" t="n">
        <v>119</v>
      </c>
      <c r="H238" s="14" t="n">
        <v>119</v>
      </c>
      <c r="I238" s="14" t="n">
        <v>1</v>
      </c>
      <c r="J238" s="58" t="n">
        <v>1451.8</v>
      </c>
      <c r="K238" s="59">
        <f>(F238-D238)/7</f>
        <v/>
      </c>
      <c r="L238" s="59">
        <f>K238^2</f>
        <v/>
      </c>
      <c r="M238" s="14">
        <f>IF(F238&lt;=E238,1,0)</f>
        <v/>
      </c>
      <c r="N238" s="14">
        <f>MAX(0,F238-E238)</f>
        <v/>
      </c>
    </row>
    <row r="239">
      <c r="A239" s="14" t="inlineStr">
        <is>
          <t>PO-00238</t>
        </is>
      </c>
      <c r="B239" s="14" t="inlineStr">
        <is>
          <t>S02</t>
        </is>
      </c>
      <c r="C239" s="14" t="inlineStr">
        <is>
          <t>NB-0010</t>
        </is>
      </c>
      <c r="D239" s="26" t="n">
        <v>45378</v>
      </c>
      <c r="E239" s="26" t="n">
        <v>45399</v>
      </c>
      <c r="F239" s="26" t="n">
        <v>45397</v>
      </c>
      <c r="G239" s="14" t="n">
        <v>106</v>
      </c>
      <c r="H239" s="14" t="n">
        <v>106</v>
      </c>
      <c r="I239" s="14" t="n">
        <v>0</v>
      </c>
      <c r="J239" s="58" t="n">
        <v>1293.2</v>
      </c>
      <c r="K239" s="59">
        <f>(F239-D239)/7</f>
        <v/>
      </c>
      <c r="L239" s="59">
        <f>K239^2</f>
        <v/>
      </c>
      <c r="M239" s="14">
        <f>IF(F239&lt;=E239,1,0)</f>
        <v/>
      </c>
      <c r="N239" s="14">
        <f>MAX(0,F239-E239)</f>
        <v/>
      </c>
    </row>
    <row r="240">
      <c r="A240" s="14" t="inlineStr">
        <is>
          <t>PO-00239</t>
        </is>
      </c>
      <c r="B240" s="14" t="inlineStr">
        <is>
          <t>S02</t>
        </is>
      </c>
      <c r="C240" s="14" t="inlineStr">
        <is>
          <t>NB-0010</t>
        </is>
      </c>
      <c r="D240" s="26" t="n">
        <v>45404</v>
      </c>
      <c r="E240" s="26" t="n">
        <v>45425</v>
      </c>
      <c r="F240" s="26" t="n">
        <v>45423</v>
      </c>
      <c r="G240" s="14" t="n">
        <v>126</v>
      </c>
      <c r="H240" s="14" t="n">
        <v>126</v>
      </c>
      <c r="I240" s="14" t="n">
        <v>2</v>
      </c>
      <c r="J240" s="58" t="n">
        <v>1537.2</v>
      </c>
      <c r="K240" s="59">
        <f>(F240-D240)/7</f>
        <v/>
      </c>
      <c r="L240" s="59">
        <f>K240^2</f>
        <v/>
      </c>
      <c r="M240" s="14">
        <f>IF(F240&lt;=E240,1,0)</f>
        <v/>
      </c>
      <c r="N240" s="14">
        <f>MAX(0,F240-E240)</f>
        <v/>
      </c>
    </row>
    <row r="241">
      <c r="A241" s="14" t="inlineStr">
        <is>
          <t>PO-00240</t>
        </is>
      </c>
      <c r="B241" s="14" t="inlineStr">
        <is>
          <t>S02</t>
        </is>
      </c>
      <c r="C241" s="14" t="inlineStr">
        <is>
          <t>NB-0010</t>
        </is>
      </c>
      <c r="D241" s="26" t="n">
        <v>45434</v>
      </c>
      <c r="E241" s="26" t="n">
        <v>45455</v>
      </c>
      <c r="F241" s="26" t="n">
        <v>45453</v>
      </c>
      <c r="G241" s="14" t="n">
        <v>118</v>
      </c>
      <c r="H241" s="14" t="n">
        <v>118</v>
      </c>
      <c r="I241" s="14" t="n">
        <v>0</v>
      </c>
      <c r="J241" s="58" t="n">
        <v>1439.6</v>
      </c>
      <c r="K241" s="59">
        <f>(F241-D241)/7</f>
        <v/>
      </c>
      <c r="L241" s="59">
        <f>K241^2</f>
        <v/>
      </c>
      <c r="M241" s="14">
        <f>IF(F241&lt;=E241,1,0)</f>
        <v/>
      </c>
      <c r="N241" s="14">
        <f>MAX(0,F241-E241)</f>
        <v/>
      </c>
    </row>
    <row r="242">
      <c r="A242" s="14" t="inlineStr">
        <is>
          <t>PO-00241</t>
        </is>
      </c>
      <c r="B242" s="14" t="inlineStr">
        <is>
          <t>S02</t>
        </is>
      </c>
      <c r="C242" s="14" t="inlineStr">
        <is>
          <t>NB-0010</t>
        </is>
      </c>
      <c r="D242" s="26" t="n">
        <v>45460</v>
      </c>
      <c r="E242" s="26" t="n">
        <v>45481</v>
      </c>
      <c r="F242" s="26" t="n">
        <v>45481</v>
      </c>
      <c r="G242" s="14" t="n">
        <v>117</v>
      </c>
      <c r="H242" s="14" t="n">
        <v>103</v>
      </c>
      <c r="I242" s="14" t="n">
        <v>1</v>
      </c>
      <c r="J242" s="58" t="n">
        <v>1427.4</v>
      </c>
      <c r="K242" s="59">
        <f>(F242-D242)/7</f>
        <v/>
      </c>
      <c r="L242" s="59">
        <f>K242^2</f>
        <v/>
      </c>
      <c r="M242" s="14">
        <f>IF(F242&lt;=E242,1,0)</f>
        <v/>
      </c>
      <c r="N242" s="14">
        <f>MAX(0,F242-E242)</f>
        <v/>
      </c>
    </row>
    <row r="243">
      <c r="A243" s="14" t="inlineStr">
        <is>
          <t>PO-00242</t>
        </is>
      </c>
      <c r="B243" s="14" t="inlineStr">
        <is>
          <t>S02</t>
        </is>
      </c>
      <c r="C243" s="14" t="inlineStr">
        <is>
          <t>NB-0010</t>
        </is>
      </c>
      <c r="D243" s="26" t="n">
        <v>45488</v>
      </c>
      <c r="E243" s="26" t="n">
        <v>45509</v>
      </c>
      <c r="F243" s="26" t="n">
        <v>45507</v>
      </c>
      <c r="G243" s="14" t="n">
        <v>133</v>
      </c>
      <c r="H243" s="14" t="n">
        <v>133</v>
      </c>
      <c r="I243" s="14" t="n">
        <v>1</v>
      </c>
      <c r="J243" s="58" t="n">
        <v>1622.6</v>
      </c>
      <c r="K243" s="59">
        <f>(F243-D243)/7</f>
        <v/>
      </c>
      <c r="L243" s="59">
        <f>K243^2</f>
        <v/>
      </c>
      <c r="M243" s="14">
        <f>IF(F243&lt;=E243,1,0)</f>
        <v/>
      </c>
      <c r="N243" s="14">
        <f>MAX(0,F243-E243)</f>
        <v/>
      </c>
    </row>
    <row r="244">
      <c r="A244" s="14" t="inlineStr">
        <is>
          <t>PO-00243</t>
        </is>
      </c>
      <c r="B244" s="14" t="inlineStr">
        <is>
          <t>S02</t>
        </is>
      </c>
      <c r="C244" s="14" t="inlineStr">
        <is>
          <t>NB-0010</t>
        </is>
      </c>
      <c r="D244" s="26" t="n">
        <v>45518</v>
      </c>
      <c r="E244" s="26" t="n">
        <v>45539</v>
      </c>
      <c r="F244" s="26" t="n">
        <v>45539</v>
      </c>
      <c r="G244" s="14" t="n">
        <v>140</v>
      </c>
      <c r="H244" s="14" t="n">
        <v>140</v>
      </c>
      <c r="I244" s="14" t="n">
        <v>1</v>
      </c>
      <c r="J244" s="58" t="n">
        <v>1708</v>
      </c>
      <c r="K244" s="59">
        <f>(F244-D244)/7</f>
        <v/>
      </c>
      <c r="L244" s="59">
        <f>K244^2</f>
        <v/>
      </c>
      <c r="M244" s="14">
        <f>IF(F244&lt;=E244,1,0)</f>
        <v/>
      </c>
      <c r="N244" s="14">
        <f>MAX(0,F244-E244)</f>
        <v/>
      </c>
    </row>
    <row r="245">
      <c r="A245" s="14" t="inlineStr">
        <is>
          <t>PO-00244</t>
        </is>
      </c>
      <c r="B245" s="14" t="inlineStr">
        <is>
          <t>S02</t>
        </is>
      </c>
      <c r="C245" s="14" t="inlineStr">
        <is>
          <t>NB-0010</t>
        </is>
      </c>
      <c r="D245" s="26" t="n">
        <v>45545</v>
      </c>
      <c r="E245" s="26" t="n">
        <v>45566</v>
      </c>
      <c r="F245" s="26" t="n">
        <v>45565</v>
      </c>
      <c r="G245" s="14" t="n">
        <v>124</v>
      </c>
      <c r="H245" s="14" t="n">
        <v>124</v>
      </c>
      <c r="I245" s="14" t="n">
        <v>0</v>
      </c>
      <c r="J245" s="58" t="n">
        <v>1512.8</v>
      </c>
      <c r="K245" s="59">
        <f>(F245-D245)/7</f>
        <v/>
      </c>
      <c r="L245" s="59">
        <f>K245^2</f>
        <v/>
      </c>
      <c r="M245" s="14">
        <f>IF(F245&lt;=E245,1,0)</f>
        <v/>
      </c>
      <c r="N245" s="14">
        <f>MAX(0,F245-E245)</f>
        <v/>
      </c>
    </row>
    <row r="246">
      <c r="A246" s="14" t="inlineStr">
        <is>
          <t>PO-00245</t>
        </is>
      </c>
      <c r="B246" s="14" t="inlineStr">
        <is>
          <t>S02</t>
        </is>
      </c>
      <c r="C246" s="14" t="inlineStr">
        <is>
          <t>NB-0010</t>
        </is>
      </c>
      <c r="D246" s="26" t="n">
        <v>45576</v>
      </c>
      <c r="E246" s="26" t="n">
        <v>45597</v>
      </c>
      <c r="F246" s="26" t="n">
        <v>45597</v>
      </c>
      <c r="G246" s="14" t="n">
        <v>104</v>
      </c>
      <c r="H246" s="14" t="n">
        <v>104</v>
      </c>
      <c r="I246" s="14" t="n">
        <v>0</v>
      </c>
      <c r="J246" s="58" t="n">
        <v>1268.8</v>
      </c>
      <c r="K246" s="59">
        <f>(F246-D246)/7</f>
        <v/>
      </c>
      <c r="L246" s="59">
        <f>K246^2</f>
        <v/>
      </c>
      <c r="M246" s="14">
        <f>IF(F246&lt;=E246,1,0)</f>
        <v/>
      </c>
      <c r="N246" s="14">
        <f>MAX(0,F246-E246)</f>
        <v/>
      </c>
    </row>
    <row r="247">
      <c r="A247" s="14" t="inlineStr">
        <is>
          <t>PO-00246</t>
        </is>
      </c>
      <c r="B247" s="14" t="inlineStr">
        <is>
          <t>S02</t>
        </is>
      </c>
      <c r="C247" s="14" t="inlineStr">
        <is>
          <t>NB-0010</t>
        </is>
      </c>
      <c r="D247" s="26" t="n">
        <v>45600</v>
      </c>
      <c r="E247" s="26" t="n">
        <v>45621</v>
      </c>
      <c r="F247" s="26" t="n">
        <v>45619</v>
      </c>
      <c r="G247" s="14" t="n">
        <v>101</v>
      </c>
      <c r="H247" s="14" t="n">
        <v>101</v>
      </c>
      <c r="I247" s="14" t="n">
        <v>2</v>
      </c>
      <c r="J247" s="58" t="n">
        <v>1232.2</v>
      </c>
      <c r="K247" s="59">
        <f>(F247-D247)/7</f>
        <v/>
      </c>
      <c r="L247" s="59">
        <f>K247^2</f>
        <v/>
      </c>
      <c r="M247" s="14">
        <f>IF(F247&lt;=E247,1,0)</f>
        <v/>
      </c>
      <c r="N247" s="14">
        <f>MAX(0,F247-E247)</f>
        <v/>
      </c>
    </row>
    <row r="248">
      <c r="A248" s="14" t="inlineStr">
        <is>
          <t>PO-00247</t>
        </is>
      </c>
      <c r="B248" s="14" t="inlineStr">
        <is>
          <t>S02</t>
        </is>
      </c>
      <c r="C248" s="14" t="inlineStr">
        <is>
          <t>NB-0010</t>
        </is>
      </c>
      <c r="D248" s="26" t="n">
        <v>45630</v>
      </c>
      <c r="E248" s="26" t="n">
        <v>45651</v>
      </c>
      <c r="F248" s="26" t="n">
        <v>45650</v>
      </c>
      <c r="G248" s="14" t="n">
        <v>103</v>
      </c>
      <c r="H248" s="14" t="n">
        <v>103</v>
      </c>
      <c r="I248" s="14" t="n">
        <v>0</v>
      </c>
      <c r="J248" s="58" t="n">
        <v>1256.6</v>
      </c>
      <c r="K248" s="59">
        <f>(F248-D248)/7</f>
        <v/>
      </c>
      <c r="L248" s="59">
        <f>K248^2</f>
        <v/>
      </c>
      <c r="M248" s="14">
        <f>IF(F248&lt;=E248,1,0)</f>
        <v/>
      </c>
      <c r="N248" s="14">
        <f>MAX(0,F248-E248)</f>
        <v/>
      </c>
    </row>
    <row r="249">
      <c r="A249" s="14" t="inlineStr">
        <is>
          <t>PO-00248</t>
        </is>
      </c>
      <c r="B249" s="14" t="inlineStr">
        <is>
          <t>S02</t>
        </is>
      </c>
      <c r="C249" s="14" t="inlineStr">
        <is>
          <t>NB-0010</t>
        </is>
      </c>
      <c r="D249" s="26" t="n">
        <v>45660</v>
      </c>
      <c r="E249" s="26" t="n">
        <v>45681</v>
      </c>
      <c r="F249" s="26" t="n">
        <v>45681</v>
      </c>
      <c r="G249" s="14" t="n">
        <v>102</v>
      </c>
      <c r="H249" s="14" t="n">
        <v>102</v>
      </c>
      <c r="I249" s="14" t="n">
        <v>1</v>
      </c>
      <c r="J249" s="58" t="n">
        <v>1244.4</v>
      </c>
      <c r="K249" s="59">
        <f>(F249-D249)/7</f>
        <v/>
      </c>
      <c r="L249" s="59">
        <f>K249^2</f>
        <v/>
      </c>
      <c r="M249" s="14">
        <f>IF(F249&lt;=E249,1,0)</f>
        <v/>
      </c>
      <c r="N249" s="14">
        <f>MAX(0,F249-E249)</f>
        <v/>
      </c>
    </row>
    <row r="250">
      <c r="A250" s="14" t="inlineStr">
        <is>
          <t>PO-00249</t>
        </is>
      </c>
      <c r="B250" s="14" t="inlineStr">
        <is>
          <t>S02</t>
        </is>
      </c>
      <c r="C250" s="14" t="inlineStr">
        <is>
          <t>NB-0010</t>
        </is>
      </c>
      <c r="D250" s="26" t="n">
        <v>45687</v>
      </c>
      <c r="E250" s="26" t="n">
        <v>45708</v>
      </c>
      <c r="F250" s="26" t="n">
        <v>45707</v>
      </c>
      <c r="G250" s="14" t="n">
        <v>126</v>
      </c>
      <c r="H250" s="14" t="n">
        <v>126</v>
      </c>
      <c r="I250" s="14" t="n">
        <v>1</v>
      </c>
      <c r="J250" s="58" t="n">
        <v>1537.2</v>
      </c>
      <c r="K250" s="59">
        <f>(F250-D250)/7</f>
        <v/>
      </c>
      <c r="L250" s="59">
        <f>K250^2</f>
        <v/>
      </c>
      <c r="M250" s="14">
        <f>IF(F250&lt;=E250,1,0)</f>
        <v/>
      </c>
      <c r="N250" s="14">
        <f>MAX(0,F250-E250)</f>
        <v/>
      </c>
    </row>
    <row r="251">
      <c r="A251" s="14" t="inlineStr">
        <is>
          <t>PO-00250</t>
        </is>
      </c>
      <c r="B251" s="14" t="inlineStr">
        <is>
          <t>S02</t>
        </is>
      </c>
      <c r="C251" s="14" t="inlineStr">
        <is>
          <t>NB-0010</t>
        </is>
      </c>
      <c r="D251" s="26" t="n">
        <v>45713</v>
      </c>
      <c r="E251" s="26" t="n">
        <v>45734</v>
      </c>
      <c r="F251" s="26" t="n">
        <v>45733</v>
      </c>
      <c r="G251" s="14" t="n">
        <v>114</v>
      </c>
      <c r="H251" s="14" t="n">
        <v>114</v>
      </c>
      <c r="I251" s="14" t="n">
        <v>3</v>
      </c>
      <c r="J251" s="58" t="n">
        <v>1390.8</v>
      </c>
      <c r="K251" s="59">
        <f>(F251-D251)/7</f>
        <v/>
      </c>
      <c r="L251" s="59">
        <f>K251^2</f>
        <v/>
      </c>
      <c r="M251" s="14">
        <f>IF(F251&lt;=E251,1,0)</f>
        <v/>
      </c>
      <c r="N251" s="14">
        <f>MAX(0,F251-E251)</f>
        <v/>
      </c>
    </row>
    <row r="252">
      <c r="A252" s="14" t="inlineStr">
        <is>
          <t>PO-00251</t>
        </is>
      </c>
      <c r="B252" s="14" t="inlineStr">
        <is>
          <t>S02</t>
        </is>
      </c>
      <c r="C252" s="14" t="inlineStr">
        <is>
          <t>NB-0010</t>
        </is>
      </c>
      <c r="D252" s="26" t="n">
        <v>45740</v>
      </c>
      <c r="E252" s="26" t="n">
        <v>45761</v>
      </c>
      <c r="F252" s="26" t="n">
        <v>45759</v>
      </c>
      <c r="G252" s="14" t="n">
        <v>116</v>
      </c>
      <c r="H252" s="14" t="n">
        <v>116</v>
      </c>
      <c r="I252" s="14" t="n">
        <v>0</v>
      </c>
      <c r="J252" s="58" t="n">
        <v>1415.2</v>
      </c>
      <c r="K252" s="59">
        <f>(F252-D252)/7</f>
        <v/>
      </c>
      <c r="L252" s="59">
        <f>K252^2</f>
        <v/>
      </c>
      <c r="M252" s="14">
        <f>IF(F252&lt;=E252,1,0)</f>
        <v/>
      </c>
      <c r="N252" s="14">
        <f>MAX(0,F252-E252)</f>
        <v/>
      </c>
    </row>
    <row r="253">
      <c r="A253" s="14" t="inlineStr">
        <is>
          <t>PO-00252</t>
        </is>
      </c>
      <c r="B253" s="14" t="inlineStr">
        <is>
          <t>S02</t>
        </is>
      </c>
      <c r="C253" s="14" t="inlineStr">
        <is>
          <t>NB-0010</t>
        </is>
      </c>
      <c r="D253" s="26" t="n">
        <v>45770</v>
      </c>
      <c r="E253" s="26" t="n">
        <v>45791</v>
      </c>
      <c r="F253" s="26" t="n">
        <v>45789</v>
      </c>
      <c r="G253" s="14" t="n">
        <v>116</v>
      </c>
      <c r="H253" s="14" t="n">
        <v>116</v>
      </c>
      <c r="I253" s="14" t="n">
        <v>0</v>
      </c>
      <c r="J253" s="58" t="n">
        <v>1415.2</v>
      </c>
      <c r="K253" s="59">
        <f>(F253-D253)/7</f>
        <v/>
      </c>
      <c r="L253" s="59">
        <f>K253^2</f>
        <v/>
      </c>
      <c r="M253" s="14">
        <f>IF(F253&lt;=E253,1,0)</f>
        <v/>
      </c>
      <c r="N253" s="14">
        <f>MAX(0,F253-E253)</f>
        <v/>
      </c>
    </row>
    <row r="254">
      <c r="A254" s="14" t="inlineStr">
        <is>
          <t>PO-00253</t>
        </is>
      </c>
      <c r="B254" s="14" t="inlineStr">
        <is>
          <t>S02</t>
        </is>
      </c>
      <c r="C254" s="14" t="inlineStr">
        <is>
          <t>NB-0010</t>
        </is>
      </c>
      <c r="D254" s="26" t="n">
        <v>45798</v>
      </c>
      <c r="E254" s="26" t="n">
        <v>45819</v>
      </c>
      <c r="F254" s="26" t="n">
        <v>45817</v>
      </c>
      <c r="G254" s="14" t="n">
        <v>121</v>
      </c>
      <c r="H254" s="14" t="n">
        <v>121</v>
      </c>
      <c r="I254" s="14" t="n">
        <v>1</v>
      </c>
      <c r="J254" s="58" t="n">
        <v>1476.2</v>
      </c>
      <c r="K254" s="59">
        <f>(F254-D254)/7</f>
        <v/>
      </c>
      <c r="L254" s="59">
        <f>K254^2</f>
        <v/>
      </c>
      <c r="M254" s="14">
        <f>IF(F254&lt;=E254,1,0)</f>
        <v/>
      </c>
      <c r="N254" s="14">
        <f>MAX(0,F254-E254)</f>
        <v/>
      </c>
    </row>
    <row r="255">
      <c r="A255" s="14" t="inlineStr">
        <is>
          <t>PO-00254</t>
        </is>
      </c>
      <c r="B255" s="14" t="inlineStr">
        <is>
          <t>S02</t>
        </is>
      </c>
      <c r="C255" s="14" t="inlineStr">
        <is>
          <t>NB-0010</t>
        </is>
      </c>
      <c r="D255" s="26" t="n">
        <v>45825</v>
      </c>
      <c r="E255" s="26" t="n">
        <v>45846</v>
      </c>
      <c r="F255" s="26" t="n">
        <v>45843</v>
      </c>
      <c r="G255" s="14" t="n">
        <v>115</v>
      </c>
      <c r="H255" s="14" t="n">
        <v>115</v>
      </c>
      <c r="I255" s="14" t="n">
        <v>1</v>
      </c>
      <c r="J255" s="58" t="n">
        <v>1403</v>
      </c>
      <c r="K255" s="59">
        <f>(F255-D255)/7</f>
        <v/>
      </c>
      <c r="L255" s="59">
        <f>K255^2</f>
        <v/>
      </c>
      <c r="M255" s="14">
        <f>IF(F255&lt;=E255,1,0)</f>
        <v/>
      </c>
      <c r="N255" s="14">
        <f>MAX(0,F255-E255)</f>
        <v/>
      </c>
    </row>
    <row r="256">
      <c r="A256" s="14" t="inlineStr">
        <is>
          <t>PO-00255</t>
        </is>
      </c>
      <c r="B256" s="14" t="inlineStr">
        <is>
          <t>S02</t>
        </is>
      </c>
      <c r="C256" s="14" t="inlineStr">
        <is>
          <t>NB-0010</t>
        </is>
      </c>
      <c r="D256" s="26" t="n">
        <v>45852</v>
      </c>
      <c r="E256" s="26" t="n">
        <v>45873</v>
      </c>
      <c r="F256" s="26" t="n">
        <v>45871</v>
      </c>
      <c r="G256" s="14" t="n">
        <v>123</v>
      </c>
      <c r="H256" s="14" t="n">
        <v>123</v>
      </c>
      <c r="I256" s="14" t="n">
        <v>1</v>
      </c>
      <c r="J256" s="58" t="n">
        <v>1500.6</v>
      </c>
      <c r="K256" s="59">
        <f>(F256-D256)/7</f>
        <v/>
      </c>
      <c r="L256" s="59">
        <f>K256^2</f>
        <v/>
      </c>
      <c r="M256" s="14">
        <f>IF(F256&lt;=E256,1,0)</f>
        <v/>
      </c>
      <c r="N256" s="14">
        <f>MAX(0,F256-E256)</f>
        <v/>
      </c>
    </row>
    <row r="257">
      <c r="A257" s="14" t="inlineStr">
        <is>
          <t>PO-00256</t>
        </is>
      </c>
      <c r="B257" s="14" t="inlineStr">
        <is>
          <t>S02</t>
        </is>
      </c>
      <c r="C257" s="14" t="inlineStr">
        <is>
          <t>NB-0010</t>
        </is>
      </c>
      <c r="D257" s="26" t="n">
        <v>45884</v>
      </c>
      <c r="E257" s="26" t="n">
        <v>45905</v>
      </c>
      <c r="F257" s="26" t="n">
        <v>45905</v>
      </c>
      <c r="G257" s="14" t="n">
        <v>117</v>
      </c>
      <c r="H257" s="14" t="n">
        <v>117</v>
      </c>
      <c r="I257" s="14" t="n">
        <v>0</v>
      </c>
      <c r="J257" s="58" t="n">
        <v>1427.4</v>
      </c>
      <c r="K257" s="59">
        <f>(F257-D257)/7</f>
        <v/>
      </c>
      <c r="L257" s="59">
        <f>K257^2</f>
        <v/>
      </c>
      <c r="M257" s="14">
        <f>IF(F257&lt;=E257,1,0)</f>
        <v/>
      </c>
      <c r="N257" s="14">
        <f>MAX(0,F257-E257)</f>
        <v/>
      </c>
    </row>
    <row r="258">
      <c r="A258" s="14" t="inlineStr">
        <is>
          <t>PO-00257</t>
        </is>
      </c>
      <c r="B258" s="14" t="inlineStr">
        <is>
          <t>S02</t>
        </is>
      </c>
      <c r="C258" s="14" t="inlineStr">
        <is>
          <t>NB-0010</t>
        </is>
      </c>
      <c r="D258" s="26" t="n">
        <v>45908</v>
      </c>
      <c r="E258" s="26" t="n">
        <v>45929</v>
      </c>
      <c r="F258" s="26" t="n">
        <v>45926</v>
      </c>
      <c r="G258" s="14" t="n">
        <v>132</v>
      </c>
      <c r="H258" s="14" t="n">
        <v>132</v>
      </c>
      <c r="I258" s="14" t="n">
        <v>0</v>
      </c>
      <c r="J258" s="58" t="n">
        <v>1610.4</v>
      </c>
      <c r="K258" s="59">
        <f>(F258-D258)/7</f>
        <v/>
      </c>
      <c r="L258" s="59">
        <f>K258^2</f>
        <v/>
      </c>
      <c r="M258" s="14">
        <f>IF(F258&lt;=E258,1,0)</f>
        <v/>
      </c>
      <c r="N258" s="14">
        <f>MAX(0,F258-E258)</f>
        <v/>
      </c>
    </row>
    <row r="259">
      <c r="A259" s="14" t="inlineStr">
        <is>
          <t>PO-00258</t>
        </is>
      </c>
      <c r="B259" s="14" t="inlineStr">
        <is>
          <t>S02</t>
        </is>
      </c>
      <c r="C259" s="14" t="inlineStr">
        <is>
          <t>NB-0010</t>
        </is>
      </c>
      <c r="D259" s="26" t="n">
        <v>45940</v>
      </c>
      <c r="E259" s="26" t="n">
        <v>45961</v>
      </c>
      <c r="F259" s="26" t="n">
        <v>45958</v>
      </c>
      <c r="G259" s="14" t="n">
        <v>107</v>
      </c>
      <c r="H259" s="14" t="n">
        <v>107</v>
      </c>
      <c r="I259" s="14" t="n">
        <v>0</v>
      </c>
      <c r="J259" s="58" t="n">
        <v>1305.4</v>
      </c>
      <c r="K259" s="59">
        <f>(F259-D259)/7</f>
        <v/>
      </c>
      <c r="L259" s="59">
        <f>K259^2</f>
        <v/>
      </c>
      <c r="M259" s="14">
        <f>IF(F259&lt;=E259,1,0)</f>
        <v/>
      </c>
      <c r="N259" s="14">
        <f>MAX(0,F259-E259)</f>
        <v/>
      </c>
    </row>
    <row r="260">
      <c r="A260" s="14" t="inlineStr">
        <is>
          <t>PO-00259</t>
        </is>
      </c>
      <c r="B260" s="14" t="inlineStr">
        <is>
          <t>S02</t>
        </is>
      </c>
      <c r="C260" s="14" t="inlineStr">
        <is>
          <t>NB-0010</t>
        </is>
      </c>
      <c r="D260" s="26" t="n">
        <v>45967</v>
      </c>
      <c r="E260" s="26" t="n">
        <v>45988</v>
      </c>
      <c r="F260" s="26" t="n">
        <v>45986</v>
      </c>
      <c r="G260" s="14" t="n">
        <v>108</v>
      </c>
      <c r="H260" s="14" t="n">
        <v>108</v>
      </c>
      <c r="I260" s="14" t="n">
        <v>0</v>
      </c>
      <c r="J260" s="58" t="n">
        <v>1317.6</v>
      </c>
      <c r="K260" s="59">
        <f>(F260-D260)/7</f>
        <v/>
      </c>
      <c r="L260" s="59">
        <f>K260^2</f>
        <v/>
      </c>
      <c r="M260" s="14">
        <f>IF(F260&lt;=E260,1,0)</f>
        <v/>
      </c>
      <c r="N260" s="14">
        <f>MAX(0,F260-E260)</f>
        <v/>
      </c>
    </row>
    <row r="261">
      <c r="A261" s="14" t="inlineStr">
        <is>
          <t>PO-00260</t>
        </is>
      </c>
      <c r="B261" s="14" t="inlineStr">
        <is>
          <t>S02</t>
        </is>
      </c>
      <c r="C261" s="14" t="inlineStr">
        <is>
          <t>NB-0010</t>
        </is>
      </c>
      <c r="D261" s="26" t="n">
        <v>45992</v>
      </c>
      <c r="E261" s="26" t="n">
        <v>46013</v>
      </c>
      <c r="F261" s="26" t="n">
        <v>46015</v>
      </c>
      <c r="G261" s="14" t="n">
        <v>127</v>
      </c>
      <c r="H261" s="14" t="n">
        <v>117</v>
      </c>
      <c r="I261" s="14" t="n">
        <v>1</v>
      </c>
      <c r="J261" s="58" t="n">
        <v>1549.4</v>
      </c>
      <c r="K261" s="59">
        <f>(F261-D261)/7</f>
        <v/>
      </c>
      <c r="L261" s="59">
        <f>K261^2</f>
        <v/>
      </c>
      <c r="M261" s="14">
        <f>IF(F261&lt;=E261,1,0)</f>
        <v/>
      </c>
      <c r="N261" s="14">
        <f>MAX(0,F261-E261)</f>
        <v/>
      </c>
    </row>
    <row r="262">
      <c r="A262" s="14" t="inlineStr">
        <is>
          <t>PO-00261</t>
        </is>
      </c>
      <c r="B262" s="14" t="inlineStr">
        <is>
          <t>S02</t>
        </is>
      </c>
      <c r="C262" s="14" t="inlineStr">
        <is>
          <t>NB-0011</t>
        </is>
      </c>
      <c r="D262" s="26" t="n">
        <v>45296</v>
      </c>
      <c r="E262" s="26" t="n">
        <v>45317</v>
      </c>
      <c r="F262" s="26" t="n">
        <v>45315</v>
      </c>
      <c r="G262" s="14" t="n">
        <v>44</v>
      </c>
      <c r="H262" s="14" t="n">
        <v>44</v>
      </c>
      <c r="I262" s="14" t="n">
        <v>0</v>
      </c>
      <c r="J262" s="58" t="n">
        <v>2119.04</v>
      </c>
      <c r="K262" s="59">
        <f>(F262-D262)/7</f>
        <v/>
      </c>
      <c r="L262" s="59">
        <f>K262^2</f>
        <v/>
      </c>
      <c r="M262" s="14">
        <f>IF(F262&lt;=E262,1,0)</f>
        <v/>
      </c>
      <c r="N262" s="14">
        <f>MAX(0,F262-E262)</f>
        <v/>
      </c>
    </row>
    <row r="263">
      <c r="A263" s="14" t="inlineStr">
        <is>
          <t>PO-00262</t>
        </is>
      </c>
      <c r="B263" s="14" t="inlineStr">
        <is>
          <t>S02</t>
        </is>
      </c>
      <c r="C263" s="14" t="inlineStr">
        <is>
          <t>NB-0011</t>
        </is>
      </c>
      <c r="D263" s="26" t="n">
        <v>45323</v>
      </c>
      <c r="E263" s="26" t="n">
        <v>45344</v>
      </c>
      <c r="F263" s="26" t="n">
        <v>45341</v>
      </c>
      <c r="G263" s="14" t="n">
        <v>55</v>
      </c>
      <c r="H263" s="14" t="n">
        <v>55</v>
      </c>
      <c r="I263" s="14" t="n">
        <v>0</v>
      </c>
      <c r="J263" s="58" t="n">
        <v>2648.8</v>
      </c>
      <c r="K263" s="59">
        <f>(F263-D263)/7</f>
        <v/>
      </c>
      <c r="L263" s="59">
        <f>K263^2</f>
        <v/>
      </c>
      <c r="M263" s="14">
        <f>IF(F263&lt;=E263,1,0)</f>
        <v/>
      </c>
      <c r="N263" s="14">
        <f>MAX(0,F263-E263)</f>
        <v/>
      </c>
    </row>
    <row r="264">
      <c r="A264" s="14" t="inlineStr">
        <is>
          <t>PO-00263</t>
        </is>
      </c>
      <c r="B264" s="14" t="inlineStr">
        <is>
          <t>S02</t>
        </is>
      </c>
      <c r="C264" s="14" t="inlineStr">
        <is>
          <t>NB-0011</t>
        </is>
      </c>
      <c r="D264" s="26" t="n">
        <v>45352</v>
      </c>
      <c r="E264" s="26" t="n">
        <v>45373</v>
      </c>
      <c r="F264" s="26" t="n">
        <v>45372</v>
      </c>
      <c r="G264" s="14" t="n">
        <v>45</v>
      </c>
      <c r="H264" s="14" t="n">
        <v>45</v>
      </c>
      <c r="I264" s="14" t="n">
        <v>0</v>
      </c>
      <c r="J264" s="58" t="n">
        <v>2167.2</v>
      </c>
      <c r="K264" s="59">
        <f>(F264-D264)/7</f>
        <v/>
      </c>
      <c r="L264" s="59">
        <f>K264^2</f>
        <v/>
      </c>
      <c r="M264" s="14">
        <f>IF(F264&lt;=E264,1,0)</f>
        <v/>
      </c>
      <c r="N264" s="14">
        <f>MAX(0,F264-E264)</f>
        <v/>
      </c>
    </row>
    <row r="265">
      <c r="A265" s="14" t="inlineStr">
        <is>
          <t>PO-00264</t>
        </is>
      </c>
      <c r="B265" s="14" t="inlineStr">
        <is>
          <t>S02</t>
        </is>
      </c>
      <c r="C265" s="14" t="inlineStr">
        <is>
          <t>NB-0011</t>
        </is>
      </c>
      <c r="D265" s="26" t="n">
        <v>45380</v>
      </c>
      <c r="E265" s="26" t="n">
        <v>45401</v>
      </c>
      <c r="F265" s="26" t="n">
        <v>45401</v>
      </c>
      <c r="G265" s="14" t="n">
        <v>62</v>
      </c>
      <c r="H265" s="14" t="n">
        <v>62</v>
      </c>
      <c r="I265" s="14" t="n">
        <v>0</v>
      </c>
      <c r="J265" s="58" t="n">
        <v>2985.92</v>
      </c>
      <c r="K265" s="59">
        <f>(F265-D265)/7</f>
        <v/>
      </c>
      <c r="L265" s="59">
        <f>K265^2</f>
        <v/>
      </c>
      <c r="M265" s="14">
        <f>IF(F265&lt;=E265,1,0)</f>
        <v/>
      </c>
      <c r="N265" s="14">
        <f>MAX(0,F265-E265)</f>
        <v/>
      </c>
    </row>
    <row r="266">
      <c r="A266" s="14" t="inlineStr">
        <is>
          <t>PO-00265</t>
        </is>
      </c>
      <c r="B266" s="14" t="inlineStr">
        <is>
          <t>S02</t>
        </is>
      </c>
      <c r="C266" s="14" t="inlineStr">
        <is>
          <t>NB-0011</t>
        </is>
      </c>
      <c r="D266" s="26" t="n">
        <v>45405</v>
      </c>
      <c r="E266" s="26" t="n">
        <v>45426</v>
      </c>
      <c r="F266" s="26" t="n">
        <v>45424</v>
      </c>
      <c r="G266" s="14" t="n">
        <v>48</v>
      </c>
      <c r="H266" s="14" t="n">
        <v>48</v>
      </c>
      <c r="I266" s="14" t="n">
        <v>2</v>
      </c>
      <c r="J266" s="58" t="n">
        <v>2311.68</v>
      </c>
      <c r="K266" s="59">
        <f>(F266-D266)/7</f>
        <v/>
      </c>
      <c r="L266" s="59">
        <f>K266^2</f>
        <v/>
      </c>
      <c r="M266" s="14">
        <f>IF(F266&lt;=E266,1,0)</f>
        <v/>
      </c>
      <c r="N266" s="14">
        <f>MAX(0,F266-E266)</f>
        <v/>
      </c>
    </row>
    <row r="267">
      <c r="A267" s="14" t="inlineStr">
        <is>
          <t>PO-00266</t>
        </is>
      </c>
      <c r="B267" s="14" t="inlineStr">
        <is>
          <t>S02</t>
        </is>
      </c>
      <c r="C267" s="14" t="inlineStr">
        <is>
          <t>NB-0011</t>
        </is>
      </c>
      <c r="D267" s="26" t="n">
        <v>45433</v>
      </c>
      <c r="E267" s="26" t="n">
        <v>45454</v>
      </c>
      <c r="F267" s="26" t="n">
        <v>45453</v>
      </c>
      <c r="G267" s="14" t="n">
        <v>51</v>
      </c>
      <c r="H267" s="14" t="n">
        <v>51</v>
      </c>
      <c r="I267" s="14" t="n">
        <v>0</v>
      </c>
      <c r="J267" s="58" t="n">
        <v>2456.16</v>
      </c>
      <c r="K267" s="59">
        <f>(F267-D267)/7</f>
        <v/>
      </c>
      <c r="L267" s="59">
        <f>K267^2</f>
        <v/>
      </c>
      <c r="M267" s="14">
        <f>IF(F267&lt;=E267,1,0)</f>
        <v/>
      </c>
      <c r="N267" s="14">
        <f>MAX(0,F267-E267)</f>
        <v/>
      </c>
    </row>
    <row r="268">
      <c r="A268" s="14" t="inlineStr">
        <is>
          <t>PO-00267</t>
        </is>
      </c>
      <c r="B268" s="14" t="inlineStr">
        <is>
          <t>S02</t>
        </is>
      </c>
      <c r="C268" s="14" t="inlineStr">
        <is>
          <t>NB-0011</t>
        </is>
      </c>
      <c r="D268" s="26" t="n">
        <v>45462</v>
      </c>
      <c r="E268" s="26" t="n">
        <v>45483</v>
      </c>
      <c r="F268" s="26" t="n">
        <v>45481</v>
      </c>
      <c r="G268" s="14" t="n">
        <v>48</v>
      </c>
      <c r="H268" s="14" t="n">
        <v>48</v>
      </c>
      <c r="I268" s="14" t="n">
        <v>0</v>
      </c>
      <c r="J268" s="58" t="n">
        <v>2311.68</v>
      </c>
      <c r="K268" s="59">
        <f>(F268-D268)/7</f>
        <v/>
      </c>
      <c r="L268" s="59">
        <f>K268^2</f>
        <v/>
      </c>
      <c r="M268" s="14">
        <f>IF(F268&lt;=E268,1,0)</f>
        <v/>
      </c>
      <c r="N268" s="14">
        <f>MAX(0,F268-E268)</f>
        <v/>
      </c>
    </row>
    <row r="269">
      <c r="A269" s="14" t="inlineStr">
        <is>
          <t>PO-00268</t>
        </is>
      </c>
      <c r="B269" s="14" t="inlineStr">
        <is>
          <t>S02</t>
        </is>
      </c>
      <c r="C269" s="14" t="inlineStr">
        <is>
          <t>NB-0011</t>
        </is>
      </c>
      <c r="D269" s="26" t="n">
        <v>45489</v>
      </c>
      <c r="E269" s="26" t="n">
        <v>45510</v>
      </c>
      <c r="F269" s="26" t="n">
        <v>45510</v>
      </c>
      <c r="G269" s="14" t="n">
        <v>60</v>
      </c>
      <c r="H269" s="14" t="n">
        <v>60</v>
      </c>
      <c r="I269" s="14" t="n">
        <v>0</v>
      </c>
      <c r="J269" s="58" t="n">
        <v>2889.6</v>
      </c>
      <c r="K269" s="59">
        <f>(F269-D269)/7</f>
        <v/>
      </c>
      <c r="L269" s="59">
        <f>K269^2</f>
        <v/>
      </c>
      <c r="M269" s="14">
        <f>IF(F269&lt;=E269,1,0)</f>
        <v/>
      </c>
      <c r="N269" s="14">
        <f>MAX(0,F269-E269)</f>
        <v/>
      </c>
    </row>
    <row r="270">
      <c r="A270" s="14" t="inlineStr">
        <is>
          <t>PO-00269</t>
        </is>
      </c>
      <c r="B270" s="14" t="inlineStr">
        <is>
          <t>S02</t>
        </is>
      </c>
      <c r="C270" s="14" t="inlineStr">
        <is>
          <t>NB-0011</t>
        </is>
      </c>
      <c r="D270" s="26" t="n">
        <v>45517</v>
      </c>
      <c r="E270" s="26" t="n">
        <v>45538</v>
      </c>
      <c r="F270" s="26" t="n">
        <v>45537</v>
      </c>
      <c r="G270" s="14" t="n">
        <v>53</v>
      </c>
      <c r="H270" s="14" t="n">
        <v>53</v>
      </c>
      <c r="I270" s="14" t="n">
        <v>0</v>
      </c>
      <c r="J270" s="58" t="n">
        <v>2552.48</v>
      </c>
      <c r="K270" s="59">
        <f>(F270-D270)/7</f>
        <v/>
      </c>
      <c r="L270" s="59">
        <f>K270^2</f>
        <v/>
      </c>
      <c r="M270" s="14">
        <f>IF(F270&lt;=E270,1,0)</f>
        <v/>
      </c>
      <c r="N270" s="14">
        <f>MAX(0,F270-E270)</f>
        <v/>
      </c>
    </row>
    <row r="271">
      <c r="A271" s="14" t="inlineStr">
        <is>
          <t>PO-00270</t>
        </is>
      </c>
      <c r="B271" s="14" t="inlineStr">
        <is>
          <t>S02</t>
        </is>
      </c>
      <c r="C271" s="14" t="inlineStr">
        <is>
          <t>NB-0011</t>
        </is>
      </c>
      <c r="D271" s="26" t="n">
        <v>45547</v>
      </c>
      <c r="E271" s="26" t="n">
        <v>45568</v>
      </c>
      <c r="F271" s="26" t="n">
        <v>45568</v>
      </c>
      <c r="G271" s="14" t="n">
        <v>54</v>
      </c>
      <c r="H271" s="14" t="n">
        <v>54</v>
      </c>
      <c r="I271" s="14" t="n">
        <v>0</v>
      </c>
      <c r="J271" s="58" t="n">
        <v>2600.64</v>
      </c>
      <c r="K271" s="59">
        <f>(F271-D271)/7</f>
        <v/>
      </c>
      <c r="L271" s="59">
        <f>K271^2</f>
        <v/>
      </c>
      <c r="M271" s="14">
        <f>IF(F271&lt;=E271,1,0)</f>
        <v/>
      </c>
      <c r="N271" s="14">
        <f>MAX(0,F271-E271)</f>
        <v/>
      </c>
    </row>
    <row r="272">
      <c r="A272" s="14" t="inlineStr">
        <is>
          <t>PO-00271</t>
        </is>
      </c>
      <c r="B272" s="14" t="inlineStr">
        <is>
          <t>S02</t>
        </is>
      </c>
      <c r="C272" s="14" t="inlineStr">
        <is>
          <t>NB-0011</t>
        </is>
      </c>
      <c r="D272" s="26" t="n">
        <v>45573</v>
      </c>
      <c r="E272" s="26" t="n">
        <v>45594</v>
      </c>
      <c r="F272" s="26" t="n">
        <v>45592</v>
      </c>
      <c r="G272" s="14" t="n">
        <v>44</v>
      </c>
      <c r="H272" s="14" t="n">
        <v>44</v>
      </c>
      <c r="I272" s="14" t="n">
        <v>0</v>
      </c>
      <c r="J272" s="58" t="n">
        <v>2119.04</v>
      </c>
      <c r="K272" s="59">
        <f>(F272-D272)/7</f>
        <v/>
      </c>
      <c r="L272" s="59">
        <f>K272^2</f>
        <v/>
      </c>
      <c r="M272" s="14">
        <f>IF(F272&lt;=E272,1,0)</f>
        <v/>
      </c>
      <c r="N272" s="14">
        <f>MAX(0,F272-E272)</f>
        <v/>
      </c>
    </row>
    <row r="273">
      <c r="A273" s="14" t="inlineStr">
        <is>
          <t>PO-00272</t>
        </is>
      </c>
      <c r="B273" s="14" t="inlineStr">
        <is>
          <t>S02</t>
        </is>
      </c>
      <c r="C273" s="14" t="inlineStr">
        <is>
          <t>NB-0011</t>
        </is>
      </c>
      <c r="D273" s="26" t="n">
        <v>45603</v>
      </c>
      <c r="E273" s="26" t="n">
        <v>45624</v>
      </c>
      <c r="F273" s="26" t="n">
        <v>45624</v>
      </c>
      <c r="G273" s="14" t="n">
        <v>56</v>
      </c>
      <c r="H273" s="14" t="n">
        <v>56</v>
      </c>
      <c r="I273" s="14" t="n">
        <v>2</v>
      </c>
      <c r="J273" s="58" t="n">
        <v>2696.96</v>
      </c>
      <c r="K273" s="59">
        <f>(F273-D273)/7</f>
        <v/>
      </c>
      <c r="L273" s="59">
        <f>K273^2</f>
        <v/>
      </c>
      <c r="M273" s="14">
        <f>IF(F273&lt;=E273,1,0)</f>
        <v/>
      </c>
      <c r="N273" s="14">
        <f>MAX(0,F273-E273)</f>
        <v/>
      </c>
    </row>
    <row r="274">
      <c r="A274" s="14" t="inlineStr">
        <is>
          <t>PO-00273</t>
        </is>
      </c>
      <c r="B274" s="14" t="inlineStr">
        <is>
          <t>S02</t>
        </is>
      </c>
      <c r="C274" s="14" t="inlineStr">
        <is>
          <t>NB-0011</t>
        </is>
      </c>
      <c r="D274" s="26" t="n">
        <v>45632</v>
      </c>
      <c r="E274" s="26" t="n">
        <v>45653</v>
      </c>
      <c r="F274" s="26" t="n">
        <v>45650</v>
      </c>
      <c r="G274" s="14" t="n">
        <v>52</v>
      </c>
      <c r="H274" s="14" t="n">
        <v>52</v>
      </c>
      <c r="I274" s="14" t="n">
        <v>0</v>
      </c>
      <c r="J274" s="58" t="n">
        <v>2504.32</v>
      </c>
      <c r="K274" s="59">
        <f>(F274-D274)/7</f>
        <v/>
      </c>
      <c r="L274" s="59">
        <f>K274^2</f>
        <v/>
      </c>
      <c r="M274" s="14">
        <f>IF(F274&lt;=E274,1,0)</f>
        <v/>
      </c>
      <c r="N274" s="14">
        <f>MAX(0,F274-E274)</f>
        <v/>
      </c>
    </row>
    <row r="275">
      <c r="A275" s="14" t="inlineStr">
        <is>
          <t>PO-00274</t>
        </is>
      </c>
      <c r="B275" s="14" t="inlineStr">
        <is>
          <t>S02</t>
        </is>
      </c>
      <c r="C275" s="14" t="inlineStr">
        <is>
          <t>NB-0011</t>
        </is>
      </c>
      <c r="D275" s="26" t="n">
        <v>45659</v>
      </c>
      <c r="E275" s="26" t="n">
        <v>45680</v>
      </c>
      <c r="F275" s="26" t="n">
        <v>45677</v>
      </c>
      <c r="G275" s="14" t="n">
        <v>50</v>
      </c>
      <c r="H275" s="14" t="n">
        <v>50</v>
      </c>
      <c r="I275" s="14" t="n">
        <v>0</v>
      </c>
      <c r="J275" s="58" t="n">
        <v>2408</v>
      </c>
      <c r="K275" s="59">
        <f>(F275-D275)/7</f>
        <v/>
      </c>
      <c r="L275" s="59">
        <f>K275^2</f>
        <v/>
      </c>
      <c r="M275" s="14">
        <f>IF(F275&lt;=E275,1,0)</f>
        <v/>
      </c>
      <c r="N275" s="14">
        <f>MAX(0,F275-E275)</f>
        <v/>
      </c>
    </row>
    <row r="276">
      <c r="A276" s="14" t="inlineStr">
        <is>
          <t>PO-00275</t>
        </is>
      </c>
      <c r="B276" s="14" t="inlineStr">
        <is>
          <t>S02</t>
        </is>
      </c>
      <c r="C276" s="14" t="inlineStr">
        <is>
          <t>NB-0011</t>
        </is>
      </c>
      <c r="D276" s="26" t="n">
        <v>45685</v>
      </c>
      <c r="E276" s="26" t="n">
        <v>45706</v>
      </c>
      <c r="F276" s="26" t="n">
        <v>45703</v>
      </c>
      <c r="G276" s="14" t="n">
        <v>61</v>
      </c>
      <c r="H276" s="14" t="n">
        <v>61</v>
      </c>
      <c r="I276" s="14" t="n">
        <v>0</v>
      </c>
      <c r="J276" s="58" t="n">
        <v>2937.76</v>
      </c>
      <c r="K276" s="59">
        <f>(F276-D276)/7</f>
        <v/>
      </c>
      <c r="L276" s="59">
        <f>K276^2</f>
        <v/>
      </c>
      <c r="M276" s="14">
        <f>IF(F276&lt;=E276,1,0)</f>
        <v/>
      </c>
      <c r="N276" s="14">
        <f>MAX(0,F276-E276)</f>
        <v/>
      </c>
    </row>
    <row r="277">
      <c r="A277" s="14" t="inlineStr">
        <is>
          <t>PO-00276</t>
        </is>
      </c>
      <c r="B277" s="14" t="inlineStr">
        <is>
          <t>S02</t>
        </is>
      </c>
      <c r="C277" s="14" t="inlineStr">
        <is>
          <t>NB-0011</t>
        </is>
      </c>
      <c r="D277" s="26" t="n">
        <v>45715</v>
      </c>
      <c r="E277" s="26" t="n">
        <v>45736</v>
      </c>
      <c r="F277" s="26" t="n">
        <v>45733</v>
      </c>
      <c r="G277" s="14" t="n">
        <v>53</v>
      </c>
      <c r="H277" s="14" t="n">
        <v>53</v>
      </c>
      <c r="I277" s="14" t="n">
        <v>1</v>
      </c>
      <c r="J277" s="58" t="n">
        <v>2552.48</v>
      </c>
      <c r="K277" s="59">
        <f>(F277-D277)/7</f>
        <v/>
      </c>
      <c r="L277" s="59">
        <f>K277^2</f>
        <v/>
      </c>
      <c r="M277" s="14">
        <f>IF(F277&lt;=E277,1,0)</f>
        <v/>
      </c>
      <c r="N277" s="14">
        <f>MAX(0,F277-E277)</f>
        <v/>
      </c>
    </row>
    <row r="278">
      <c r="A278" s="14" t="inlineStr">
        <is>
          <t>PO-00277</t>
        </is>
      </c>
      <c r="B278" s="14" t="inlineStr">
        <is>
          <t>S02</t>
        </is>
      </c>
      <c r="C278" s="14" t="inlineStr">
        <is>
          <t>NB-0011</t>
        </is>
      </c>
      <c r="D278" s="26" t="n">
        <v>45741</v>
      </c>
      <c r="E278" s="26" t="n">
        <v>45762</v>
      </c>
      <c r="F278" s="26" t="n">
        <v>45759</v>
      </c>
      <c r="G278" s="14" t="n">
        <v>57</v>
      </c>
      <c r="H278" s="14" t="n">
        <v>57</v>
      </c>
      <c r="I278" s="14" t="n">
        <v>1</v>
      </c>
      <c r="J278" s="58" t="n">
        <v>2745.12</v>
      </c>
      <c r="K278" s="59">
        <f>(F278-D278)/7</f>
        <v/>
      </c>
      <c r="L278" s="59">
        <f>K278^2</f>
        <v/>
      </c>
      <c r="M278" s="14">
        <f>IF(F278&lt;=E278,1,0)</f>
        <v/>
      </c>
      <c r="N278" s="14">
        <f>MAX(0,F278-E278)</f>
        <v/>
      </c>
    </row>
    <row r="279">
      <c r="A279" s="14" t="inlineStr">
        <is>
          <t>PO-00278</t>
        </is>
      </c>
      <c r="B279" s="14" t="inlineStr">
        <is>
          <t>S02</t>
        </is>
      </c>
      <c r="C279" s="14" t="inlineStr">
        <is>
          <t>NB-0011</t>
        </is>
      </c>
      <c r="D279" s="26" t="n">
        <v>45772</v>
      </c>
      <c r="E279" s="26" t="n">
        <v>45793</v>
      </c>
      <c r="F279" s="26" t="n">
        <v>45792</v>
      </c>
      <c r="G279" s="14" t="n">
        <v>55</v>
      </c>
      <c r="H279" s="14" t="n">
        <v>55</v>
      </c>
      <c r="I279" s="14" t="n">
        <v>1</v>
      </c>
      <c r="J279" s="58" t="n">
        <v>2648.8</v>
      </c>
      <c r="K279" s="59">
        <f>(F279-D279)/7</f>
        <v/>
      </c>
      <c r="L279" s="59">
        <f>K279^2</f>
        <v/>
      </c>
      <c r="M279" s="14">
        <f>IF(F279&lt;=E279,1,0)</f>
        <v/>
      </c>
      <c r="N279" s="14">
        <f>MAX(0,F279-E279)</f>
        <v/>
      </c>
    </row>
    <row r="280">
      <c r="A280" s="14" t="inlineStr">
        <is>
          <t>PO-00279</t>
        </is>
      </c>
      <c r="B280" s="14" t="inlineStr">
        <is>
          <t>S02</t>
        </is>
      </c>
      <c r="C280" s="14" t="inlineStr">
        <is>
          <t>NB-0011</t>
        </is>
      </c>
      <c r="D280" s="26" t="n">
        <v>45799</v>
      </c>
      <c r="E280" s="26" t="n">
        <v>45820</v>
      </c>
      <c r="F280" s="26" t="n">
        <v>45820</v>
      </c>
      <c r="G280" s="14" t="n">
        <v>50</v>
      </c>
      <c r="H280" s="14" t="n">
        <v>50</v>
      </c>
      <c r="I280" s="14" t="n">
        <v>1</v>
      </c>
      <c r="J280" s="58" t="n">
        <v>2408</v>
      </c>
      <c r="K280" s="59">
        <f>(F280-D280)/7</f>
        <v/>
      </c>
      <c r="L280" s="59">
        <f>K280^2</f>
        <v/>
      </c>
      <c r="M280" s="14">
        <f>IF(F280&lt;=E280,1,0)</f>
        <v/>
      </c>
      <c r="N280" s="14">
        <f>MAX(0,F280-E280)</f>
        <v/>
      </c>
    </row>
    <row r="281">
      <c r="A281" s="14" t="inlineStr">
        <is>
          <t>PO-00280</t>
        </is>
      </c>
      <c r="B281" s="14" t="inlineStr">
        <is>
          <t>S02</t>
        </is>
      </c>
      <c r="C281" s="14" t="inlineStr">
        <is>
          <t>NB-0011</t>
        </is>
      </c>
      <c r="D281" s="26" t="n">
        <v>45825</v>
      </c>
      <c r="E281" s="26" t="n">
        <v>45846</v>
      </c>
      <c r="F281" s="26" t="n">
        <v>45845</v>
      </c>
      <c r="G281" s="14" t="n">
        <v>58</v>
      </c>
      <c r="H281" s="14" t="n">
        <v>58</v>
      </c>
      <c r="I281" s="14" t="n">
        <v>0</v>
      </c>
      <c r="J281" s="58" t="n">
        <v>2793.28</v>
      </c>
      <c r="K281" s="59">
        <f>(F281-D281)/7</f>
        <v/>
      </c>
      <c r="L281" s="59">
        <f>K281^2</f>
        <v/>
      </c>
      <c r="M281" s="14">
        <f>IF(F281&lt;=E281,1,0)</f>
        <v/>
      </c>
      <c r="N281" s="14">
        <f>MAX(0,F281-E281)</f>
        <v/>
      </c>
    </row>
    <row r="282">
      <c r="A282" s="14" t="inlineStr">
        <is>
          <t>PO-00281</t>
        </is>
      </c>
      <c r="B282" s="14" t="inlineStr">
        <is>
          <t>S02</t>
        </is>
      </c>
      <c r="C282" s="14" t="inlineStr">
        <is>
          <t>NB-0011</t>
        </is>
      </c>
      <c r="D282" s="26" t="n">
        <v>45854</v>
      </c>
      <c r="E282" s="26" t="n">
        <v>45875</v>
      </c>
      <c r="F282" s="26" t="n">
        <v>45875</v>
      </c>
      <c r="G282" s="14" t="n">
        <v>49</v>
      </c>
      <c r="H282" s="14" t="n">
        <v>49</v>
      </c>
      <c r="I282" s="14" t="n">
        <v>0</v>
      </c>
      <c r="J282" s="58" t="n">
        <v>2359.84</v>
      </c>
      <c r="K282" s="59">
        <f>(F282-D282)/7</f>
        <v/>
      </c>
      <c r="L282" s="59">
        <f>K282^2</f>
        <v/>
      </c>
      <c r="M282" s="14">
        <f>IF(F282&lt;=E282,1,0)</f>
        <v/>
      </c>
      <c r="N282" s="14">
        <f>MAX(0,F282-E282)</f>
        <v/>
      </c>
    </row>
    <row r="283">
      <c r="A283" s="14" t="inlineStr">
        <is>
          <t>PO-00282</t>
        </is>
      </c>
      <c r="B283" s="14" t="inlineStr">
        <is>
          <t>S02</t>
        </is>
      </c>
      <c r="C283" s="14" t="inlineStr">
        <is>
          <t>NB-0011</t>
        </is>
      </c>
      <c r="D283" s="26" t="n">
        <v>45881</v>
      </c>
      <c r="E283" s="26" t="n">
        <v>45902</v>
      </c>
      <c r="F283" s="26" t="n">
        <v>45901</v>
      </c>
      <c r="G283" s="14" t="n">
        <v>57</v>
      </c>
      <c r="H283" s="14" t="n">
        <v>57</v>
      </c>
      <c r="I283" s="14" t="n">
        <v>0</v>
      </c>
      <c r="J283" s="58" t="n">
        <v>2745.12</v>
      </c>
      <c r="K283" s="59">
        <f>(F283-D283)/7</f>
        <v/>
      </c>
      <c r="L283" s="59">
        <f>K283^2</f>
        <v/>
      </c>
      <c r="M283" s="14">
        <f>IF(F283&lt;=E283,1,0)</f>
        <v/>
      </c>
      <c r="N283" s="14">
        <f>MAX(0,F283-E283)</f>
        <v/>
      </c>
    </row>
    <row r="284">
      <c r="A284" s="14" t="inlineStr">
        <is>
          <t>PO-00283</t>
        </is>
      </c>
      <c r="B284" s="14" t="inlineStr">
        <is>
          <t>S02</t>
        </is>
      </c>
      <c r="C284" s="14" t="inlineStr">
        <is>
          <t>NB-0011</t>
        </is>
      </c>
      <c r="D284" s="26" t="n">
        <v>45911</v>
      </c>
      <c r="E284" s="26" t="n">
        <v>45932</v>
      </c>
      <c r="F284" s="26" t="n">
        <v>45930</v>
      </c>
      <c r="G284" s="14" t="n">
        <v>60</v>
      </c>
      <c r="H284" s="14" t="n">
        <v>60</v>
      </c>
      <c r="I284" s="14" t="n">
        <v>1</v>
      </c>
      <c r="J284" s="58" t="n">
        <v>2889.6</v>
      </c>
      <c r="K284" s="59">
        <f>(F284-D284)/7</f>
        <v/>
      </c>
      <c r="L284" s="59">
        <f>K284^2</f>
        <v/>
      </c>
      <c r="M284" s="14">
        <f>IF(F284&lt;=E284,1,0)</f>
        <v/>
      </c>
      <c r="N284" s="14">
        <f>MAX(0,F284-E284)</f>
        <v/>
      </c>
    </row>
    <row r="285">
      <c r="A285" s="14" t="inlineStr">
        <is>
          <t>PO-00284</t>
        </is>
      </c>
      <c r="B285" s="14" t="inlineStr">
        <is>
          <t>S02</t>
        </is>
      </c>
      <c r="C285" s="14" t="inlineStr">
        <is>
          <t>NB-0011</t>
        </is>
      </c>
      <c r="D285" s="26" t="n">
        <v>45936</v>
      </c>
      <c r="E285" s="26" t="n">
        <v>45957</v>
      </c>
      <c r="F285" s="26" t="n">
        <v>45956</v>
      </c>
      <c r="G285" s="14" t="n">
        <v>53</v>
      </c>
      <c r="H285" s="14" t="n">
        <v>53</v>
      </c>
      <c r="I285" s="14" t="n">
        <v>1</v>
      </c>
      <c r="J285" s="58" t="n">
        <v>2552.48</v>
      </c>
      <c r="K285" s="59">
        <f>(F285-D285)/7</f>
        <v/>
      </c>
      <c r="L285" s="59">
        <f>K285^2</f>
        <v/>
      </c>
      <c r="M285" s="14">
        <f>IF(F285&lt;=E285,1,0)</f>
        <v/>
      </c>
      <c r="N285" s="14">
        <f>MAX(0,F285-E285)</f>
        <v/>
      </c>
    </row>
    <row r="286">
      <c r="A286" s="14" t="inlineStr">
        <is>
          <t>PO-00285</t>
        </is>
      </c>
      <c r="B286" s="14" t="inlineStr">
        <is>
          <t>S02</t>
        </is>
      </c>
      <c r="C286" s="14" t="inlineStr">
        <is>
          <t>NB-0011</t>
        </is>
      </c>
      <c r="D286" s="26" t="n">
        <v>45966</v>
      </c>
      <c r="E286" s="26" t="n">
        <v>45987</v>
      </c>
      <c r="F286" s="26" t="n">
        <v>45984</v>
      </c>
      <c r="G286" s="14" t="n">
        <v>57</v>
      </c>
      <c r="H286" s="14" t="n">
        <v>57</v>
      </c>
      <c r="I286" s="14" t="n">
        <v>0</v>
      </c>
      <c r="J286" s="58" t="n">
        <v>2745.12</v>
      </c>
      <c r="K286" s="59">
        <f>(F286-D286)/7</f>
        <v/>
      </c>
      <c r="L286" s="59">
        <f>K286^2</f>
        <v/>
      </c>
      <c r="M286" s="14">
        <f>IF(F286&lt;=E286,1,0)</f>
        <v/>
      </c>
      <c r="N286" s="14">
        <f>MAX(0,F286-E286)</f>
        <v/>
      </c>
    </row>
    <row r="287">
      <c r="A287" s="14" t="inlineStr">
        <is>
          <t>PO-00286</t>
        </is>
      </c>
      <c r="B287" s="14" t="inlineStr">
        <is>
          <t>S02</t>
        </is>
      </c>
      <c r="C287" s="14" t="inlineStr">
        <is>
          <t>NB-0011</t>
        </is>
      </c>
      <c r="D287" s="26" t="n">
        <v>45995</v>
      </c>
      <c r="E287" s="26" t="n">
        <v>46016</v>
      </c>
      <c r="F287" s="26" t="n">
        <v>46013</v>
      </c>
      <c r="G287" s="14" t="n">
        <v>61</v>
      </c>
      <c r="H287" s="14" t="n">
        <v>61</v>
      </c>
      <c r="I287" s="14" t="n">
        <v>0</v>
      </c>
      <c r="J287" s="58" t="n">
        <v>2937.76</v>
      </c>
      <c r="K287" s="59">
        <f>(F287-D287)/7</f>
        <v/>
      </c>
      <c r="L287" s="59">
        <f>K287^2</f>
        <v/>
      </c>
      <c r="M287" s="14">
        <f>IF(F287&lt;=E287,1,0)</f>
        <v/>
      </c>
      <c r="N287" s="14">
        <f>MAX(0,F287-E287)</f>
        <v/>
      </c>
    </row>
    <row r="288">
      <c r="A288" s="14" t="inlineStr">
        <is>
          <t>PO-00287</t>
        </is>
      </c>
      <c r="B288" s="14" t="inlineStr">
        <is>
          <t>S02</t>
        </is>
      </c>
      <c r="C288" s="14" t="inlineStr">
        <is>
          <t>NB-0012</t>
        </is>
      </c>
      <c r="D288" s="26" t="n">
        <v>45295</v>
      </c>
      <c r="E288" s="26" t="n">
        <v>45316</v>
      </c>
      <c r="F288" s="26" t="n">
        <v>45316</v>
      </c>
      <c r="G288" s="14" t="n">
        <v>15</v>
      </c>
      <c r="H288" s="14" t="n">
        <v>15</v>
      </c>
      <c r="I288" s="14" t="n">
        <v>0</v>
      </c>
      <c r="J288" s="58" t="n">
        <v>471.6</v>
      </c>
      <c r="K288" s="59">
        <f>(F288-D288)/7</f>
        <v/>
      </c>
      <c r="L288" s="59">
        <f>K288^2</f>
        <v/>
      </c>
      <c r="M288" s="14">
        <f>IF(F288&lt;=E288,1,0)</f>
        <v/>
      </c>
      <c r="N288" s="14">
        <f>MAX(0,F288-E288)</f>
        <v/>
      </c>
    </row>
    <row r="289">
      <c r="A289" s="14" t="inlineStr">
        <is>
          <t>PO-00288</t>
        </is>
      </c>
      <c r="B289" s="14" t="inlineStr">
        <is>
          <t>S02</t>
        </is>
      </c>
      <c r="C289" s="14" t="inlineStr">
        <is>
          <t>NB-0012</t>
        </is>
      </c>
      <c r="D289" s="26" t="n">
        <v>45321</v>
      </c>
      <c r="E289" s="26" t="n">
        <v>45342</v>
      </c>
      <c r="F289" s="26" t="n">
        <v>45341</v>
      </c>
      <c r="G289" s="14" t="n">
        <v>14</v>
      </c>
      <c r="H289" s="14" t="n">
        <v>14</v>
      </c>
      <c r="I289" s="14" t="n">
        <v>0</v>
      </c>
      <c r="J289" s="58" t="n">
        <v>440.16</v>
      </c>
      <c r="K289" s="59">
        <f>(F289-D289)/7</f>
        <v/>
      </c>
      <c r="L289" s="59">
        <f>K289^2</f>
        <v/>
      </c>
      <c r="M289" s="14">
        <f>IF(F289&lt;=E289,1,0)</f>
        <v/>
      </c>
      <c r="N289" s="14">
        <f>MAX(0,F289-E289)</f>
        <v/>
      </c>
    </row>
    <row r="290">
      <c r="A290" s="14" t="inlineStr">
        <is>
          <t>PO-00289</t>
        </is>
      </c>
      <c r="B290" s="14" t="inlineStr">
        <is>
          <t>S02</t>
        </is>
      </c>
      <c r="C290" s="14" t="inlineStr">
        <is>
          <t>NB-0012</t>
        </is>
      </c>
      <c r="D290" s="26" t="n">
        <v>45349</v>
      </c>
      <c r="E290" s="26" t="n">
        <v>45370</v>
      </c>
      <c r="F290" s="26" t="n">
        <v>45368</v>
      </c>
      <c r="G290" s="14" t="n">
        <v>16</v>
      </c>
      <c r="H290" s="14" t="n">
        <v>16</v>
      </c>
      <c r="I290" s="14" t="n">
        <v>0</v>
      </c>
      <c r="J290" s="58" t="n">
        <v>503.04</v>
      </c>
      <c r="K290" s="59">
        <f>(F290-D290)/7</f>
        <v/>
      </c>
      <c r="L290" s="59">
        <f>K290^2</f>
        <v/>
      </c>
      <c r="M290" s="14">
        <f>IF(F290&lt;=E290,1,0)</f>
        <v/>
      </c>
      <c r="N290" s="14">
        <f>MAX(0,F290-E290)</f>
        <v/>
      </c>
    </row>
    <row r="291">
      <c r="A291" s="14" t="inlineStr">
        <is>
          <t>PO-00290</t>
        </is>
      </c>
      <c r="B291" s="14" t="inlineStr">
        <is>
          <t>S02</t>
        </is>
      </c>
      <c r="C291" s="14" t="inlineStr">
        <is>
          <t>NB-0012</t>
        </is>
      </c>
      <c r="D291" s="26" t="n">
        <v>45378</v>
      </c>
      <c r="E291" s="26" t="n">
        <v>45399</v>
      </c>
      <c r="F291" s="26" t="n">
        <v>45396</v>
      </c>
      <c r="G291" s="14" t="n">
        <v>15</v>
      </c>
      <c r="H291" s="14" t="n">
        <v>15</v>
      </c>
      <c r="I291" s="14" t="n">
        <v>0</v>
      </c>
      <c r="J291" s="58" t="n">
        <v>471.6</v>
      </c>
      <c r="K291" s="59">
        <f>(F291-D291)/7</f>
        <v/>
      </c>
      <c r="L291" s="59">
        <f>K291^2</f>
        <v/>
      </c>
      <c r="M291" s="14">
        <f>IF(F291&lt;=E291,1,0)</f>
        <v/>
      </c>
      <c r="N291" s="14">
        <f>MAX(0,F291-E291)</f>
        <v/>
      </c>
    </row>
    <row r="292">
      <c r="A292" s="14" t="inlineStr">
        <is>
          <t>PO-00291</t>
        </is>
      </c>
      <c r="B292" s="14" t="inlineStr">
        <is>
          <t>S02</t>
        </is>
      </c>
      <c r="C292" s="14" t="inlineStr">
        <is>
          <t>NB-0012</t>
        </is>
      </c>
      <c r="D292" s="26" t="n">
        <v>45408</v>
      </c>
      <c r="E292" s="26" t="n">
        <v>45429</v>
      </c>
      <c r="F292" s="26" t="n">
        <v>45426</v>
      </c>
      <c r="G292" s="14" t="n">
        <v>18</v>
      </c>
      <c r="H292" s="14" t="n">
        <v>18</v>
      </c>
      <c r="I292" s="14" t="n">
        <v>1</v>
      </c>
      <c r="J292" s="58" t="n">
        <v>565.92</v>
      </c>
      <c r="K292" s="59">
        <f>(F292-D292)/7</f>
        <v/>
      </c>
      <c r="L292" s="59">
        <f>K292^2</f>
        <v/>
      </c>
      <c r="M292" s="14">
        <f>IF(F292&lt;=E292,1,0)</f>
        <v/>
      </c>
      <c r="N292" s="14">
        <f>MAX(0,F292-E292)</f>
        <v/>
      </c>
    </row>
    <row r="293">
      <c r="A293" s="14" t="inlineStr">
        <is>
          <t>PO-00292</t>
        </is>
      </c>
      <c r="B293" s="14" t="inlineStr">
        <is>
          <t>S02</t>
        </is>
      </c>
      <c r="C293" s="14" t="inlineStr">
        <is>
          <t>NB-0012</t>
        </is>
      </c>
      <c r="D293" s="26" t="n">
        <v>45435</v>
      </c>
      <c r="E293" s="26" t="n">
        <v>45456</v>
      </c>
      <c r="F293" s="26" t="n">
        <v>45455</v>
      </c>
      <c r="G293" s="14" t="n">
        <v>18</v>
      </c>
      <c r="H293" s="14" t="n">
        <v>18</v>
      </c>
      <c r="I293" s="14" t="n">
        <v>0</v>
      </c>
      <c r="J293" s="58" t="n">
        <v>565.92</v>
      </c>
      <c r="K293" s="59">
        <f>(F293-D293)/7</f>
        <v/>
      </c>
      <c r="L293" s="59">
        <f>K293^2</f>
        <v/>
      </c>
      <c r="M293" s="14">
        <f>IF(F293&lt;=E293,1,0)</f>
        <v/>
      </c>
      <c r="N293" s="14">
        <f>MAX(0,F293-E293)</f>
        <v/>
      </c>
    </row>
    <row r="294">
      <c r="A294" s="14" t="inlineStr">
        <is>
          <t>PO-00293</t>
        </is>
      </c>
      <c r="B294" s="14" t="inlineStr">
        <is>
          <t>S02</t>
        </is>
      </c>
      <c r="C294" s="14" t="inlineStr">
        <is>
          <t>NB-0012</t>
        </is>
      </c>
      <c r="D294" s="26" t="n">
        <v>45463</v>
      </c>
      <c r="E294" s="26" t="n">
        <v>45484</v>
      </c>
      <c r="F294" s="26" t="n">
        <v>45484</v>
      </c>
      <c r="G294" s="14" t="n">
        <v>16</v>
      </c>
      <c r="H294" s="14" t="n">
        <v>16</v>
      </c>
      <c r="I294" s="14" t="n">
        <v>0</v>
      </c>
      <c r="J294" s="58" t="n">
        <v>503.04</v>
      </c>
      <c r="K294" s="59">
        <f>(F294-D294)/7</f>
        <v/>
      </c>
      <c r="L294" s="59">
        <f>K294^2</f>
        <v/>
      </c>
      <c r="M294" s="14">
        <f>IF(F294&lt;=E294,1,0)</f>
        <v/>
      </c>
      <c r="N294" s="14">
        <f>MAX(0,F294-E294)</f>
        <v/>
      </c>
    </row>
    <row r="295">
      <c r="A295" s="14" t="inlineStr">
        <is>
          <t>PO-00294</t>
        </is>
      </c>
      <c r="B295" s="14" t="inlineStr">
        <is>
          <t>S02</t>
        </is>
      </c>
      <c r="C295" s="14" t="inlineStr">
        <is>
          <t>NB-0012</t>
        </is>
      </c>
      <c r="D295" s="26" t="n">
        <v>45488</v>
      </c>
      <c r="E295" s="26" t="n">
        <v>45509</v>
      </c>
      <c r="F295" s="26" t="n">
        <v>45508</v>
      </c>
      <c r="G295" s="14" t="n">
        <v>15</v>
      </c>
      <c r="H295" s="14" t="n">
        <v>15</v>
      </c>
      <c r="I295" s="14" t="n">
        <v>0</v>
      </c>
      <c r="J295" s="58" t="n">
        <v>471.6</v>
      </c>
      <c r="K295" s="59">
        <f>(F295-D295)/7</f>
        <v/>
      </c>
      <c r="L295" s="59">
        <f>K295^2</f>
        <v/>
      </c>
      <c r="M295" s="14">
        <f>IF(F295&lt;=E295,1,0)</f>
        <v/>
      </c>
      <c r="N295" s="14">
        <f>MAX(0,F295-E295)</f>
        <v/>
      </c>
    </row>
    <row r="296">
      <c r="A296" s="14" t="inlineStr">
        <is>
          <t>PO-00295</t>
        </is>
      </c>
      <c r="B296" s="14" t="inlineStr">
        <is>
          <t>S02</t>
        </is>
      </c>
      <c r="C296" s="14" t="inlineStr">
        <is>
          <t>NB-0012</t>
        </is>
      </c>
      <c r="D296" s="26" t="n">
        <v>45518</v>
      </c>
      <c r="E296" s="26" t="n">
        <v>45539</v>
      </c>
      <c r="F296" s="26" t="n">
        <v>45536</v>
      </c>
      <c r="G296" s="14" t="n">
        <v>17</v>
      </c>
      <c r="H296" s="14" t="n">
        <v>17</v>
      </c>
      <c r="I296" s="14" t="n">
        <v>0</v>
      </c>
      <c r="J296" s="58" t="n">
        <v>534.48</v>
      </c>
      <c r="K296" s="59">
        <f>(F296-D296)/7</f>
        <v/>
      </c>
      <c r="L296" s="59">
        <f>K296^2</f>
        <v/>
      </c>
      <c r="M296" s="14">
        <f>IF(F296&lt;=E296,1,0)</f>
        <v/>
      </c>
      <c r="N296" s="14">
        <f>MAX(0,F296-E296)</f>
        <v/>
      </c>
    </row>
    <row r="297">
      <c r="A297" s="14" t="inlineStr">
        <is>
          <t>PO-00296</t>
        </is>
      </c>
      <c r="B297" s="14" t="inlineStr">
        <is>
          <t>S02</t>
        </is>
      </c>
      <c r="C297" s="14" t="inlineStr">
        <is>
          <t>NB-0012</t>
        </is>
      </c>
      <c r="D297" s="26" t="n">
        <v>45548</v>
      </c>
      <c r="E297" s="26" t="n">
        <v>45569</v>
      </c>
      <c r="F297" s="26" t="n">
        <v>45569</v>
      </c>
      <c r="G297" s="14" t="n">
        <v>18</v>
      </c>
      <c r="H297" s="14" t="n">
        <v>18</v>
      </c>
      <c r="I297" s="14" t="n">
        <v>0</v>
      </c>
      <c r="J297" s="58" t="n">
        <v>565.92</v>
      </c>
      <c r="K297" s="59">
        <f>(F297-D297)/7</f>
        <v/>
      </c>
      <c r="L297" s="59">
        <f>K297^2</f>
        <v/>
      </c>
      <c r="M297" s="14">
        <f>IF(F297&lt;=E297,1,0)</f>
        <v/>
      </c>
      <c r="N297" s="14">
        <f>MAX(0,F297-E297)</f>
        <v/>
      </c>
    </row>
    <row r="298">
      <c r="A298" s="14" t="inlineStr">
        <is>
          <t>PO-00297</t>
        </is>
      </c>
      <c r="B298" s="14" t="inlineStr">
        <is>
          <t>S02</t>
        </is>
      </c>
      <c r="C298" s="14" t="inlineStr">
        <is>
          <t>NB-0012</t>
        </is>
      </c>
      <c r="D298" s="26" t="n">
        <v>45574</v>
      </c>
      <c r="E298" s="26" t="n">
        <v>45595</v>
      </c>
      <c r="F298" s="26" t="n">
        <v>45594</v>
      </c>
      <c r="G298" s="14" t="n">
        <v>18</v>
      </c>
      <c r="H298" s="14" t="n">
        <v>18</v>
      </c>
      <c r="I298" s="14" t="n">
        <v>0</v>
      </c>
      <c r="J298" s="58" t="n">
        <v>565.92</v>
      </c>
      <c r="K298" s="59">
        <f>(F298-D298)/7</f>
        <v/>
      </c>
      <c r="L298" s="59">
        <f>K298^2</f>
        <v/>
      </c>
      <c r="M298" s="14">
        <f>IF(F298&lt;=E298,1,0)</f>
        <v/>
      </c>
      <c r="N298" s="14">
        <f>MAX(0,F298-E298)</f>
        <v/>
      </c>
    </row>
    <row r="299">
      <c r="A299" s="14" t="inlineStr">
        <is>
          <t>PO-00298</t>
        </is>
      </c>
      <c r="B299" s="14" t="inlineStr">
        <is>
          <t>S02</t>
        </is>
      </c>
      <c r="C299" s="14" t="inlineStr">
        <is>
          <t>NB-0012</t>
        </is>
      </c>
      <c r="D299" s="26" t="n">
        <v>45600</v>
      </c>
      <c r="E299" s="26" t="n">
        <v>45621</v>
      </c>
      <c r="F299" s="26" t="n">
        <v>45620</v>
      </c>
      <c r="G299" s="14" t="n">
        <v>19</v>
      </c>
      <c r="H299" s="14" t="n">
        <v>19</v>
      </c>
      <c r="I299" s="14" t="n">
        <v>1</v>
      </c>
      <c r="J299" s="58" t="n">
        <v>597.36</v>
      </c>
      <c r="K299" s="59">
        <f>(F299-D299)/7</f>
        <v/>
      </c>
      <c r="L299" s="59">
        <f>K299^2</f>
        <v/>
      </c>
      <c r="M299" s="14">
        <f>IF(F299&lt;=E299,1,0)</f>
        <v/>
      </c>
      <c r="N299" s="14">
        <f>MAX(0,F299-E299)</f>
        <v/>
      </c>
    </row>
    <row r="300">
      <c r="A300" s="14" t="inlineStr">
        <is>
          <t>PO-00299</t>
        </is>
      </c>
      <c r="B300" s="14" t="inlineStr">
        <is>
          <t>S02</t>
        </is>
      </c>
      <c r="C300" s="14" t="inlineStr">
        <is>
          <t>NB-0012</t>
        </is>
      </c>
      <c r="D300" s="26" t="n">
        <v>45631</v>
      </c>
      <c r="E300" s="26" t="n">
        <v>45652</v>
      </c>
      <c r="F300" s="26" t="n">
        <v>45650</v>
      </c>
      <c r="G300" s="14" t="n">
        <v>15</v>
      </c>
      <c r="H300" s="14" t="n">
        <v>15</v>
      </c>
      <c r="I300" s="14" t="n">
        <v>1</v>
      </c>
      <c r="J300" s="58" t="n">
        <v>471.6</v>
      </c>
      <c r="K300" s="59">
        <f>(F300-D300)/7</f>
        <v/>
      </c>
      <c r="L300" s="59">
        <f>K300^2</f>
        <v/>
      </c>
      <c r="M300" s="14">
        <f>IF(F300&lt;=E300,1,0)</f>
        <v/>
      </c>
      <c r="N300" s="14">
        <f>MAX(0,F300-E300)</f>
        <v/>
      </c>
    </row>
    <row r="301">
      <c r="A301" s="14" t="inlineStr">
        <is>
          <t>PO-00300</t>
        </is>
      </c>
      <c r="B301" s="14" t="inlineStr">
        <is>
          <t>S02</t>
        </is>
      </c>
      <c r="C301" s="14" t="inlineStr">
        <is>
          <t>NB-0012</t>
        </is>
      </c>
      <c r="D301" s="26" t="n">
        <v>45656</v>
      </c>
      <c r="E301" s="26" t="n">
        <v>45677</v>
      </c>
      <c r="F301" s="26" t="n">
        <v>45674</v>
      </c>
      <c r="G301" s="14" t="n">
        <v>19</v>
      </c>
      <c r="H301" s="14" t="n">
        <v>19</v>
      </c>
      <c r="I301" s="14" t="n">
        <v>0</v>
      </c>
      <c r="J301" s="58" t="n">
        <v>597.36</v>
      </c>
      <c r="K301" s="59">
        <f>(F301-D301)/7</f>
        <v/>
      </c>
      <c r="L301" s="59">
        <f>K301^2</f>
        <v/>
      </c>
      <c r="M301" s="14">
        <f>IF(F301&lt;=E301,1,0)</f>
        <v/>
      </c>
      <c r="N301" s="14">
        <f>MAX(0,F301-E301)</f>
        <v/>
      </c>
    </row>
    <row r="302">
      <c r="A302" s="14" t="inlineStr">
        <is>
          <t>PO-00301</t>
        </is>
      </c>
      <c r="B302" s="14" t="inlineStr">
        <is>
          <t>S02</t>
        </is>
      </c>
      <c r="C302" s="14" t="inlineStr">
        <is>
          <t>NB-0012</t>
        </is>
      </c>
      <c r="D302" s="26" t="n">
        <v>45686</v>
      </c>
      <c r="E302" s="26" t="n">
        <v>45707</v>
      </c>
      <c r="F302" s="26" t="n">
        <v>45705</v>
      </c>
      <c r="G302" s="14" t="n">
        <v>16</v>
      </c>
      <c r="H302" s="14" t="n">
        <v>16</v>
      </c>
      <c r="I302" s="14" t="n">
        <v>0</v>
      </c>
      <c r="J302" s="58" t="n">
        <v>503.04</v>
      </c>
      <c r="K302" s="59">
        <f>(F302-D302)/7</f>
        <v/>
      </c>
      <c r="L302" s="59">
        <f>K302^2</f>
        <v/>
      </c>
      <c r="M302" s="14">
        <f>IF(F302&lt;=E302,1,0)</f>
        <v/>
      </c>
      <c r="N302" s="14">
        <f>MAX(0,F302-E302)</f>
        <v/>
      </c>
    </row>
    <row r="303">
      <c r="A303" s="14" t="inlineStr">
        <is>
          <t>PO-00302</t>
        </is>
      </c>
      <c r="B303" s="14" t="inlineStr">
        <is>
          <t>S02</t>
        </is>
      </c>
      <c r="C303" s="14" t="inlineStr">
        <is>
          <t>NB-0012</t>
        </is>
      </c>
      <c r="D303" s="26" t="n">
        <v>45715</v>
      </c>
      <c r="E303" s="26" t="n">
        <v>45736</v>
      </c>
      <c r="F303" s="26" t="n">
        <v>45735</v>
      </c>
      <c r="G303" s="14" t="n">
        <v>14</v>
      </c>
      <c r="H303" s="14" t="n">
        <v>14</v>
      </c>
      <c r="I303" s="14" t="n">
        <v>0</v>
      </c>
      <c r="J303" s="58" t="n">
        <v>440.16</v>
      </c>
      <c r="K303" s="59">
        <f>(F303-D303)/7</f>
        <v/>
      </c>
      <c r="L303" s="59">
        <f>K303^2</f>
        <v/>
      </c>
      <c r="M303" s="14">
        <f>IF(F303&lt;=E303,1,0)</f>
        <v/>
      </c>
      <c r="N303" s="14">
        <f>MAX(0,F303-E303)</f>
        <v/>
      </c>
    </row>
    <row r="304">
      <c r="A304" s="14" t="inlineStr">
        <is>
          <t>PO-00303</t>
        </is>
      </c>
      <c r="B304" s="14" t="inlineStr">
        <is>
          <t>S02</t>
        </is>
      </c>
      <c r="C304" s="14" t="inlineStr">
        <is>
          <t>NB-0012</t>
        </is>
      </c>
      <c r="D304" s="26" t="n">
        <v>45740</v>
      </c>
      <c r="E304" s="26" t="n">
        <v>45761</v>
      </c>
      <c r="F304" s="26" t="n">
        <v>45760</v>
      </c>
      <c r="G304" s="14" t="n">
        <v>14</v>
      </c>
      <c r="H304" s="14" t="n">
        <v>14</v>
      </c>
      <c r="I304" s="14" t="n">
        <v>0</v>
      </c>
      <c r="J304" s="58" t="n">
        <v>440.16</v>
      </c>
      <c r="K304" s="59">
        <f>(F304-D304)/7</f>
        <v/>
      </c>
      <c r="L304" s="59">
        <f>K304^2</f>
        <v/>
      </c>
      <c r="M304" s="14">
        <f>IF(F304&lt;=E304,1,0)</f>
        <v/>
      </c>
      <c r="N304" s="14">
        <f>MAX(0,F304-E304)</f>
        <v/>
      </c>
    </row>
    <row r="305">
      <c r="A305" s="14" t="inlineStr">
        <is>
          <t>PO-00304</t>
        </is>
      </c>
      <c r="B305" s="14" t="inlineStr">
        <is>
          <t>S02</t>
        </is>
      </c>
      <c r="C305" s="14" t="inlineStr">
        <is>
          <t>NB-0012</t>
        </is>
      </c>
      <c r="D305" s="26" t="n">
        <v>45772</v>
      </c>
      <c r="E305" s="26" t="n">
        <v>45793</v>
      </c>
      <c r="F305" s="26" t="n">
        <v>45792</v>
      </c>
      <c r="G305" s="14" t="n">
        <v>14</v>
      </c>
      <c r="H305" s="14" t="n">
        <v>14</v>
      </c>
      <c r="I305" s="14" t="n">
        <v>1</v>
      </c>
      <c r="J305" s="58" t="n">
        <v>440.16</v>
      </c>
      <c r="K305" s="59">
        <f>(F305-D305)/7</f>
        <v/>
      </c>
      <c r="L305" s="59">
        <f>K305^2</f>
        <v/>
      </c>
      <c r="M305" s="14">
        <f>IF(F305&lt;=E305,1,0)</f>
        <v/>
      </c>
      <c r="N305" s="14">
        <f>MAX(0,F305-E305)</f>
        <v/>
      </c>
    </row>
    <row r="306">
      <c r="A306" s="14" t="inlineStr">
        <is>
          <t>PO-00305</t>
        </is>
      </c>
      <c r="B306" s="14" t="inlineStr">
        <is>
          <t>S02</t>
        </is>
      </c>
      <c r="C306" s="14" t="inlineStr">
        <is>
          <t>NB-0012</t>
        </is>
      </c>
      <c r="D306" s="26" t="n">
        <v>45797</v>
      </c>
      <c r="E306" s="26" t="n">
        <v>45818</v>
      </c>
      <c r="F306" s="26" t="n">
        <v>45817</v>
      </c>
      <c r="G306" s="14" t="n">
        <v>15</v>
      </c>
      <c r="H306" s="14" t="n">
        <v>15</v>
      </c>
      <c r="I306" s="14" t="n">
        <v>1</v>
      </c>
      <c r="J306" s="58" t="n">
        <v>471.6</v>
      </c>
      <c r="K306" s="59">
        <f>(F306-D306)/7</f>
        <v/>
      </c>
      <c r="L306" s="59">
        <f>K306^2</f>
        <v/>
      </c>
      <c r="M306" s="14">
        <f>IF(F306&lt;=E306,1,0)</f>
        <v/>
      </c>
      <c r="N306" s="14">
        <f>MAX(0,F306-E306)</f>
        <v/>
      </c>
    </row>
    <row r="307">
      <c r="A307" s="14" t="inlineStr">
        <is>
          <t>PO-00306</t>
        </is>
      </c>
      <c r="B307" s="14" t="inlineStr">
        <is>
          <t>S02</t>
        </is>
      </c>
      <c r="C307" s="14" t="inlineStr">
        <is>
          <t>NB-0012</t>
        </is>
      </c>
      <c r="D307" s="26" t="n">
        <v>45826</v>
      </c>
      <c r="E307" s="26" t="n">
        <v>45847</v>
      </c>
      <c r="F307" s="26" t="n">
        <v>45844</v>
      </c>
      <c r="G307" s="14" t="n">
        <v>14</v>
      </c>
      <c r="H307" s="14" t="n">
        <v>14</v>
      </c>
      <c r="I307" s="14" t="n">
        <v>0</v>
      </c>
      <c r="J307" s="58" t="n">
        <v>440.16</v>
      </c>
      <c r="K307" s="59">
        <f>(F307-D307)/7</f>
        <v/>
      </c>
      <c r="L307" s="59">
        <f>K307^2</f>
        <v/>
      </c>
      <c r="M307" s="14">
        <f>IF(F307&lt;=E307,1,0)</f>
        <v/>
      </c>
      <c r="N307" s="14">
        <f>MAX(0,F307-E307)</f>
        <v/>
      </c>
    </row>
    <row r="308">
      <c r="A308" s="14" t="inlineStr">
        <is>
          <t>PO-00307</t>
        </is>
      </c>
      <c r="B308" s="14" t="inlineStr">
        <is>
          <t>S02</t>
        </is>
      </c>
      <c r="C308" s="14" t="inlineStr">
        <is>
          <t>NB-0012</t>
        </is>
      </c>
      <c r="D308" s="26" t="n">
        <v>45854</v>
      </c>
      <c r="E308" s="26" t="n">
        <v>45875</v>
      </c>
      <c r="F308" s="26" t="n">
        <v>45872</v>
      </c>
      <c r="G308" s="14" t="n">
        <v>18</v>
      </c>
      <c r="H308" s="14" t="n">
        <v>18</v>
      </c>
      <c r="I308" s="14" t="n">
        <v>0</v>
      </c>
      <c r="J308" s="58" t="n">
        <v>565.92</v>
      </c>
      <c r="K308" s="59">
        <f>(F308-D308)/7</f>
        <v/>
      </c>
      <c r="L308" s="59">
        <f>K308^2</f>
        <v/>
      </c>
      <c r="M308" s="14">
        <f>IF(F308&lt;=E308,1,0)</f>
        <v/>
      </c>
      <c r="N308" s="14">
        <f>MAX(0,F308-E308)</f>
        <v/>
      </c>
    </row>
    <row r="309">
      <c r="A309" s="14" t="inlineStr">
        <is>
          <t>PO-00308</t>
        </is>
      </c>
      <c r="B309" s="14" t="inlineStr">
        <is>
          <t>S02</t>
        </is>
      </c>
      <c r="C309" s="14" t="inlineStr">
        <is>
          <t>NB-0012</t>
        </is>
      </c>
      <c r="D309" s="26" t="n">
        <v>45882</v>
      </c>
      <c r="E309" s="26" t="n">
        <v>45903</v>
      </c>
      <c r="F309" s="26" t="n">
        <v>45903</v>
      </c>
      <c r="G309" s="14" t="n">
        <v>13</v>
      </c>
      <c r="H309" s="14" t="n">
        <v>13</v>
      </c>
      <c r="I309" s="14" t="n">
        <v>0</v>
      </c>
      <c r="J309" s="58" t="n">
        <v>408.72</v>
      </c>
      <c r="K309" s="59">
        <f>(F309-D309)/7</f>
        <v/>
      </c>
      <c r="L309" s="59">
        <f>K309^2</f>
        <v/>
      </c>
      <c r="M309" s="14">
        <f>IF(F309&lt;=E309,1,0)</f>
        <v/>
      </c>
      <c r="N309" s="14">
        <f>MAX(0,F309-E309)</f>
        <v/>
      </c>
    </row>
    <row r="310">
      <c r="A310" s="14" t="inlineStr">
        <is>
          <t>PO-00309</t>
        </is>
      </c>
      <c r="B310" s="14" t="inlineStr">
        <is>
          <t>S02</t>
        </is>
      </c>
      <c r="C310" s="14" t="inlineStr">
        <is>
          <t>NB-0012</t>
        </is>
      </c>
      <c r="D310" s="26" t="n">
        <v>45908</v>
      </c>
      <c r="E310" s="26" t="n">
        <v>45929</v>
      </c>
      <c r="F310" s="26" t="n">
        <v>45931</v>
      </c>
      <c r="G310" s="14" t="n">
        <v>17</v>
      </c>
      <c r="H310" s="14" t="n">
        <v>17</v>
      </c>
      <c r="I310" s="14" t="n">
        <v>0</v>
      </c>
      <c r="J310" s="58" t="n">
        <v>534.48</v>
      </c>
      <c r="K310" s="59">
        <f>(F310-D310)/7</f>
        <v/>
      </c>
      <c r="L310" s="59">
        <f>K310^2</f>
        <v/>
      </c>
      <c r="M310" s="14">
        <f>IF(F310&lt;=E310,1,0)</f>
        <v/>
      </c>
      <c r="N310" s="14">
        <f>MAX(0,F310-E310)</f>
        <v/>
      </c>
    </row>
    <row r="311">
      <c r="A311" s="14" t="inlineStr">
        <is>
          <t>PO-00310</t>
        </is>
      </c>
      <c r="B311" s="14" t="inlineStr">
        <is>
          <t>S02</t>
        </is>
      </c>
      <c r="C311" s="14" t="inlineStr">
        <is>
          <t>NB-0012</t>
        </is>
      </c>
      <c r="D311" s="26" t="n">
        <v>45939</v>
      </c>
      <c r="E311" s="26" t="n">
        <v>45960</v>
      </c>
      <c r="F311" s="26" t="n">
        <v>45960</v>
      </c>
      <c r="G311" s="14" t="n">
        <v>15</v>
      </c>
      <c r="H311" s="14" t="n">
        <v>15</v>
      </c>
      <c r="I311" s="14" t="n">
        <v>0</v>
      </c>
      <c r="J311" s="58" t="n">
        <v>471.6</v>
      </c>
      <c r="K311" s="59">
        <f>(F311-D311)/7</f>
        <v/>
      </c>
      <c r="L311" s="59">
        <f>K311^2</f>
        <v/>
      </c>
      <c r="M311" s="14">
        <f>IF(F311&lt;=E311,1,0)</f>
        <v/>
      </c>
      <c r="N311" s="14">
        <f>MAX(0,F311-E311)</f>
        <v/>
      </c>
    </row>
    <row r="312">
      <c r="A312" s="14" t="inlineStr">
        <is>
          <t>PO-00311</t>
        </is>
      </c>
      <c r="B312" s="14" t="inlineStr">
        <is>
          <t>S02</t>
        </is>
      </c>
      <c r="C312" s="14" t="inlineStr">
        <is>
          <t>NB-0012</t>
        </is>
      </c>
      <c r="D312" s="26" t="n">
        <v>45968</v>
      </c>
      <c r="E312" s="26" t="n">
        <v>45989</v>
      </c>
      <c r="F312" s="26" t="n">
        <v>45989</v>
      </c>
      <c r="G312" s="14" t="n">
        <v>19</v>
      </c>
      <c r="H312" s="14" t="n">
        <v>19</v>
      </c>
      <c r="I312" s="14" t="n">
        <v>0</v>
      </c>
      <c r="J312" s="58" t="n">
        <v>597.36</v>
      </c>
      <c r="K312" s="59">
        <f>(F312-D312)/7</f>
        <v/>
      </c>
      <c r="L312" s="59">
        <f>K312^2</f>
        <v/>
      </c>
      <c r="M312" s="14">
        <f>IF(F312&lt;=E312,1,0)</f>
        <v/>
      </c>
      <c r="N312" s="14">
        <f>MAX(0,F312-E312)</f>
        <v/>
      </c>
    </row>
    <row r="313">
      <c r="A313" s="14" t="inlineStr">
        <is>
          <t>PO-00312</t>
        </is>
      </c>
      <c r="B313" s="14" t="inlineStr">
        <is>
          <t>S02</t>
        </is>
      </c>
      <c r="C313" s="14" t="inlineStr">
        <is>
          <t>NB-0012</t>
        </is>
      </c>
      <c r="D313" s="26" t="n">
        <v>45993</v>
      </c>
      <c r="E313" s="26" t="n">
        <v>46014</v>
      </c>
      <c r="F313" s="26" t="n">
        <v>46011</v>
      </c>
      <c r="G313" s="14" t="n">
        <v>18</v>
      </c>
      <c r="H313" s="14" t="n">
        <v>18</v>
      </c>
      <c r="I313" s="14" t="n">
        <v>0</v>
      </c>
      <c r="J313" s="58" t="n">
        <v>565.92</v>
      </c>
      <c r="K313" s="59">
        <f>(F313-D313)/7</f>
        <v/>
      </c>
      <c r="L313" s="59">
        <f>K313^2</f>
        <v/>
      </c>
      <c r="M313" s="14">
        <f>IF(F313&lt;=E313,1,0)</f>
        <v/>
      </c>
      <c r="N313" s="14">
        <f>MAX(0,F313-E313)</f>
        <v/>
      </c>
    </row>
    <row r="314">
      <c r="A314" s="14" t="inlineStr">
        <is>
          <t>PO-00313</t>
        </is>
      </c>
      <c r="B314" s="14" t="inlineStr">
        <is>
          <t>S06</t>
        </is>
      </c>
      <c r="C314" s="14" t="inlineStr">
        <is>
          <t>NB-0013</t>
        </is>
      </c>
      <c r="D314" s="26" t="n">
        <v>45292</v>
      </c>
      <c r="E314" s="26" t="n">
        <v>45355</v>
      </c>
      <c r="F314" s="26" t="n">
        <v>45353</v>
      </c>
      <c r="G314" s="14" t="n">
        <v>72</v>
      </c>
      <c r="H314" s="14" t="n">
        <v>72</v>
      </c>
      <c r="I314" s="14" t="n">
        <v>1</v>
      </c>
      <c r="J314" s="58" t="n">
        <v>2606.4</v>
      </c>
      <c r="K314" s="59">
        <f>(F314-D314)/7</f>
        <v/>
      </c>
      <c r="L314" s="59">
        <f>K314^2</f>
        <v/>
      </c>
      <c r="M314" s="14">
        <f>IF(F314&lt;=E314,1,0)</f>
        <v/>
      </c>
      <c r="N314" s="14">
        <f>MAX(0,F314-E314)</f>
        <v/>
      </c>
    </row>
    <row r="315">
      <c r="A315" s="14" t="inlineStr">
        <is>
          <t>PO-00314</t>
        </is>
      </c>
      <c r="B315" s="14" t="inlineStr">
        <is>
          <t>S06</t>
        </is>
      </c>
      <c r="C315" s="14" t="inlineStr">
        <is>
          <t>NB-0013</t>
        </is>
      </c>
      <c r="D315" s="26" t="n">
        <v>45323</v>
      </c>
      <c r="E315" s="26" t="n">
        <v>45386</v>
      </c>
      <c r="F315" s="26" t="n">
        <v>45399</v>
      </c>
      <c r="G315" s="14" t="n">
        <v>87</v>
      </c>
      <c r="H315" s="14" t="n">
        <v>87</v>
      </c>
      <c r="I315" s="14" t="n">
        <v>2</v>
      </c>
      <c r="J315" s="58" t="n">
        <v>3149.4</v>
      </c>
      <c r="K315" s="59">
        <f>(F315-D315)/7</f>
        <v/>
      </c>
      <c r="L315" s="59">
        <f>K315^2</f>
        <v/>
      </c>
      <c r="M315" s="14">
        <f>IF(F315&lt;=E315,1,0)</f>
        <v/>
      </c>
      <c r="N315" s="14">
        <f>MAX(0,F315-E315)</f>
        <v/>
      </c>
    </row>
    <row r="316">
      <c r="A316" s="14" t="inlineStr">
        <is>
          <t>PO-00315</t>
        </is>
      </c>
      <c r="B316" s="14" t="inlineStr">
        <is>
          <t>S06</t>
        </is>
      </c>
      <c r="C316" s="14" t="inlineStr">
        <is>
          <t>NB-0013</t>
        </is>
      </c>
      <c r="D316" s="26" t="n">
        <v>45350</v>
      </c>
      <c r="E316" s="26" t="n">
        <v>45413</v>
      </c>
      <c r="F316" s="26" t="n">
        <v>45410</v>
      </c>
      <c r="G316" s="14" t="n">
        <v>74</v>
      </c>
      <c r="H316" s="14" t="n">
        <v>74</v>
      </c>
      <c r="I316" s="14" t="n">
        <v>1</v>
      </c>
      <c r="J316" s="58" t="n">
        <v>2678.8</v>
      </c>
      <c r="K316" s="59">
        <f>(F316-D316)/7</f>
        <v/>
      </c>
      <c r="L316" s="59">
        <f>K316^2</f>
        <v/>
      </c>
      <c r="M316" s="14">
        <f>IF(F316&lt;=E316,1,0)</f>
        <v/>
      </c>
      <c r="N316" s="14">
        <f>MAX(0,F316-E316)</f>
        <v/>
      </c>
    </row>
    <row r="317">
      <c r="A317" s="14" t="inlineStr">
        <is>
          <t>PO-00316</t>
        </is>
      </c>
      <c r="B317" s="14" t="inlineStr">
        <is>
          <t>S06</t>
        </is>
      </c>
      <c r="C317" s="14" t="inlineStr">
        <is>
          <t>NB-0013</t>
        </is>
      </c>
      <c r="D317" s="26" t="n">
        <v>45376</v>
      </c>
      <c r="E317" s="26" t="n">
        <v>45439</v>
      </c>
      <c r="F317" s="26" t="n">
        <v>45436</v>
      </c>
      <c r="G317" s="14" t="n">
        <v>80</v>
      </c>
      <c r="H317" s="14" t="n">
        <v>74</v>
      </c>
      <c r="I317" s="14" t="n">
        <v>2</v>
      </c>
      <c r="J317" s="58" t="n">
        <v>2896</v>
      </c>
      <c r="K317" s="59">
        <f>(F317-D317)/7</f>
        <v/>
      </c>
      <c r="L317" s="59">
        <f>K317^2</f>
        <v/>
      </c>
      <c r="M317" s="14">
        <f>IF(F317&lt;=E317,1,0)</f>
        <v/>
      </c>
      <c r="N317" s="14">
        <f>MAX(0,F317-E317)</f>
        <v/>
      </c>
    </row>
    <row r="318">
      <c r="A318" s="14" t="inlineStr">
        <is>
          <t>PO-00317</t>
        </is>
      </c>
      <c r="B318" s="14" t="inlineStr">
        <is>
          <t>S06</t>
        </is>
      </c>
      <c r="C318" s="14" t="inlineStr">
        <is>
          <t>NB-0013</t>
        </is>
      </c>
      <c r="D318" s="26" t="n">
        <v>45405</v>
      </c>
      <c r="E318" s="26" t="n">
        <v>45468</v>
      </c>
      <c r="F318" s="26" t="n">
        <v>45465</v>
      </c>
      <c r="G318" s="14" t="n">
        <v>74</v>
      </c>
      <c r="H318" s="14" t="n">
        <v>74</v>
      </c>
      <c r="I318" s="14" t="n">
        <v>2</v>
      </c>
      <c r="J318" s="58" t="n">
        <v>2678.8</v>
      </c>
      <c r="K318" s="59">
        <f>(F318-D318)/7</f>
        <v/>
      </c>
      <c r="L318" s="59">
        <f>K318^2</f>
        <v/>
      </c>
      <c r="M318" s="14">
        <f>IF(F318&lt;=E318,1,0)</f>
        <v/>
      </c>
      <c r="N318" s="14">
        <f>MAX(0,F318-E318)</f>
        <v/>
      </c>
    </row>
    <row r="319">
      <c r="A319" s="14" t="inlineStr">
        <is>
          <t>PO-00318</t>
        </is>
      </c>
      <c r="B319" s="14" t="inlineStr">
        <is>
          <t>S06</t>
        </is>
      </c>
      <c r="C319" s="14" t="inlineStr">
        <is>
          <t>NB-0013</t>
        </is>
      </c>
      <c r="D319" s="26" t="n">
        <v>45436</v>
      </c>
      <c r="E319" s="26" t="n">
        <v>45499</v>
      </c>
      <c r="F319" s="26" t="n">
        <v>45514</v>
      </c>
      <c r="G319" s="14" t="n">
        <v>79</v>
      </c>
      <c r="H319" s="14" t="n">
        <v>79</v>
      </c>
      <c r="I319" s="14" t="n">
        <v>2</v>
      </c>
      <c r="J319" s="58" t="n">
        <v>2859.8</v>
      </c>
      <c r="K319" s="59">
        <f>(F319-D319)/7</f>
        <v/>
      </c>
      <c r="L319" s="59">
        <f>K319^2</f>
        <v/>
      </c>
      <c r="M319" s="14">
        <f>IF(F319&lt;=E319,1,0)</f>
        <v/>
      </c>
      <c r="N319" s="14">
        <f>MAX(0,F319-E319)</f>
        <v/>
      </c>
    </row>
    <row r="320">
      <c r="A320" s="14" t="inlineStr">
        <is>
          <t>PO-00319</t>
        </is>
      </c>
      <c r="B320" s="14" t="inlineStr">
        <is>
          <t>S06</t>
        </is>
      </c>
      <c r="C320" s="14" t="inlineStr">
        <is>
          <t>NB-0013</t>
        </is>
      </c>
      <c r="D320" s="26" t="n">
        <v>45464</v>
      </c>
      <c r="E320" s="26" t="n">
        <v>45527</v>
      </c>
      <c r="F320" s="26" t="n">
        <v>45527</v>
      </c>
      <c r="G320" s="14" t="n">
        <v>82</v>
      </c>
      <c r="H320" s="14" t="n">
        <v>79</v>
      </c>
      <c r="I320" s="14" t="n">
        <v>3</v>
      </c>
      <c r="J320" s="58" t="n">
        <v>2968.4</v>
      </c>
      <c r="K320" s="59">
        <f>(F320-D320)/7</f>
        <v/>
      </c>
      <c r="L320" s="59">
        <f>K320^2</f>
        <v/>
      </c>
      <c r="M320" s="14">
        <f>IF(F320&lt;=E320,1,0)</f>
        <v/>
      </c>
      <c r="N320" s="14">
        <f>MAX(0,F320-E320)</f>
        <v/>
      </c>
    </row>
    <row r="321">
      <c r="A321" s="14" t="inlineStr">
        <is>
          <t>PO-00320</t>
        </is>
      </c>
      <c r="B321" s="14" t="inlineStr">
        <is>
          <t>S06</t>
        </is>
      </c>
      <c r="C321" s="14" t="inlineStr">
        <is>
          <t>NB-0013</t>
        </is>
      </c>
      <c r="D321" s="26" t="n">
        <v>45489</v>
      </c>
      <c r="E321" s="26" t="n">
        <v>45552</v>
      </c>
      <c r="F321" s="26" t="n">
        <v>45551</v>
      </c>
      <c r="G321" s="14" t="n">
        <v>91</v>
      </c>
      <c r="H321" s="14" t="n">
        <v>91</v>
      </c>
      <c r="I321" s="14" t="n">
        <v>3</v>
      </c>
      <c r="J321" s="58" t="n">
        <v>3294.2</v>
      </c>
      <c r="K321" s="59">
        <f>(F321-D321)/7</f>
        <v/>
      </c>
      <c r="L321" s="59">
        <f>K321^2</f>
        <v/>
      </c>
      <c r="M321" s="14">
        <f>IF(F321&lt;=E321,1,0)</f>
        <v/>
      </c>
      <c r="N321" s="14">
        <f>MAX(0,F321-E321)</f>
        <v/>
      </c>
    </row>
    <row r="322">
      <c r="A322" s="14" t="inlineStr">
        <is>
          <t>PO-00321</t>
        </is>
      </c>
      <c r="B322" s="14" t="inlineStr">
        <is>
          <t>S06</t>
        </is>
      </c>
      <c r="C322" s="14" t="inlineStr">
        <is>
          <t>NB-0013</t>
        </is>
      </c>
      <c r="D322" s="26" t="n">
        <v>45518</v>
      </c>
      <c r="E322" s="26" t="n">
        <v>45581</v>
      </c>
      <c r="F322" s="26" t="n">
        <v>45580</v>
      </c>
      <c r="G322" s="14" t="n">
        <v>77</v>
      </c>
      <c r="H322" s="14" t="n">
        <v>77</v>
      </c>
      <c r="I322" s="14" t="n">
        <v>1</v>
      </c>
      <c r="J322" s="58" t="n">
        <v>2787.4</v>
      </c>
      <c r="K322" s="59">
        <f>(F322-D322)/7</f>
        <v/>
      </c>
      <c r="L322" s="59">
        <f>K322^2</f>
        <v/>
      </c>
      <c r="M322" s="14">
        <f>IF(F322&lt;=E322,1,0)</f>
        <v/>
      </c>
      <c r="N322" s="14">
        <f>MAX(0,F322-E322)</f>
        <v/>
      </c>
    </row>
    <row r="323">
      <c r="A323" s="14" t="inlineStr">
        <is>
          <t>PO-00322</t>
        </is>
      </c>
      <c r="B323" s="14" t="inlineStr">
        <is>
          <t>S06</t>
        </is>
      </c>
      <c r="C323" s="14" t="inlineStr">
        <is>
          <t>NB-0013</t>
        </is>
      </c>
      <c r="D323" s="26" t="n">
        <v>45544</v>
      </c>
      <c r="E323" s="26" t="n">
        <v>45607</v>
      </c>
      <c r="F323" s="26" t="n">
        <v>45606</v>
      </c>
      <c r="G323" s="14" t="n">
        <v>83</v>
      </c>
      <c r="H323" s="14" t="n">
        <v>83</v>
      </c>
      <c r="I323" s="14" t="n">
        <v>2</v>
      </c>
      <c r="J323" s="58" t="n">
        <v>3004.6</v>
      </c>
      <c r="K323" s="59">
        <f>(F323-D323)/7</f>
        <v/>
      </c>
      <c r="L323" s="59">
        <f>K323^2</f>
        <v/>
      </c>
      <c r="M323" s="14">
        <f>IF(F323&lt;=E323,1,0)</f>
        <v/>
      </c>
      <c r="N323" s="14">
        <f>MAX(0,F323-E323)</f>
        <v/>
      </c>
    </row>
    <row r="324">
      <c r="A324" s="14" t="inlineStr">
        <is>
          <t>PO-00323</t>
        </is>
      </c>
      <c r="B324" s="14" t="inlineStr">
        <is>
          <t>S06</t>
        </is>
      </c>
      <c r="C324" s="14" t="inlineStr">
        <is>
          <t>NB-0013</t>
        </is>
      </c>
      <c r="D324" s="26" t="n">
        <v>45576</v>
      </c>
      <c r="E324" s="26" t="n">
        <v>45639</v>
      </c>
      <c r="F324" s="26" t="n">
        <v>45639</v>
      </c>
      <c r="G324" s="14" t="n">
        <v>76</v>
      </c>
      <c r="H324" s="14" t="n">
        <v>76</v>
      </c>
      <c r="I324" s="14" t="n">
        <v>0</v>
      </c>
      <c r="J324" s="58" t="n">
        <v>2751.2</v>
      </c>
      <c r="K324" s="59">
        <f>(F324-D324)/7</f>
        <v/>
      </c>
      <c r="L324" s="59">
        <f>K324^2</f>
        <v/>
      </c>
      <c r="M324" s="14">
        <f>IF(F324&lt;=E324,1,0)</f>
        <v/>
      </c>
      <c r="N324" s="14">
        <f>MAX(0,F324-E324)</f>
        <v/>
      </c>
    </row>
    <row r="325">
      <c r="A325" s="14" t="inlineStr">
        <is>
          <t>PO-00324</t>
        </is>
      </c>
      <c r="B325" s="14" t="inlineStr">
        <is>
          <t>S06</t>
        </is>
      </c>
      <c r="C325" s="14" t="inlineStr">
        <is>
          <t>NB-0013</t>
        </is>
      </c>
      <c r="D325" s="26" t="n">
        <v>45603</v>
      </c>
      <c r="E325" s="26" t="n">
        <v>45666</v>
      </c>
      <c r="F325" s="26" t="n">
        <v>45663</v>
      </c>
      <c r="G325" s="14" t="n">
        <v>84</v>
      </c>
      <c r="H325" s="14" t="n">
        <v>84</v>
      </c>
      <c r="I325" s="14" t="n">
        <v>2</v>
      </c>
      <c r="J325" s="58" t="n">
        <v>3040.8</v>
      </c>
      <c r="K325" s="59">
        <f>(F325-D325)/7</f>
        <v/>
      </c>
      <c r="L325" s="59">
        <f>K325^2</f>
        <v/>
      </c>
      <c r="M325" s="14">
        <f>IF(F325&lt;=E325,1,0)</f>
        <v/>
      </c>
      <c r="N325" s="14">
        <f>MAX(0,F325-E325)</f>
        <v/>
      </c>
    </row>
    <row r="326">
      <c r="A326" s="14" t="inlineStr">
        <is>
          <t>PO-00325</t>
        </is>
      </c>
      <c r="B326" s="14" t="inlineStr">
        <is>
          <t>S06</t>
        </is>
      </c>
      <c r="C326" s="14" t="inlineStr">
        <is>
          <t>NB-0013</t>
        </is>
      </c>
      <c r="D326" s="26" t="n">
        <v>45629</v>
      </c>
      <c r="E326" s="26" t="n">
        <v>45692</v>
      </c>
      <c r="F326" s="26" t="n">
        <v>45696</v>
      </c>
      <c r="G326" s="14" t="n">
        <v>80</v>
      </c>
      <c r="H326" s="14" t="n">
        <v>80</v>
      </c>
      <c r="I326" s="14" t="n">
        <v>3</v>
      </c>
      <c r="J326" s="58" t="n">
        <v>2896</v>
      </c>
      <c r="K326" s="59">
        <f>(F326-D326)/7</f>
        <v/>
      </c>
      <c r="L326" s="59">
        <f>K326^2</f>
        <v/>
      </c>
      <c r="M326" s="14">
        <f>IF(F326&lt;=E326,1,0)</f>
        <v/>
      </c>
      <c r="N326" s="14">
        <f>MAX(0,F326-E326)</f>
        <v/>
      </c>
    </row>
    <row r="327">
      <c r="A327" s="14" t="inlineStr">
        <is>
          <t>PO-00326</t>
        </is>
      </c>
      <c r="B327" s="14" t="inlineStr">
        <is>
          <t>S06</t>
        </is>
      </c>
      <c r="C327" s="14" t="inlineStr">
        <is>
          <t>NB-0013</t>
        </is>
      </c>
      <c r="D327" s="26" t="n">
        <v>45659</v>
      </c>
      <c r="E327" s="26" t="n">
        <v>45722</v>
      </c>
      <c r="F327" s="26" t="n">
        <v>45749</v>
      </c>
      <c r="G327" s="14" t="n">
        <v>85</v>
      </c>
      <c r="H327" s="14" t="n">
        <v>85</v>
      </c>
      <c r="I327" s="14" t="n">
        <v>1</v>
      </c>
      <c r="J327" s="58" t="n">
        <v>3077</v>
      </c>
      <c r="K327" s="59">
        <f>(F327-D327)/7</f>
        <v/>
      </c>
      <c r="L327" s="59">
        <f>K327^2</f>
        <v/>
      </c>
      <c r="M327" s="14">
        <f>IF(F327&lt;=E327,1,0)</f>
        <v/>
      </c>
      <c r="N327" s="14">
        <f>MAX(0,F327-E327)</f>
        <v/>
      </c>
    </row>
    <row r="328">
      <c r="A328" s="14" t="inlineStr">
        <is>
          <t>PO-00327</t>
        </is>
      </c>
      <c r="B328" s="14" t="inlineStr">
        <is>
          <t>S06</t>
        </is>
      </c>
      <c r="C328" s="14" t="inlineStr">
        <is>
          <t>NB-0013</t>
        </is>
      </c>
      <c r="D328" s="26" t="n">
        <v>45688</v>
      </c>
      <c r="E328" s="26" t="n">
        <v>45751</v>
      </c>
      <c r="F328" s="26" t="n">
        <v>45749</v>
      </c>
      <c r="G328" s="14" t="n">
        <v>77</v>
      </c>
      <c r="H328" s="14" t="n">
        <v>77</v>
      </c>
      <c r="I328" s="14" t="n">
        <v>4</v>
      </c>
      <c r="J328" s="58" t="n">
        <v>2787.4</v>
      </c>
      <c r="K328" s="59">
        <f>(F328-D328)/7</f>
        <v/>
      </c>
      <c r="L328" s="59">
        <f>K328^2</f>
        <v/>
      </c>
      <c r="M328" s="14">
        <f>IF(F328&lt;=E328,1,0)</f>
        <v/>
      </c>
      <c r="N328" s="14">
        <f>MAX(0,F328-E328)</f>
        <v/>
      </c>
    </row>
    <row r="329">
      <c r="A329" s="14" t="inlineStr">
        <is>
          <t>PO-00328</t>
        </is>
      </c>
      <c r="B329" s="14" t="inlineStr">
        <is>
          <t>S06</t>
        </is>
      </c>
      <c r="C329" s="14" t="inlineStr">
        <is>
          <t>NB-0013</t>
        </is>
      </c>
      <c r="D329" s="26" t="n">
        <v>45712</v>
      </c>
      <c r="E329" s="26" t="n">
        <v>45775</v>
      </c>
      <c r="F329" s="26" t="n">
        <v>45774</v>
      </c>
      <c r="G329" s="14" t="n">
        <v>84</v>
      </c>
      <c r="H329" s="14" t="n">
        <v>84</v>
      </c>
      <c r="I329" s="14" t="n">
        <v>0</v>
      </c>
      <c r="J329" s="58" t="n">
        <v>3040.8</v>
      </c>
      <c r="K329" s="59">
        <f>(F329-D329)/7</f>
        <v/>
      </c>
      <c r="L329" s="59">
        <f>K329^2</f>
        <v/>
      </c>
      <c r="M329" s="14">
        <f>IF(F329&lt;=E329,1,0)</f>
        <v/>
      </c>
      <c r="N329" s="14">
        <f>MAX(0,F329-E329)</f>
        <v/>
      </c>
    </row>
    <row r="330">
      <c r="A330" s="14" t="inlineStr">
        <is>
          <t>PO-00329</t>
        </is>
      </c>
      <c r="B330" s="14" t="inlineStr">
        <is>
          <t>S06</t>
        </is>
      </c>
      <c r="C330" s="14" t="inlineStr">
        <is>
          <t>NB-0013</t>
        </is>
      </c>
      <c r="D330" s="26" t="n">
        <v>45740</v>
      </c>
      <c r="E330" s="26" t="n">
        <v>45803</v>
      </c>
      <c r="F330" s="26" t="n">
        <v>45817</v>
      </c>
      <c r="G330" s="14" t="n">
        <v>79</v>
      </c>
      <c r="H330" s="14" t="n">
        <v>79</v>
      </c>
      <c r="I330" s="14" t="n">
        <v>0</v>
      </c>
      <c r="J330" s="58" t="n">
        <v>2859.8</v>
      </c>
      <c r="K330" s="59">
        <f>(F330-D330)/7</f>
        <v/>
      </c>
      <c r="L330" s="59">
        <f>K330^2</f>
        <v/>
      </c>
      <c r="M330" s="14">
        <f>IF(F330&lt;=E330,1,0)</f>
        <v/>
      </c>
      <c r="N330" s="14">
        <f>MAX(0,F330-E330)</f>
        <v/>
      </c>
    </row>
    <row r="331">
      <c r="A331" s="14" t="inlineStr">
        <is>
          <t>PO-00330</t>
        </is>
      </c>
      <c r="B331" s="14" t="inlineStr">
        <is>
          <t>S06</t>
        </is>
      </c>
      <c r="C331" s="14" t="inlineStr">
        <is>
          <t>NB-0013</t>
        </is>
      </c>
      <c r="D331" s="26" t="n">
        <v>45770</v>
      </c>
      <c r="E331" s="26" t="n">
        <v>45833</v>
      </c>
      <c r="F331" s="26" t="n">
        <v>45843</v>
      </c>
      <c r="G331" s="14" t="n">
        <v>68</v>
      </c>
      <c r="H331" s="14" t="n">
        <v>68</v>
      </c>
      <c r="I331" s="14" t="n">
        <v>1</v>
      </c>
      <c r="J331" s="58" t="n">
        <v>2461.6</v>
      </c>
      <c r="K331" s="59">
        <f>(F331-D331)/7</f>
        <v/>
      </c>
      <c r="L331" s="59">
        <f>K331^2</f>
        <v/>
      </c>
      <c r="M331" s="14">
        <f>IF(F331&lt;=E331,1,0)</f>
        <v/>
      </c>
      <c r="N331" s="14">
        <f>MAX(0,F331-E331)</f>
        <v/>
      </c>
    </row>
    <row r="332">
      <c r="A332" s="14" t="inlineStr">
        <is>
          <t>PO-00331</t>
        </is>
      </c>
      <c r="B332" s="14" t="inlineStr">
        <is>
          <t>S06</t>
        </is>
      </c>
      <c r="C332" s="14" t="inlineStr">
        <is>
          <t>NB-0013</t>
        </is>
      </c>
      <c r="D332" s="26" t="n">
        <v>45800</v>
      </c>
      <c r="E332" s="26" t="n">
        <v>45863</v>
      </c>
      <c r="F332" s="26" t="n">
        <v>45862</v>
      </c>
      <c r="G332" s="14" t="n">
        <v>83</v>
      </c>
      <c r="H332" s="14" t="n">
        <v>83</v>
      </c>
      <c r="I332" s="14" t="n">
        <v>1</v>
      </c>
      <c r="J332" s="58" t="n">
        <v>3004.6</v>
      </c>
      <c r="K332" s="59">
        <f>(F332-D332)/7</f>
        <v/>
      </c>
      <c r="L332" s="59">
        <f>K332^2</f>
        <v/>
      </c>
      <c r="M332" s="14">
        <f>IF(F332&lt;=E332,1,0)</f>
        <v/>
      </c>
      <c r="N332" s="14">
        <f>MAX(0,F332-E332)</f>
        <v/>
      </c>
    </row>
    <row r="333">
      <c r="A333" s="14" t="inlineStr">
        <is>
          <t>PO-00332</t>
        </is>
      </c>
      <c r="B333" s="14" t="inlineStr">
        <is>
          <t>S06</t>
        </is>
      </c>
      <c r="C333" s="14" t="inlineStr">
        <is>
          <t>NB-0013</t>
        </is>
      </c>
      <c r="D333" s="26" t="n">
        <v>45828</v>
      </c>
      <c r="E333" s="26" t="n">
        <v>45891</v>
      </c>
      <c r="F333" s="26" t="n">
        <v>45890</v>
      </c>
      <c r="G333" s="14" t="n">
        <v>73</v>
      </c>
      <c r="H333" s="14" t="n">
        <v>73</v>
      </c>
      <c r="I333" s="14" t="n">
        <v>1</v>
      </c>
      <c r="J333" s="58" t="n">
        <v>2642.6</v>
      </c>
      <c r="K333" s="59">
        <f>(F333-D333)/7</f>
        <v/>
      </c>
      <c r="L333" s="59">
        <f>K333^2</f>
        <v/>
      </c>
      <c r="M333" s="14">
        <f>IF(F333&lt;=E333,1,0)</f>
        <v/>
      </c>
      <c r="N333" s="14">
        <f>MAX(0,F333-E333)</f>
        <v/>
      </c>
    </row>
    <row r="334">
      <c r="A334" s="14" t="inlineStr">
        <is>
          <t>PO-00333</t>
        </is>
      </c>
      <c r="B334" s="14" t="inlineStr">
        <is>
          <t>S06</t>
        </is>
      </c>
      <c r="C334" s="14" t="inlineStr">
        <is>
          <t>NB-0013</t>
        </is>
      </c>
      <c r="D334" s="26" t="n">
        <v>45854</v>
      </c>
      <c r="E334" s="26" t="n">
        <v>45917</v>
      </c>
      <c r="F334" s="26" t="n">
        <v>45916</v>
      </c>
      <c r="G334" s="14" t="n">
        <v>80</v>
      </c>
      <c r="H334" s="14" t="n">
        <v>80</v>
      </c>
      <c r="I334" s="14" t="n">
        <v>4</v>
      </c>
      <c r="J334" s="58" t="n">
        <v>2896</v>
      </c>
      <c r="K334" s="59">
        <f>(F334-D334)/7</f>
        <v/>
      </c>
      <c r="L334" s="59">
        <f>K334^2</f>
        <v/>
      </c>
      <c r="M334" s="14">
        <f>IF(F334&lt;=E334,1,0)</f>
        <v/>
      </c>
      <c r="N334" s="14">
        <f>MAX(0,F334-E334)</f>
        <v/>
      </c>
    </row>
    <row r="335">
      <c r="A335" s="14" t="inlineStr">
        <is>
          <t>PO-00334</t>
        </is>
      </c>
      <c r="B335" s="14" t="inlineStr">
        <is>
          <t>S06</t>
        </is>
      </c>
      <c r="C335" s="14" t="inlineStr">
        <is>
          <t>NB-0013</t>
        </is>
      </c>
      <c r="D335" s="26" t="n">
        <v>45883</v>
      </c>
      <c r="E335" s="26" t="n">
        <v>45946</v>
      </c>
      <c r="F335" s="26" t="n">
        <v>45946</v>
      </c>
      <c r="G335" s="14" t="n">
        <v>88</v>
      </c>
      <c r="H335" s="14" t="n">
        <v>88</v>
      </c>
      <c r="I335" s="14" t="n">
        <v>1</v>
      </c>
      <c r="J335" s="58" t="n">
        <v>3185.6</v>
      </c>
      <c r="K335" s="59">
        <f>(F335-D335)/7</f>
        <v/>
      </c>
      <c r="L335" s="59">
        <f>K335^2</f>
        <v/>
      </c>
      <c r="M335" s="14">
        <f>IF(F335&lt;=E335,1,0)</f>
        <v/>
      </c>
      <c r="N335" s="14">
        <f>MAX(0,F335-E335)</f>
        <v/>
      </c>
    </row>
    <row r="336">
      <c r="A336" s="14" t="inlineStr">
        <is>
          <t>PO-00335</t>
        </is>
      </c>
      <c r="B336" s="14" t="inlineStr">
        <is>
          <t>S06</t>
        </is>
      </c>
      <c r="C336" s="14" t="inlineStr">
        <is>
          <t>NB-0013</t>
        </is>
      </c>
      <c r="D336" s="26" t="n">
        <v>45909</v>
      </c>
      <c r="E336" s="26" t="n">
        <v>45972</v>
      </c>
      <c r="F336" s="26" t="n">
        <v>45996</v>
      </c>
      <c r="G336" s="14" t="n">
        <v>65</v>
      </c>
      <c r="H336" s="14" t="n">
        <v>65</v>
      </c>
      <c r="I336" s="14" t="n">
        <v>1</v>
      </c>
      <c r="J336" s="58" t="n">
        <v>2353</v>
      </c>
      <c r="K336" s="59">
        <f>(F336-D336)/7</f>
        <v/>
      </c>
      <c r="L336" s="59">
        <f>K336^2</f>
        <v/>
      </c>
      <c r="M336" s="14">
        <f>IF(F336&lt;=E336,1,0)</f>
        <v/>
      </c>
      <c r="N336" s="14">
        <f>MAX(0,F336-E336)</f>
        <v/>
      </c>
    </row>
    <row r="337">
      <c r="A337" s="14" t="inlineStr">
        <is>
          <t>PO-00336</t>
        </is>
      </c>
      <c r="B337" s="14" t="inlineStr">
        <is>
          <t>S06</t>
        </is>
      </c>
      <c r="C337" s="14" t="inlineStr">
        <is>
          <t>NB-0013</t>
        </is>
      </c>
      <c r="D337" s="26" t="n">
        <v>45937</v>
      </c>
      <c r="E337" s="26" t="n">
        <v>46000</v>
      </c>
      <c r="F337" s="26" t="n">
        <v>45999</v>
      </c>
      <c r="G337" s="14" t="n">
        <v>66</v>
      </c>
      <c r="H337" s="14" t="n">
        <v>66</v>
      </c>
      <c r="I337" s="14" t="n">
        <v>2</v>
      </c>
      <c r="J337" s="58" t="n">
        <v>2389.2</v>
      </c>
      <c r="K337" s="59">
        <f>(F337-D337)/7</f>
        <v/>
      </c>
      <c r="L337" s="59">
        <f>K337^2</f>
        <v/>
      </c>
      <c r="M337" s="14">
        <f>IF(F337&lt;=E337,1,0)</f>
        <v/>
      </c>
      <c r="N337" s="14">
        <f>MAX(0,F337-E337)</f>
        <v/>
      </c>
    </row>
    <row r="338">
      <c r="A338" s="14" t="inlineStr">
        <is>
          <t>PO-00337</t>
        </is>
      </c>
      <c r="B338" s="14" t="inlineStr">
        <is>
          <t>S06</t>
        </is>
      </c>
      <c r="C338" s="14" t="inlineStr">
        <is>
          <t>NB-0013</t>
        </is>
      </c>
      <c r="D338" s="26" t="n">
        <v>45967</v>
      </c>
      <c r="E338" s="26" t="n">
        <v>46030</v>
      </c>
      <c r="F338" s="26" t="n">
        <v>46028</v>
      </c>
      <c r="G338" s="14" t="n">
        <v>82</v>
      </c>
      <c r="H338" s="14" t="n">
        <v>82</v>
      </c>
      <c r="I338" s="14" t="n">
        <v>2</v>
      </c>
      <c r="J338" s="58" t="n">
        <v>2968.4</v>
      </c>
      <c r="K338" s="59">
        <f>(F338-D338)/7</f>
        <v/>
      </c>
      <c r="L338" s="59">
        <f>K338^2</f>
        <v/>
      </c>
      <c r="M338" s="14">
        <f>IF(F338&lt;=E338,1,0)</f>
        <v/>
      </c>
      <c r="N338" s="14">
        <f>MAX(0,F338-E338)</f>
        <v/>
      </c>
    </row>
    <row r="339">
      <c r="A339" s="14" t="inlineStr">
        <is>
          <t>PO-00338</t>
        </is>
      </c>
      <c r="B339" s="14" t="inlineStr">
        <is>
          <t>S06</t>
        </is>
      </c>
      <c r="C339" s="14" t="inlineStr">
        <is>
          <t>NB-0013</t>
        </is>
      </c>
      <c r="D339" s="26" t="n">
        <v>45996</v>
      </c>
      <c r="E339" s="26" t="n">
        <v>46059</v>
      </c>
      <c r="F339" s="26" t="n">
        <v>46059</v>
      </c>
      <c r="G339" s="14" t="n">
        <v>84</v>
      </c>
      <c r="H339" s="14" t="n">
        <v>84</v>
      </c>
      <c r="I339" s="14" t="n">
        <v>1</v>
      </c>
      <c r="J339" s="58" t="n">
        <v>3040.8</v>
      </c>
      <c r="K339" s="59">
        <f>(F339-D339)/7</f>
        <v/>
      </c>
      <c r="L339" s="59">
        <f>K339^2</f>
        <v/>
      </c>
      <c r="M339" s="14">
        <f>IF(F339&lt;=E339,1,0)</f>
        <v/>
      </c>
      <c r="N339" s="14">
        <f>MAX(0,F339-E339)</f>
        <v/>
      </c>
    </row>
    <row r="340">
      <c r="A340" s="14" t="inlineStr">
        <is>
          <t>PO-00339</t>
        </is>
      </c>
      <c r="B340" s="14" t="inlineStr">
        <is>
          <t>S01</t>
        </is>
      </c>
      <c r="C340" s="14" t="inlineStr">
        <is>
          <t>NB-0014</t>
        </is>
      </c>
      <c r="D340" s="26" t="n">
        <v>45292</v>
      </c>
      <c r="E340" s="26" t="n">
        <v>45306</v>
      </c>
      <c r="F340" s="26" t="n">
        <v>45304</v>
      </c>
      <c r="G340" s="14" t="n">
        <v>31</v>
      </c>
      <c r="H340" s="14" t="n">
        <v>31</v>
      </c>
      <c r="I340" s="14" t="n">
        <v>0</v>
      </c>
      <c r="J340" s="58" t="n">
        <v>1614.48</v>
      </c>
      <c r="K340" s="59">
        <f>(F340-D340)/7</f>
        <v/>
      </c>
      <c r="L340" s="59">
        <f>K340^2</f>
        <v/>
      </c>
      <c r="M340" s="14">
        <f>IF(F340&lt;=E340,1,0)</f>
        <v/>
      </c>
      <c r="N340" s="14">
        <f>MAX(0,F340-E340)</f>
        <v/>
      </c>
    </row>
    <row r="341">
      <c r="A341" s="14" t="inlineStr">
        <is>
          <t>PO-00340</t>
        </is>
      </c>
      <c r="B341" s="14" t="inlineStr">
        <is>
          <t>S01</t>
        </is>
      </c>
      <c r="C341" s="14" t="inlineStr">
        <is>
          <t>NB-0014</t>
        </is>
      </c>
      <c r="D341" s="26" t="n">
        <v>45323</v>
      </c>
      <c r="E341" s="26" t="n">
        <v>45337</v>
      </c>
      <c r="F341" s="26" t="n">
        <v>45334</v>
      </c>
      <c r="G341" s="14" t="n">
        <v>29</v>
      </c>
      <c r="H341" s="14" t="n">
        <v>29</v>
      </c>
      <c r="I341" s="14" t="n">
        <v>0</v>
      </c>
      <c r="J341" s="58" t="n">
        <v>1510.32</v>
      </c>
      <c r="K341" s="59">
        <f>(F341-D341)/7</f>
        <v/>
      </c>
      <c r="L341" s="59">
        <f>K341^2</f>
        <v/>
      </c>
      <c r="M341" s="14">
        <f>IF(F341&lt;=E341,1,0)</f>
        <v/>
      </c>
      <c r="N341" s="14">
        <f>MAX(0,F341-E341)</f>
        <v/>
      </c>
    </row>
    <row r="342">
      <c r="A342" s="14" t="inlineStr">
        <is>
          <t>PO-00341</t>
        </is>
      </c>
      <c r="B342" s="14" t="inlineStr">
        <is>
          <t>S01</t>
        </is>
      </c>
      <c r="C342" s="14" t="inlineStr">
        <is>
          <t>NB-0014</t>
        </is>
      </c>
      <c r="D342" s="26" t="n">
        <v>45352</v>
      </c>
      <c r="E342" s="26" t="n">
        <v>45366</v>
      </c>
      <c r="F342" s="26" t="n">
        <v>45363</v>
      </c>
      <c r="G342" s="14" t="n">
        <v>27</v>
      </c>
      <c r="H342" s="14" t="n">
        <v>27</v>
      </c>
      <c r="I342" s="14" t="n">
        <v>0</v>
      </c>
      <c r="J342" s="58" t="n">
        <v>1406.16</v>
      </c>
      <c r="K342" s="59">
        <f>(F342-D342)/7</f>
        <v/>
      </c>
      <c r="L342" s="59">
        <f>K342^2</f>
        <v/>
      </c>
      <c r="M342" s="14">
        <f>IF(F342&lt;=E342,1,0)</f>
        <v/>
      </c>
      <c r="N342" s="14">
        <f>MAX(0,F342-E342)</f>
        <v/>
      </c>
    </row>
    <row r="343">
      <c r="A343" s="14" t="inlineStr">
        <is>
          <t>PO-00342</t>
        </is>
      </c>
      <c r="B343" s="14" t="inlineStr">
        <is>
          <t>S01</t>
        </is>
      </c>
      <c r="C343" s="14" t="inlineStr">
        <is>
          <t>NB-0014</t>
        </is>
      </c>
      <c r="D343" s="26" t="n">
        <v>45379</v>
      </c>
      <c r="E343" s="26" t="n">
        <v>45393</v>
      </c>
      <c r="F343" s="26" t="n">
        <v>45392</v>
      </c>
      <c r="G343" s="14" t="n">
        <v>32</v>
      </c>
      <c r="H343" s="14" t="n">
        <v>32</v>
      </c>
      <c r="I343" s="14" t="n">
        <v>0</v>
      </c>
      <c r="J343" s="58" t="n">
        <v>1666.56</v>
      </c>
      <c r="K343" s="59">
        <f>(F343-D343)/7</f>
        <v/>
      </c>
      <c r="L343" s="59">
        <f>K343^2</f>
        <v/>
      </c>
      <c r="M343" s="14">
        <f>IF(F343&lt;=E343,1,0)</f>
        <v/>
      </c>
      <c r="N343" s="14">
        <f>MAX(0,F343-E343)</f>
        <v/>
      </c>
    </row>
    <row r="344">
      <c r="A344" s="14" t="inlineStr">
        <is>
          <t>PO-00343</t>
        </is>
      </c>
      <c r="B344" s="14" t="inlineStr">
        <is>
          <t>S01</t>
        </is>
      </c>
      <c r="C344" s="14" t="inlineStr">
        <is>
          <t>NB-0014</t>
        </is>
      </c>
      <c r="D344" s="26" t="n">
        <v>45408</v>
      </c>
      <c r="E344" s="26" t="n">
        <v>45422</v>
      </c>
      <c r="F344" s="26" t="n">
        <v>45422</v>
      </c>
      <c r="G344" s="14" t="n">
        <v>33</v>
      </c>
      <c r="H344" s="14" t="n">
        <v>33</v>
      </c>
      <c r="I344" s="14" t="n">
        <v>1</v>
      </c>
      <c r="J344" s="58" t="n">
        <v>1718.64</v>
      </c>
      <c r="K344" s="59">
        <f>(F344-D344)/7</f>
        <v/>
      </c>
      <c r="L344" s="59">
        <f>K344^2</f>
        <v/>
      </c>
      <c r="M344" s="14">
        <f>IF(F344&lt;=E344,1,0)</f>
        <v/>
      </c>
      <c r="N344" s="14">
        <f>MAX(0,F344-E344)</f>
        <v/>
      </c>
    </row>
    <row r="345">
      <c r="A345" s="14" t="inlineStr">
        <is>
          <t>PO-00344</t>
        </is>
      </c>
      <c r="B345" s="14" t="inlineStr">
        <is>
          <t>S01</t>
        </is>
      </c>
      <c r="C345" s="14" t="inlineStr">
        <is>
          <t>NB-0014</t>
        </is>
      </c>
      <c r="D345" s="26" t="n">
        <v>45434</v>
      </c>
      <c r="E345" s="26" t="n">
        <v>45448</v>
      </c>
      <c r="F345" s="26" t="n">
        <v>45445</v>
      </c>
      <c r="G345" s="14" t="n">
        <v>27</v>
      </c>
      <c r="H345" s="14" t="n">
        <v>27</v>
      </c>
      <c r="I345" s="14" t="n">
        <v>0</v>
      </c>
      <c r="J345" s="58" t="n">
        <v>1406.16</v>
      </c>
      <c r="K345" s="59">
        <f>(F345-D345)/7</f>
        <v/>
      </c>
      <c r="L345" s="59">
        <f>K345^2</f>
        <v/>
      </c>
      <c r="M345" s="14">
        <f>IF(F345&lt;=E345,1,0)</f>
        <v/>
      </c>
      <c r="N345" s="14">
        <f>MAX(0,F345-E345)</f>
        <v/>
      </c>
    </row>
    <row r="346">
      <c r="A346" s="14" t="inlineStr">
        <is>
          <t>PO-00345</t>
        </is>
      </c>
      <c r="B346" s="14" t="inlineStr">
        <is>
          <t>S01</t>
        </is>
      </c>
      <c r="C346" s="14" t="inlineStr">
        <is>
          <t>NB-0014</t>
        </is>
      </c>
      <c r="D346" s="26" t="n">
        <v>45463</v>
      </c>
      <c r="E346" s="26" t="n">
        <v>45477</v>
      </c>
      <c r="F346" s="26" t="n">
        <v>45475</v>
      </c>
      <c r="G346" s="14" t="n">
        <v>34</v>
      </c>
      <c r="H346" s="14" t="n">
        <v>30</v>
      </c>
      <c r="I346" s="14" t="n">
        <v>1</v>
      </c>
      <c r="J346" s="58" t="n">
        <v>1770.72</v>
      </c>
      <c r="K346" s="59">
        <f>(F346-D346)/7</f>
        <v/>
      </c>
      <c r="L346" s="59">
        <f>K346^2</f>
        <v/>
      </c>
      <c r="M346" s="14">
        <f>IF(F346&lt;=E346,1,0)</f>
        <v/>
      </c>
      <c r="N346" s="14">
        <f>MAX(0,F346-E346)</f>
        <v/>
      </c>
    </row>
    <row r="347">
      <c r="A347" s="14" t="inlineStr">
        <is>
          <t>PO-00346</t>
        </is>
      </c>
      <c r="B347" s="14" t="inlineStr">
        <is>
          <t>S01</t>
        </is>
      </c>
      <c r="C347" s="14" t="inlineStr">
        <is>
          <t>NB-0014</t>
        </is>
      </c>
      <c r="D347" s="26" t="n">
        <v>45490</v>
      </c>
      <c r="E347" s="26" t="n">
        <v>45504</v>
      </c>
      <c r="F347" s="26" t="n">
        <v>45501</v>
      </c>
      <c r="G347" s="14" t="n">
        <v>33</v>
      </c>
      <c r="H347" s="14" t="n">
        <v>33</v>
      </c>
      <c r="I347" s="14" t="n">
        <v>0</v>
      </c>
      <c r="J347" s="58" t="n">
        <v>1718.64</v>
      </c>
      <c r="K347" s="59">
        <f>(F347-D347)/7</f>
        <v/>
      </c>
      <c r="L347" s="59">
        <f>K347^2</f>
        <v/>
      </c>
      <c r="M347" s="14">
        <f>IF(F347&lt;=E347,1,0)</f>
        <v/>
      </c>
      <c r="N347" s="14">
        <f>MAX(0,F347-E347)</f>
        <v/>
      </c>
    </row>
    <row r="348">
      <c r="A348" s="14" t="inlineStr">
        <is>
          <t>PO-00347</t>
        </is>
      </c>
      <c r="B348" s="14" t="inlineStr">
        <is>
          <t>S01</t>
        </is>
      </c>
      <c r="C348" s="14" t="inlineStr">
        <is>
          <t>NB-0014</t>
        </is>
      </c>
      <c r="D348" s="26" t="n">
        <v>45520</v>
      </c>
      <c r="E348" s="26" t="n">
        <v>45534</v>
      </c>
      <c r="F348" s="26" t="n">
        <v>45534</v>
      </c>
      <c r="G348" s="14" t="n">
        <v>26</v>
      </c>
      <c r="H348" s="14" t="n">
        <v>26</v>
      </c>
      <c r="I348" s="14" t="n">
        <v>0</v>
      </c>
      <c r="J348" s="58" t="n">
        <v>1354.08</v>
      </c>
      <c r="K348" s="59">
        <f>(F348-D348)/7</f>
        <v/>
      </c>
      <c r="L348" s="59">
        <f>K348^2</f>
        <v/>
      </c>
      <c r="M348" s="14">
        <f>IF(F348&lt;=E348,1,0)</f>
        <v/>
      </c>
      <c r="N348" s="14">
        <f>MAX(0,F348-E348)</f>
        <v/>
      </c>
    </row>
    <row r="349">
      <c r="A349" s="14" t="inlineStr">
        <is>
          <t>PO-00348</t>
        </is>
      </c>
      <c r="B349" s="14" t="inlineStr">
        <is>
          <t>S01</t>
        </is>
      </c>
      <c r="C349" s="14" t="inlineStr">
        <is>
          <t>NB-0014</t>
        </is>
      </c>
      <c r="D349" s="26" t="n">
        <v>45544</v>
      </c>
      <c r="E349" s="26" t="n">
        <v>45558</v>
      </c>
      <c r="F349" s="26" t="n">
        <v>45557</v>
      </c>
      <c r="G349" s="14" t="n">
        <v>35</v>
      </c>
      <c r="H349" s="14" t="n">
        <v>35</v>
      </c>
      <c r="I349" s="14" t="n">
        <v>0</v>
      </c>
      <c r="J349" s="58" t="n">
        <v>1822.8</v>
      </c>
      <c r="K349" s="59">
        <f>(F349-D349)/7</f>
        <v/>
      </c>
      <c r="L349" s="59">
        <f>K349^2</f>
        <v/>
      </c>
      <c r="M349" s="14">
        <f>IF(F349&lt;=E349,1,0)</f>
        <v/>
      </c>
      <c r="N349" s="14">
        <f>MAX(0,F349-E349)</f>
        <v/>
      </c>
    </row>
    <row r="350">
      <c r="A350" s="14" t="inlineStr">
        <is>
          <t>PO-00349</t>
        </is>
      </c>
      <c r="B350" s="14" t="inlineStr">
        <is>
          <t>S01</t>
        </is>
      </c>
      <c r="C350" s="14" t="inlineStr">
        <is>
          <t>NB-0014</t>
        </is>
      </c>
      <c r="D350" s="26" t="n">
        <v>45576</v>
      </c>
      <c r="E350" s="26" t="n">
        <v>45590</v>
      </c>
      <c r="F350" s="26" t="n">
        <v>45590</v>
      </c>
      <c r="G350" s="14" t="n">
        <v>28</v>
      </c>
      <c r="H350" s="14" t="n">
        <v>28</v>
      </c>
      <c r="I350" s="14" t="n">
        <v>0</v>
      </c>
      <c r="J350" s="58" t="n">
        <v>1458.24</v>
      </c>
      <c r="K350" s="59">
        <f>(F350-D350)/7</f>
        <v/>
      </c>
      <c r="L350" s="59">
        <f>K350^2</f>
        <v/>
      </c>
      <c r="M350" s="14">
        <f>IF(F350&lt;=E350,1,0)</f>
        <v/>
      </c>
      <c r="N350" s="14">
        <f>MAX(0,F350-E350)</f>
        <v/>
      </c>
    </row>
    <row r="351">
      <c r="A351" s="14" t="inlineStr">
        <is>
          <t>PO-00350</t>
        </is>
      </c>
      <c r="B351" s="14" t="inlineStr">
        <is>
          <t>S01</t>
        </is>
      </c>
      <c r="C351" s="14" t="inlineStr">
        <is>
          <t>NB-0014</t>
        </is>
      </c>
      <c r="D351" s="26" t="n">
        <v>45603</v>
      </c>
      <c r="E351" s="26" t="n">
        <v>45617</v>
      </c>
      <c r="F351" s="26" t="n">
        <v>45617</v>
      </c>
      <c r="G351" s="14" t="n">
        <v>32</v>
      </c>
      <c r="H351" s="14" t="n">
        <v>32</v>
      </c>
      <c r="I351" s="14" t="n">
        <v>0</v>
      </c>
      <c r="J351" s="58" t="n">
        <v>1666.56</v>
      </c>
      <c r="K351" s="59">
        <f>(F351-D351)/7</f>
        <v/>
      </c>
      <c r="L351" s="59">
        <f>K351^2</f>
        <v/>
      </c>
      <c r="M351" s="14">
        <f>IF(F351&lt;=E351,1,0)</f>
        <v/>
      </c>
      <c r="N351" s="14">
        <f>MAX(0,F351-E351)</f>
        <v/>
      </c>
    </row>
    <row r="352">
      <c r="A352" s="14" t="inlineStr">
        <is>
          <t>PO-00351</t>
        </is>
      </c>
      <c r="B352" s="14" t="inlineStr">
        <is>
          <t>S01</t>
        </is>
      </c>
      <c r="C352" s="14" t="inlineStr">
        <is>
          <t>NB-0014</t>
        </is>
      </c>
      <c r="D352" s="26" t="n">
        <v>45631</v>
      </c>
      <c r="E352" s="26" t="n">
        <v>45645</v>
      </c>
      <c r="F352" s="26" t="n">
        <v>45645</v>
      </c>
      <c r="G352" s="14" t="n">
        <v>27</v>
      </c>
      <c r="H352" s="14" t="n">
        <v>27</v>
      </c>
      <c r="I352" s="14" t="n">
        <v>0</v>
      </c>
      <c r="J352" s="58" t="n">
        <v>1406.16</v>
      </c>
      <c r="K352" s="59">
        <f>(F352-D352)/7</f>
        <v/>
      </c>
      <c r="L352" s="59">
        <f>K352^2</f>
        <v/>
      </c>
      <c r="M352" s="14">
        <f>IF(F352&lt;=E352,1,0)</f>
        <v/>
      </c>
      <c r="N352" s="14">
        <f>MAX(0,F352-E352)</f>
        <v/>
      </c>
    </row>
    <row r="353">
      <c r="A353" s="14" t="inlineStr">
        <is>
          <t>PO-00352</t>
        </is>
      </c>
      <c r="B353" s="14" t="inlineStr">
        <is>
          <t>S01</t>
        </is>
      </c>
      <c r="C353" s="14" t="inlineStr">
        <is>
          <t>NB-0014</t>
        </is>
      </c>
      <c r="D353" s="26" t="n">
        <v>45660</v>
      </c>
      <c r="E353" s="26" t="n">
        <v>45674</v>
      </c>
      <c r="F353" s="26" t="n">
        <v>45674</v>
      </c>
      <c r="G353" s="14" t="n">
        <v>31</v>
      </c>
      <c r="H353" s="14" t="n">
        <v>31</v>
      </c>
      <c r="I353" s="14" t="n">
        <v>0</v>
      </c>
      <c r="J353" s="58" t="n">
        <v>1614.48</v>
      </c>
      <c r="K353" s="59">
        <f>(F353-D353)/7</f>
        <v/>
      </c>
      <c r="L353" s="59">
        <f>K353^2</f>
        <v/>
      </c>
      <c r="M353" s="14">
        <f>IF(F353&lt;=E353,1,0)</f>
        <v/>
      </c>
      <c r="N353" s="14">
        <f>MAX(0,F353-E353)</f>
        <v/>
      </c>
    </row>
    <row r="354">
      <c r="A354" s="14" t="inlineStr">
        <is>
          <t>PO-00353</t>
        </is>
      </c>
      <c r="B354" s="14" t="inlineStr">
        <is>
          <t>S01</t>
        </is>
      </c>
      <c r="C354" s="14" t="inlineStr">
        <is>
          <t>NB-0014</t>
        </is>
      </c>
      <c r="D354" s="26" t="n">
        <v>45685</v>
      </c>
      <c r="E354" s="26" t="n">
        <v>45699</v>
      </c>
      <c r="F354" s="26" t="n">
        <v>45697</v>
      </c>
      <c r="G354" s="14" t="n">
        <v>27</v>
      </c>
      <c r="H354" s="14" t="n">
        <v>27</v>
      </c>
      <c r="I354" s="14" t="n">
        <v>0</v>
      </c>
      <c r="J354" s="58" t="n">
        <v>1406.16</v>
      </c>
      <c r="K354" s="59">
        <f>(F354-D354)/7</f>
        <v/>
      </c>
      <c r="L354" s="59">
        <f>K354^2</f>
        <v/>
      </c>
      <c r="M354" s="14">
        <f>IF(F354&lt;=E354,1,0)</f>
        <v/>
      </c>
      <c r="N354" s="14">
        <f>MAX(0,F354-E354)</f>
        <v/>
      </c>
    </row>
    <row r="355">
      <c r="A355" s="14" t="inlineStr">
        <is>
          <t>PO-00354</t>
        </is>
      </c>
      <c r="B355" s="14" t="inlineStr">
        <is>
          <t>S01</t>
        </is>
      </c>
      <c r="C355" s="14" t="inlineStr">
        <is>
          <t>NB-0014</t>
        </is>
      </c>
      <c r="D355" s="26" t="n">
        <v>45716</v>
      </c>
      <c r="E355" s="26" t="n">
        <v>45730</v>
      </c>
      <c r="F355" s="26" t="n">
        <v>45730</v>
      </c>
      <c r="G355" s="14" t="n">
        <v>35</v>
      </c>
      <c r="H355" s="14" t="n">
        <v>35</v>
      </c>
      <c r="I355" s="14" t="n">
        <v>1</v>
      </c>
      <c r="J355" s="58" t="n">
        <v>1822.8</v>
      </c>
      <c r="K355" s="59">
        <f>(F355-D355)/7</f>
        <v/>
      </c>
      <c r="L355" s="59">
        <f>K355^2</f>
        <v/>
      </c>
      <c r="M355" s="14">
        <f>IF(F355&lt;=E355,1,0)</f>
        <v/>
      </c>
      <c r="N355" s="14">
        <f>MAX(0,F355-E355)</f>
        <v/>
      </c>
    </row>
    <row r="356">
      <c r="A356" s="14" t="inlineStr">
        <is>
          <t>PO-00355</t>
        </is>
      </c>
      <c r="B356" s="14" t="inlineStr">
        <is>
          <t>S01</t>
        </is>
      </c>
      <c r="C356" s="14" t="inlineStr">
        <is>
          <t>NB-0014</t>
        </is>
      </c>
      <c r="D356" s="26" t="n">
        <v>45742</v>
      </c>
      <c r="E356" s="26" t="n">
        <v>45756</v>
      </c>
      <c r="F356" s="26" t="n">
        <v>45753</v>
      </c>
      <c r="G356" s="14" t="n">
        <v>30</v>
      </c>
      <c r="H356" s="14" t="n">
        <v>30</v>
      </c>
      <c r="I356" s="14" t="n">
        <v>0</v>
      </c>
      <c r="J356" s="58" t="n">
        <v>1562.4</v>
      </c>
      <c r="K356" s="59">
        <f>(F356-D356)/7</f>
        <v/>
      </c>
      <c r="L356" s="59">
        <f>K356^2</f>
        <v/>
      </c>
      <c r="M356" s="14">
        <f>IF(F356&lt;=E356,1,0)</f>
        <v/>
      </c>
      <c r="N356" s="14">
        <f>MAX(0,F356-E356)</f>
        <v/>
      </c>
    </row>
    <row r="357">
      <c r="A357" s="14" t="inlineStr">
        <is>
          <t>PO-00356</t>
        </is>
      </c>
      <c r="B357" s="14" t="inlineStr">
        <is>
          <t>S01</t>
        </is>
      </c>
      <c r="C357" s="14" t="inlineStr">
        <is>
          <t>NB-0014</t>
        </is>
      </c>
      <c r="D357" s="26" t="n">
        <v>45770</v>
      </c>
      <c r="E357" s="26" t="n">
        <v>45784</v>
      </c>
      <c r="F357" s="26" t="n">
        <v>45784</v>
      </c>
      <c r="G357" s="14" t="n">
        <v>27</v>
      </c>
      <c r="H357" s="14" t="n">
        <v>27</v>
      </c>
      <c r="I357" s="14" t="n">
        <v>0</v>
      </c>
      <c r="J357" s="58" t="n">
        <v>1406.16</v>
      </c>
      <c r="K357" s="59">
        <f>(F357-D357)/7</f>
        <v/>
      </c>
      <c r="L357" s="59">
        <f>K357^2</f>
        <v/>
      </c>
      <c r="M357" s="14">
        <f>IF(F357&lt;=E357,1,0)</f>
        <v/>
      </c>
      <c r="N357" s="14">
        <f>MAX(0,F357-E357)</f>
        <v/>
      </c>
    </row>
    <row r="358">
      <c r="A358" s="14" t="inlineStr">
        <is>
          <t>PO-00357</t>
        </is>
      </c>
      <c r="B358" s="14" t="inlineStr">
        <is>
          <t>S01</t>
        </is>
      </c>
      <c r="C358" s="14" t="inlineStr">
        <is>
          <t>NB-0014</t>
        </is>
      </c>
      <c r="D358" s="26" t="n">
        <v>45797</v>
      </c>
      <c r="E358" s="26" t="n">
        <v>45811</v>
      </c>
      <c r="F358" s="26" t="n">
        <v>45809</v>
      </c>
      <c r="G358" s="14" t="n">
        <v>32</v>
      </c>
      <c r="H358" s="14" t="n">
        <v>32</v>
      </c>
      <c r="I358" s="14" t="n">
        <v>1</v>
      </c>
      <c r="J358" s="58" t="n">
        <v>1666.56</v>
      </c>
      <c r="K358" s="59">
        <f>(F358-D358)/7</f>
        <v/>
      </c>
      <c r="L358" s="59">
        <f>K358^2</f>
        <v/>
      </c>
      <c r="M358" s="14">
        <f>IF(F358&lt;=E358,1,0)</f>
        <v/>
      </c>
      <c r="N358" s="14">
        <f>MAX(0,F358-E358)</f>
        <v/>
      </c>
    </row>
    <row r="359">
      <c r="A359" s="14" t="inlineStr">
        <is>
          <t>PO-00358</t>
        </is>
      </c>
      <c r="B359" s="14" t="inlineStr">
        <is>
          <t>S01</t>
        </is>
      </c>
      <c r="C359" s="14" t="inlineStr">
        <is>
          <t>NB-0014</t>
        </is>
      </c>
      <c r="D359" s="26" t="n">
        <v>45824</v>
      </c>
      <c r="E359" s="26" t="n">
        <v>45838</v>
      </c>
      <c r="F359" s="26" t="n">
        <v>45838</v>
      </c>
      <c r="G359" s="14" t="n">
        <v>30</v>
      </c>
      <c r="H359" s="14" t="n">
        <v>27</v>
      </c>
      <c r="I359" s="14" t="n">
        <v>1</v>
      </c>
      <c r="J359" s="58" t="n">
        <v>1562.4</v>
      </c>
      <c r="K359" s="59">
        <f>(F359-D359)/7</f>
        <v/>
      </c>
      <c r="L359" s="59">
        <f>K359^2</f>
        <v/>
      </c>
      <c r="M359" s="14">
        <f>IF(F359&lt;=E359,1,0)</f>
        <v/>
      </c>
      <c r="N359" s="14">
        <f>MAX(0,F359-E359)</f>
        <v/>
      </c>
    </row>
    <row r="360">
      <c r="A360" s="14" t="inlineStr">
        <is>
          <t>PO-00359</t>
        </is>
      </c>
      <c r="B360" s="14" t="inlineStr">
        <is>
          <t>S01</t>
        </is>
      </c>
      <c r="C360" s="14" t="inlineStr">
        <is>
          <t>NB-0014</t>
        </is>
      </c>
      <c r="D360" s="26" t="n">
        <v>45852</v>
      </c>
      <c r="E360" s="26" t="n">
        <v>45866</v>
      </c>
      <c r="F360" s="26" t="n">
        <v>45866</v>
      </c>
      <c r="G360" s="14" t="n">
        <v>33</v>
      </c>
      <c r="H360" s="14" t="n">
        <v>33</v>
      </c>
      <c r="I360" s="14" t="n">
        <v>0</v>
      </c>
      <c r="J360" s="58" t="n">
        <v>1718.64</v>
      </c>
      <c r="K360" s="59">
        <f>(F360-D360)/7</f>
        <v/>
      </c>
      <c r="L360" s="59">
        <f>K360^2</f>
        <v/>
      </c>
      <c r="M360" s="14">
        <f>IF(F360&lt;=E360,1,0)</f>
        <v/>
      </c>
      <c r="N360" s="14">
        <f>MAX(0,F360-E360)</f>
        <v/>
      </c>
    </row>
    <row r="361">
      <c r="A361" s="14" t="inlineStr">
        <is>
          <t>PO-00360</t>
        </is>
      </c>
      <c r="B361" s="14" t="inlineStr">
        <is>
          <t>S01</t>
        </is>
      </c>
      <c r="C361" s="14" t="inlineStr">
        <is>
          <t>NB-0014</t>
        </is>
      </c>
      <c r="D361" s="26" t="n">
        <v>45884</v>
      </c>
      <c r="E361" s="26" t="n">
        <v>45898</v>
      </c>
      <c r="F361" s="26" t="n">
        <v>45898</v>
      </c>
      <c r="G361" s="14" t="n">
        <v>30</v>
      </c>
      <c r="H361" s="14" t="n">
        <v>30</v>
      </c>
      <c r="I361" s="14" t="n">
        <v>0</v>
      </c>
      <c r="J361" s="58" t="n">
        <v>1562.4</v>
      </c>
      <c r="K361" s="59">
        <f>(F361-D361)/7</f>
        <v/>
      </c>
      <c r="L361" s="59">
        <f>K361^2</f>
        <v/>
      </c>
      <c r="M361" s="14">
        <f>IF(F361&lt;=E361,1,0)</f>
        <v/>
      </c>
      <c r="N361" s="14">
        <f>MAX(0,F361-E361)</f>
        <v/>
      </c>
    </row>
    <row r="362">
      <c r="A362" s="14" t="inlineStr">
        <is>
          <t>PO-00361</t>
        </is>
      </c>
      <c r="B362" s="14" t="inlineStr">
        <is>
          <t>S01</t>
        </is>
      </c>
      <c r="C362" s="14" t="inlineStr">
        <is>
          <t>NB-0014</t>
        </is>
      </c>
      <c r="D362" s="26" t="n">
        <v>45912</v>
      </c>
      <c r="E362" s="26" t="n">
        <v>45926</v>
      </c>
      <c r="F362" s="26" t="n">
        <v>45926</v>
      </c>
      <c r="G362" s="14" t="n">
        <v>29</v>
      </c>
      <c r="H362" s="14" t="n">
        <v>29</v>
      </c>
      <c r="I362" s="14" t="n">
        <v>0</v>
      </c>
      <c r="J362" s="58" t="n">
        <v>1510.32</v>
      </c>
      <c r="K362" s="59">
        <f>(F362-D362)/7</f>
        <v/>
      </c>
      <c r="L362" s="59">
        <f>K362^2</f>
        <v/>
      </c>
      <c r="M362" s="14">
        <f>IF(F362&lt;=E362,1,0)</f>
        <v/>
      </c>
      <c r="N362" s="14">
        <f>MAX(0,F362-E362)</f>
        <v/>
      </c>
    </row>
    <row r="363">
      <c r="A363" s="14" t="inlineStr">
        <is>
          <t>PO-00362</t>
        </is>
      </c>
      <c r="B363" s="14" t="inlineStr">
        <is>
          <t>S01</t>
        </is>
      </c>
      <c r="C363" s="14" t="inlineStr">
        <is>
          <t>NB-0014</t>
        </is>
      </c>
      <c r="D363" s="26" t="n">
        <v>45939</v>
      </c>
      <c r="E363" s="26" t="n">
        <v>45953</v>
      </c>
      <c r="F363" s="26" t="n">
        <v>45952</v>
      </c>
      <c r="G363" s="14" t="n">
        <v>35</v>
      </c>
      <c r="H363" s="14" t="n">
        <v>35</v>
      </c>
      <c r="I363" s="14" t="n">
        <v>0</v>
      </c>
      <c r="J363" s="58" t="n">
        <v>1822.8</v>
      </c>
      <c r="K363" s="59">
        <f>(F363-D363)/7</f>
        <v/>
      </c>
      <c r="L363" s="59">
        <f>K363^2</f>
        <v/>
      </c>
      <c r="M363" s="14">
        <f>IF(F363&lt;=E363,1,0)</f>
        <v/>
      </c>
      <c r="N363" s="14">
        <f>MAX(0,F363-E363)</f>
        <v/>
      </c>
    </row>
    <row r="364">
      <c r="A364" s="14" t="inlineStr">
        <is>
          <t>PO-00363</t>
        </is>
      </c>
      <c r="B364" s="14" t="inlineStr">
        <is>
          <t>S01</t>
        </is>
      </c>
      <c r="C364" s="14" t="inlineStr">
        <is>
          <t>NB-0014</t>
        </is>
      </c>
      <c r="D364" s="26" t="n">
        <v>45965</v>
      </c>
      <c r="E364" s="26" t="n">
        <v>45979</v>
      </c>
      <c r="F364" s="26" t="n">
        <v>45979</v>
      </c>
      <c r="G364" s="14" t="n">
        <v>29</v>
      </c>
      <c r="H364" s="14" t="n">
        <v>29</v>
      </c>
      <c r="I364" s="14" t="n">
        <v>0</v>
      </c>
      <c r="J364" s="58" t="n">
        <v>1510.32</v>
      </c>
      <c r="K364" s="59">
        <f>(F364-D364)/7</f>
        <v/>
      </c>
      <c r="L364" s="59">
        <f>K364^2</f>
        <v/>
      </c>
      <c r="M364" s="14">
        <f>IF(F364&lt;=E364,1,0)</f>
        <v/>
      </c>
      <c r="N364" s="14">
        <f>MAX(0,F364-E364)</f>
        <v/>
      </c>
    </row>
    <row r="365">
      <c r="A365" s="14" t="inlineStr">
        <is>
          <t>PO-00364</t>
        </is>
      </c>
      <c r="B365" s="14" t="inlineStr">
        <is>
          <t>S01</t>
        </is>
      </c>
      <c r="C365" s="14" t="inlineStr">
        <is>
          <t>NB-0014</t>
        </is>
      </c>
      <c r="D365" s="26" t="n">
        <v>45993</v>
      </c>
      <c r="E365" s="26" t="n">
        <v>46007</v>
      </c>
      <c r="F365" s="26" t="n">
        <v>46005</v>
      </c>
      <c r="G365" s="14" t="n">
        <v>27</v>
      </c>
      <c r="H365" s="14" t="n">
        <v>27</v>
      </c>
      <c r="I365" s="14" t="n">
        <v>0</v>
      </c>
      <c r="J365" s="58" t="n">
        <v>1406.16</v>
      </c>
      <c r="K365" s="59">
        <f>(F365-D365)/7</f>
        <v/>
      </c>
      <c r="L365" s="59">
        <f>K365^2</f>
        <v/>
      </c>
      <c r="M365" s="14">
        <f>IF(F365&lt;=E365,1,0)</f>
        <v/>
      </c>
      <c r="N365" s="14">
        <f>MAX(0,F365-E365)</f>
        <v/>
      </c>
    </row>
    <row r="366">
      <c r="A366" s="14" t="inlineStr">
        <is>
          <t>PO-00365</t>
        </is>
      </c>
      <c r="B366" s="14" t="inlineStr">
        <is>
          <t>S01</t>
        </is>
      </c>
      <c r="C366" s="14" t="inlineStr">
        <is>
          <t>NB-0015</t>
        </is>
      </c>
      <c r="D366" s="26" t="n">
        <v>45292</v>
      </c>
      <c r="E366" s="26" t="n">
        <v>45306</v>
      </c>
      <c r="F366" s="26" t="n">
        <v>45303</v>
      </c>
      <c r="G366" s="14" t="n">
        <v>165</v>
      </c>
      <c r="H366" s="14" t="n">
        <v>165</v>
      </c>
      <c r="I366" s="14" t="n">
        <v>0</v>
      </c>
      <c r="J366" s="58" t="n">
        <v>6887.1</v>
      </c>
      <c r="K366" s="59">
        <f>(F366-D366)/7</f>
        <v/>
      </c>
      <c r="L366" s="59">
        <f>K366^2</f>
        <v/>
      </c>
      <c r="M366" s="14">
        <f>IF(F366&lt;=E366,1,0)</f>
        <v/>
      </c>
      <c r="N366" s="14">
        <f>MAX(0,F366-E366)</f>
        <v/>
      </c>
    </row>
    <row r="367">
      <c r="A367" s="14" t="inlineStr">
        <is>
          <t>PO-00366</t>
        </is>
      </c>
      <c r="B367" s="14" t="inlineStr">
        <is>
          <t>S01</t>
        </is>
      </c>
      <c r="C367" s="14" t="inlineStr">
        <is>
          <t>NB-0015</t>
        </is>
      </c>
      <c r="D367" s="26" t="n">
        <v>45323</v>
      </c>
      <c r="E367" s="26" t="n">
        <v>45337</v>
      </c>
      <c r="F367" s="26" t="n">
        <v>45335</v>
      </c>
      <c r="G367" s="14" t="n">
        <v>175</v>
      </c>
      <c r="H367" s="14" t="n">
        <v>175</v>
      </c>
      <c r="I367" s="14" t="n">
        <v>1</v>
      </c>
      <c r="J367" s="58" t="n">
        <v>7304.5</v>
      </c>
      <c r="K367" s="59">
        <f>(F367-D367)/7</f>
        <v/>
      </c>
      <c r="L367" s="59">
        <f>K367^2</f>
        <v/>
      </c>
      <c r="M367" s="14">
        <f>IF(F367&lt;=E367,1,0)</f>
        <v/>
      </c>
      <c r="N367" s="14">
        <f>MAX(0,F367-E367)</f>
        <v/>
      </c>
    </row>
    <row r="368">
      <c r="A368" s="14" t="inlineStr">
        <is>
          <t>PO-00367</t>
        </is>
      </c>
      <c r="B368" s="14" t="inlineStr">
        <is>
          <t>S01</t>
        </is>
      </c>
      <c r="C368" s="14" t="inlineStr">
        <is>
          <t>NB-0015</t>
        </is>
      </c>
      <c r="D368" s="26" t="n">
        <v>45351</v>
      </c>
      <c r="E368" s="26" t="n">
        <v>45365</v>
      </c>
      <c r="F368" s="26" t="n">
        <v>45362</v>
      </c>
      <c r="G368" s="14" t="n">
        <v>148</v>
      </c>
      <c r="H368" s="14" t="n">
        <v>148</v>
      </c>
      <c r="I368" s="14" t="n">
        <v>2</v>
      </c>
      <c r="J368" s="58" t="n">
        <v>6177.52</v>
      </c>
      <c r="K368" s="59">
        <f>(F368-D368)/7</f>
        <v/>
      </c>
      <c r="L368" s="59">
        <f>K368^2</f>
        <v/>
      </c>
      <c r="M368" s="14">
        <f>IF(F368&lt;=E368,1,0)</f>
        <v/>
      </c>
      <c r="N368" s="14">
        <f>MAX(0,F368-E368)</f>
        <v/>
      </c>
    </row>
    <row r="369">
      <c r="A369" s="14" t="inlineStr">
        <is>
          <t>PO-00368</t>
        </is>
      </c>
      <c r="B369" s="14" t="inlineStr">
        <is>
          <t>S01</t>
        </is>
      </c>
      <c r="C369" s="14" t="inlineStr">
        <is>
          <t>NB-0015</t>
        </is>
      </c>
      <c r="D369" s="26" t="n">
        <v>45376</v>
      </c>
      <c r="E369" s="26" t="n">
        <v>45390</v>
      </c>
      <c r="F369" s="26" t="n">
        <v>45390</v>
      </c>
      <c r="G369" s="14" t="n">
        <v>190</v>
      </c>
      <c r="H369" s="14" t="n">
        <v>190</v>
      </c>
      <c r="I369" s="14" t="n">
        <v>1</v>
      </c>
      <c r="J369" s="58" t="n">
        <v>7930.6</v>
      </c>
      <c r="K369" s="59">
        <f>(F369-D369)/7</f>
        <v/>
      </c>
      <c r="L369" s="59">
        <f>K369^2</f>
        <v/>
      </c>
      <c r="M369" s="14">
        <f>IF(F369&lt;=E369,1,0)</f>
        <v/>
      </c>
      <c r="N369" s="14">
        <f>MAX(0,F369-E369)</f>
        <v/>
      </c>
    </row>
    <row r="370">
      <c r="A370" s="14" t="inlineStr">
        <is>
          <t>PO-00369</t>
        </is>
      </c>
      <c r="B370" s="14" t="inlineStr">
        <is>
          <t>S01</t>
        </is>
      </c>
      <c r="C370" s="14" t="inlineStr">
        <is>
          <t>NB-0015</t>
        </is>
      </c>
      <c r="D370" s="26" t="n">
        <v>45408</v>
      </c>
      <c r="E370" s="26" t="n">
        <v>45422</v>
      </c>
      <c r="F370" s="26" t="n">
        <v>45422</v>
      </c>
      <c r="G370" s="14" t="n">
        <v>169</v>
      </c>
      <c r="H370" s="14" t="n">
        <v>169</v>
      </c>
      <c r="I370" s="14" t="n">
        <v>0</v>
      </c>
      <c r="J370" s="58" t="n">
        <v>7054.06</v>
      </c>
      <c r="K370" s="59">
        <f>(F370-D370)/7</f>
        <v/>
      </c>
      <c r="L370" s="59">
        <f>K370^2</f>
        <v/>
      </c>
      <c r="M370" s="14">
        <f>IF(F370&lt;=E370,1,0)</f>
        <v/>
      </c>
      <c r="N370" s="14">
        <f>MAX(0,F370-E370)</f>
        <v/>
      </c>
    </row>
    <row r="371">
      <c r="A371" s="14" t="inlineStr">
        <is>
          <t>PO-00370</t>
        </is>
      </c>
      <c r="B371" s="14" t="inlineStr">
        <is>
          <t>S01</t>
        </is>
      </c>
      <c r="C371" s="14" t="inlineStr">
        <is>
          <t>NB-0015</t>
        </is>
      </c>
      <c r="D371" s="26" t="n">
        <v>45432</v>
      </c>
      <c r="E371" s="26" t="n">
        <v>45446</v>
      </c>
      <c r="F371" s="26" t="n">
        <v>45444</v>
      </c>
      <c r="G371" s="14" t="n">
        <v>157</v>
      </c>
      <c r="H371" s="14" t="n">
        <v>157</v>
      </c>
      <c r="I371" s="14" t="n">
        <v>0</v>
      </c>
      <c r="J371" s="58" t="n">
        <v>6553.18</v>
      </c>
      <c r="K371" s="59">
        <f>(F371-D371)/7</f>
        <v/>
      </c>
      <c r="L371" s="59">
        <f>K371^2</f>
        <v/>
      </c>
      <c r="M371" s="14">
        <f>IF(F371&lt;=E371,1,0)</f>
        <v/>
      </c>
      <c r="N371" s="14">
        <f>MAX(0,F371-E371)</f>
        <v/>
      </c>
    </row>
    <row r="372">
      <c r="A372" s="14" t="inlineStr">
        <is>
          <t>PO-00371</t>
        </is>
      </c>
      <c r="B372" s="14" t="inlineStr">
        <is>
          <t>S01</t>
        </is>
      </c>
      <c r="C372" s="14" t="inlineStr">
        <is>
          <t>NB-0015</t>
        </is>
      </c>
      <c r="D372" s="26" t="n">
        <v>45461</v>
      </c>
      <c r="E372" s="26" t="n">
        <v>45475</v>
      </c>
      <c r="F372" s="26" t="n">
        <v>45474</v>
      </c>
      <c r="G372" s="14" t="n">
        <v>144</v>
      </c>
      <c r="H372" s="14" t="n">
        <v>144</v>
      </c>
      <c r="I372" s="14" t="n">
        <v>0</v>
      </c>
      <c r="J372" s="58" t="n">
        <v>6010.56</v>
      </c>
      <c r="K372" s="59">
        <f>(F372-D372)/7</f>
        <v/>
      </c>
      <c r="L372" s="59">
        <f>K372^2</f>
        <v/>
      </c>
      <c r="M372" s="14">
        <f>IF(F372&lt;=E372,1,0)</f>
        <v/>
      </c>
      <c r="N372" s="14">
        <f>MAX(0,F372-E372)</f>
        <v/>
      </c>
    </row>
    <row r="373">
      <c r="A373" s="14" t="inlineStr">
        <is>
          <t>PO-00372</t>
        </is>
      </c>
      <c r="B373" s="14" t="inlineStr">
        <is>
          <t>S01</t>
        </is>
      </c>
      <c r="C373" s="14" t="inlineStr">
        <is>
          <t>NB-0015</t>
        </is>
      </c>
      <c r="D373" s="26" t="n">
        <v>45490</v>
      </c>
      <c r="E373" s="26" t="n">
        <v>45504</v>
      </c>
      <c r="F373" s="26" t="n">
        <v>45504</v>
      </c>
      <c r="G373" s="14" t="n">
        <v>150</v>
      </c>
      <c r="H373" s="14" t="n">
        <v>150</v>
      </c>
      <c r="I373" s="14" t="n">
        <v>1</v>
      </c>
      <c r="J373" s="58" t="n">
        <v>6261</v>
      </c>
      <c r="K373" s="59">
        <f>(F373-D373)/7</f>
        <v/>
      </c>
      <c r="L373" s="59">
        <f>K373^2</f>
        <v/>
      </c>
      <c r="M373" s="14">
        <f>IF(F373&lt;=E373,1,0)</f>
        <v/>
      </c>
      <c r="N373" s="14">
        <f>MAX(0,F373-E373)</f>
        <v/>
      </c>
    </row>
    <row r="374">
      <c r="A374" s="14" t="inlineStr">
        <is>
          <t>PO-00373</t>
        </is>
      </c>
      <c r="B374" s="14" t="inlineStr">
        <is>
          <t>S01</t>
        </is>
      </c>
      <c r="C374" s="14" t="inlineStr">
        <is>
          <t>NB-0015</t>
        </is>
      </c>
      <c r="D374" s="26" t="n">
        <v>45516</v>
      </c>
      <c r="E374" s="26" t="n">
        <v>45530</v>
      </c>
      <c r="F374" s="26" t="n">
        <v>45529</v>
      </c>
      <c r="G374" s="14" t="n">
        <v>186</v>
      </c>
      <c r="H374" s="14" t="n">
        <v>186</v>
      </c>
      <c r="I374" s="14" t="n">
        <v>5</v>
      </c>
      <c r="J374" s="58" t="n">
        <v>7763.64</v>
      </c>
      <c r="K374" s="59">
        <f>(F374-D374)/7</f>
        <v/>
      </c>
      <c r="L374" s="59">
        <f>K374^2</f>
        <v/>
      </c>
      <c r="M374" s="14">
        <f>IF(F374&lt;=E374,1,0)</f>
        <v/>
      </c>
      <c r="N374" s="14">
        <f>MAX(0,F374-E374)</f>
        <v/>
      </c>
    </row>
    <row r="375">
      <c r="A375" s="14" t="inlineStr">
        <is>
          <t>PO-00374</t>
        </is>
      </c>
      <c r="B375" s="14" t="inlineStr">
        <is>
          <t>S01</t>
        </is>
      </c>
      <c r="C375" s="14" t="inlineStr">
        <is>
          <t>NB-0015</t>
        </is>
      </c>
      <c r="D375" s="26" t="n">
        <v>45545</v>
      </c>
      <c r="E375" s="26" t="n">
        <v>45559</v>
      </c>
      <c r="F375" s="26" t="n">
        <v>45558</v>
      </c>
      <c r="G375" s="14" t="n">
        <v>181</v>
      </c>
      <c r="H375" s="14" t="n">
        <v>181</v>
      </c>
      <c r="I375" s="14" t="n">
        <v>1</v>
      </c>
      <c r="J375" s="58" t="n">
        <v>7554.94</v>
      </c>
      <c r="K375" s="59">
        <f>(F375-D375)/7</f>
        <v/>
      </c>
      <c r="L375" s="59">
        <f>K375^2</f>
        <v/>
      </c>
      <c r="M375" s="14">
        <f>IF(F375&lt;=E375,1,0)</f>
        <v/>
      </c>
      <c r="N375" s="14">
        <f>MAX(0,F375-E375)</f>
        <v/>
      </c>
    </row>
    <row r="376">
      <c r="A376" s="14" t="inlineStr">
        <is>
          <t>PO-00375</t>
        </is>
      </c>
      <c r="B376" s="14" t="inlineStr">
        <is>
          <t>S01</t>
        </is>
      </c>
      <c r="C376" s="14" t="inlineStr">
        <is>
          <t>NB-0015</t>
        </is>
      </c>
      <c r="D376" s="26" t="n">
        <v>45573</v>
      </c>
      <c r="E376" s="26" t="n">
        <v>45587</v>
      </c>
      <c r="F376" s="26" t="n">
        <v>45587</v>
      </c>
      <c r="G376" s="14" t="n">
        <v>168</v>
      </c>
      <c r="H376" s="14" t="n">
        <v>168</v>
      </c>
      <c r="I376" s="14" t="n">
        <v>1</v>
      </c>
      <c r="J376" s="58" t="n">
        <v>7012.32</v>
      </c>
      <c r="K376" s="59">
        <f>(F376-D376)/7</f>
        <v/>
      </c>
      <c r="L376" s="59">
        <f>K376^2</f>
        <v/>
      </c>
      <c r="M376" s="14">
        <f>IF(F376&lt;=E376,1,0)</f>
        <v/>
      </c>
      <c r="N376" s="14">
        <f>MAX(0,F376-E376)</f>
        <v/>
      </c>
    </row>
    <row r="377">
      <c r="A377" s="14" t="inlineStr">
        <is>
          <t>PO-00376</t>
        </is>
      </c>
      <c r="B377" s="14" t="inlineStr">
        <is>
          <t>S01</t>
        </is>
      </c>
      <c r="C377" s="14" t="inlineStr">
        <is>
          <t>NB-0015</t>
        </is>
      </c>
      <c r="D377" s="26" t="n">
        <v>45604</v>
      </c>
      <c r="E377" s="26" t="n">
        <v>45618</v>
      </c>
      <c r="F377" s="26" t="n">
        <v>45617</v>
      </c>
      <c r="G377" s="14" t="n">
        <v>149</v>
      </c>
      <c r="H377" s="14" t="n">
        <v>149</v>
      </c>
      <c r="I377" s="14" t="n">
        <v>1</v>
      </c>
      <c r="J377" s="58" t="n">
        <v>6219.26</v>
      </c>
      <c r="K377" s="59">
        <f>(F377-D377)/7</f>
        <v/>
      </c>
      <c r="L377" s="59">
        <f>K377^2</f>
        <v/>
      </c>
      <c r="M377" s="14">
        <f>IF(F377&lt;=E377,1,0)</f>
        <v/>
      </c>
      <c r="N377" s="14">
        <f>MAX(0,F377-E377)</f>
        <v/>
      </c>
    </row>
    <row r="378">
      <c r="A378" s="14" t="inlineStr">
        <is>
          <t>PO-00377</t>
        </is>
      </c>
      <c r="B378" s="14" t="inlineStr">
        <is>
          <t>S01</t>
        </is>
      </c>
      <c r="C378" s="14" t="inlineStr">
        <is>
          <t>NB-0015</t>
        </is>
      </c>
      <c r="D378" s="26" t="n">
        <v>45631</v>
      </c>
      <c r="E378" s="26" t="n">
        <v>45645</v>
      </c>
      <c r="F378" s="26" t="n">
        <v>45644</v>
      </c>
      <c r="G378" s="14" t="n">
        <v>175</v>
      </c>
      <c r="H378" s="14" t="n">
        <v>175</v>
      </c>
      <c r="I378" s="14" t="n">
        <v>0</v>
      </c>
      <c r="J378" s="58" t="n">
        <v>7304.5</v>
      </c>
      <c r="K378" s="59">
        <f>(F378-D378)/7</f>
        <v/>
      </c>
      <c r="L378" s="59">
        <f>K378^2</f>
        <v/>
      </c>
      <c r="M378" s="14">
        <f>IF(F378&lt;=E378,1,0)</f>
        <v/>
      </c>
      <c r="N378" s="14">
        <f>MAX(0,F378-E378)</f>
        <v/>
      </c>
    </row>
    <row r="379">
      <c r="A379" s="14" t="inlineStr">
        <is>
          <t>PO-00378</t>
        </is>
      </c>
      <c r="B379" s="14" t="inlineStr">
        <is>
          <t>S01</t>
        </is>
      </c>
      <c r="C379" s="14" t="inlineStr">
        <is>
          <t>NB-0015</t>
        </is>
      </c>
      <c r="D379" s="26" t="n">
        <v>45657</v>
      </c>
      <c r="E379" s="26" t="n">
        <v>45671</v>
      </c>
      <c r="F379" s="26" t="n">
        <v>45669</v>
      </c>
      <c r="G379" s="14" t="n">
        <v>143</v>
      </c>
      <c r="H379" s="14" t="n">
        <v>143</v>
      </c>
      <c r="I379" s="14" t="n">
        <v>0</v>
      </c>
      <c r="J379" s="58" t="n">
        <v>5968.82</v>
      </c>
      <c r="K379" s="59">
        <f>(F379-D379)/7</f>
        <v/>
      </c>
      <c r="L379" s="59">
        <f>K379^2</f>
        <v/>
      </c>
      <c r="M379" s="14">
        <f>IF(F379&lt;=E379,1,0)</f>
        <v/>
      </c>
      <c r="N379" s="14">
        <f>MAX(0,F379-E379)</f>
        <v/>
      </c>
    </row>
    <row r="380">
      <c r="A380" s="14" t="inlineStr">
        <is>
          <t>PO-00379</t>
        </is>
      </c>
      <c r="B380" s="14" t="inlineStr">
        <is>
          <t>S01</t>
        </is>
      </c>
      <c r="C380" s="14" t="inlineStr">
        <is>
          <t>NB-0015</t>
        </is>
      </c>
      <c r="D380" s="26" t="n">
        <v>45684</v>
      </c>
      <c r="E380" s="26" t="n">
        <v>45698</v>
      </c>
      <c r="F380" s="26" t="n">
        <v>45696</v>
      </c>
      <c r="G380" s="14" t="n">
        <v>180</v>
      </c>
      <c r="H380" s="14" t="n">
        <v>180</v>
      </c>
      <c r="I380" s="14" t="n">
        <v>1</v>
      </c>
      <c r="J380" s="58" t="n">
        <v>7513.2</v>
      </c>
      <c r="K380" s="59">
        <f>(F380-D380)/7</f>
        <v/>
      </c>
      <c r="L380" s="59">
        <f>K380^2</f>
        <v/>
      </c>
      <c r="M380" s="14">
        <f>IF(F380&lt;=E380,1,0)</f>
        <v/>
      </c>
      <c r="N380" s="14">
        <f>MAX(0,F380-E380)</f>
        <v/>
      </c>
    </row>
    <row r="381">
      <c r="A381" s="14" t="inlineStr">
        <is>
          <t>PO-00380</t>
        </is>
      </c>
      <c r="B381" s="14" t="inlineStr">
        <is>
          <t>S01</t>
        </is>
      </c>
      <c r="C381" s="14" t="inlineStr">
        <is>
          <t>NB-0015</t>
        </is>
      </c>
      <c r="D381" s="26" t="n">
        <v>45716</v>
      </c>
      <c r="E381" s="26" t="n">
        <v>45730</v>
      </c>
      <c r="F381" s="26" t="n">
        <v>45728</v>
      </c>
      <c r="G381" s="14" t="n">
        <v>190</v>
      </c>
      <c r="H381" s="14" t="n">
        <v>190</v>
      </c>
      <c r="I381" s="14" t="n">
        <v>0</v>
      </c>
      <c r="J381" s="58" t="n">
        <v>7930.6</v>
      </c>
      <c r="K381" s="59">
        <f>(F381-D381)/7</f>
        <v/>
      </c>
      <c r="L381" s="59">
        <f>K381^2</f>
        <v/>
      </c>
      <c r="M381" s="14">
        <f>IF(F381&lt;=E381,1,0)</f>
        <v/>
      </c>
      <c r="N381" s="14">
        <f>MAX(0,F381-E381)</f>
        <v/>
      </c>
    </row>
    <row r="382">
      <c r="A382" s="14" t="inlineStr">
        <is>
          <t>PO-00381</t>
        </is>
      </c>
      <c r="B382" s="14" t="inlineStr">
        <is>
          <t>S01</t>
        </is>
      </c>
      <c r="C382" s="14" t="inlineStr">
        <is>
          <t>NB-0015</t>
        </is>
      </c>
      <c r="D382" s="26" t="n">
        <v>45743</v>
      </c>
      <c r="E382" s="26" t="n">
        <v>45757</v>
      </c>
      <c r="F382" s="26" t="n">
        <v>45754</v>
      </c>
      <c r="G382" s="14" t="n">
        <v>138</v>
      </c>
      <c r="H382" s="14" t="n">
        <v>138</v>
      </c>
      <c r="I382" s="14" t="n">
        <v>0</v>
      </c>
      <c r="J382" s="58" t="n">
        <v>5760.12</v>
      </c>
      <c r="K382" s="59">
        <f>(F382-D382)/7</f>
        <v/>
      </c>
      <c r="L382" s="59">
        <f>K382^2</f>
        <v/>
      </c>
      <c r="M382" s="14">
        <f>IF(F382&lt;=E382,1,0)</f>
        <v/>
      </c>
      <c r="N382" s="14">
        <f>MAX(0,F382-E382)</f>
        <v/>
      </c>
    </row>
    <row r="383">
      <c r="A383" s="14" t="inlineStr">
        <is>
          <t>PO-00382</t>
        </is>
      </c>
      <c r="B383" s="14" t="inlineStr">
        <is>
          <t>S01</t>
        </is>
      </c>
      <c r="C383" s="14" t="inlineStr">
        <is>
          <t>NB-0015</t>
        </is>
      </c>
      <c r="D383" s="26" t="n">
        <v>45768</v>
      </c>
      <c r="E383" s="26" t="n">
        <v>45782</v>
      </c>
      <c r="F383" s="26" t="n">
        <v>45780</v>
      </c>
      <c r="G383" s="14" t="n">
        <v>189</v>
      </c>
      <c r="H383" s="14" t="n">
        <v>189</v>
      </c>
      <c r="I383" s="14" t="n">
        <v>0</v>
      </c>
      <c r="J383" s="58" t="n">
        <v>7888.86</v>
      </c>
      <c r="K383" s="59">
        <f>(F383-D383)/7</f>
        <v/>
      </c>
      <c r="L383" s="59">
        <f>K383^2</f>
        <v/>
      </c>
      <c r="M383" s="14">
        <f>IF(F383&lt;=E383,1,0)</f>
        <v/>
      </c>
      <c r="N383" s="14">
        <f>MAX(0,F383-E383)</f>
        <v/>
      </c>
    </row>
    <row r="384">
      <c r="A384" s="14" t="inlineStr">
        <is>
          <t>PO-00383</t>
        </is>
      </c>
      <c r="B384" s="14" t="inlineStr">
        <is>
          <t>S01</t>
        </is>
      </c>
      <c r="C384" s="14" t="inlineStr">
        <is>
          <t>NB-0015</t>
        </is>
      </c>
      <c r="D384" s="26" t="n">
        <v>45800</v>
      </c>
      <c r="E384" s="26" t="n">
        <v>45814</v>
      </c>
      <c r="F384" s="26" t="n">
        <v>45811</v>
      </c>
      <c r="G384" s="14" t="n">
        <v>140</v>
      </c>
      <c r="H384" s="14" t="n">
        <v>140</v>
      </c>
      <c r="I384" s="14" t="n">
        <v>0</v>
      </c>
      <c r="J384" s="58" t="n">
        <v>5843.6</v>
      </c>
      <c r="K384" s="59">
        <f>(F384-D384)/7</f>
        <v/>
      </c>
      <c r="L384" s="59">
        <f>K384^2</f>
        <v/>
      </c>
      <c r="M384" s="14">
        <f>IF(F384&lt;=E384,1,0)</f>
        <v/>
      </c>
      <c r="N384" s="14">
        <f>MAX(0,F384-E384)</f>
        <v/>
      </c>
    </row>
    <row r="385">
      <c r="A385" s="14" t="inlineStr">
        <is>
          <t>PO-00384</t>
        </is>
      </c>
      <c r="B385" s="14" t="inlineStr">
        <is>
          <t>S01</t>
        </is>
      </c>
      <c r="C385" s="14" t="inlineStr">
        <is>
          <t>NB-0015</t>
        </is>
      </c>
      <c r="D385" s="26" t="n">
        <v>45827</v>
      </c>
      <c r="E385" s="26" t="n">
        <v>45841</v>
      </c>
      <c r="F385" s="26" t="n">
        <v>45839</v>
      </c>
      <c r="G385" s="14" t="n">
        <v>165</v>
      </c>
      <c r="H385" s="14" t="n">
        <v>165</v>
      </c>
      <c r="I385" s="14" t="n">
        <v>1</v>
      </c>
      <c r="J385" s="58" t="n">
        <v>6887.1</v>
      </c>
      <c r="K385" s="59">
        <f>(F385-D385)/7</f>
        <v/>
      </c>
      <c r="L385" s="59">
        <f>K385^2</f>
        <v/>
      </c>
      <c r="M385" s="14">
        <f>IF(F385&lt;=E385,1,0)</f>
        <v/>
      </c>
      <c r="N385" s="14">
        <f>MAX(0,F385-E385)</f>
        <v/>
      </c>
    </row>
    <row r="386">
      <c r="A386" s="14" t="inlineStr">
        <is>
          <t>PO-00385</t>
        </is>
      </c>
      <c r="B386" s="14" t="inlineStr">
        <is>
          <t>S01</t>
        </is>
      </c>
      <c r="C386" s="14" t="inlineStr">
        <is>
          <t>NB-0015</t>
        </is>
      </c>
      <c r="D386" s="26" t="n">
        <v>45853</v>
      </c>
      <c r="E386" s="26" t="n">
        <v>45867</v>
      </c>
      <c r="F386" s="26" t="n">
        <v>45865</v>
      </c>
      <c r="G386" s="14" t="n">
        <v>192</v>
      </c>
      <c r="H386" s="14" t="n">
        <v>192</v>
      </c>
      <c r="I386" s="14" t="n">
        <v>0</v>
      </c>
      <c r="J386" s="58" t="n">
        <v>8014.08</v>
      </c>
      <c r="K386" s="59">
        <f>(F386-D386)/7</f>
        <v/>
      </c>
      <c r="L386" s="59">
        <f>K386^2</f>
        <v/>
      </c>
      <c r="M386" s="14">
        <f>IF(F386&lt;=E386,1,0)</f>
        <v/>
      </c>
      <c r="N386" s="14">
        <f>MAX(0,F386-E386)</f>
        <v/>
      </c>
    </row>
    <row r="387">
      <c r="A387" s="14" t="inlineStr">
        <is>
          <t>PO-00386</t>
        </is>
      </c>
      <c r="B387" s="14" t="inlineStr">
        <is>
          <t>S01</t>
        </is>
      </c>
      <c r="C387" s="14" t="inlineStr">
        <is>
          <t>NB-0015</t>
        </is>
      </c>
      <c r="D387" s="26" t="n">
        <v>45883</v>
      </c>
      <c r="E387" s="26" t="n">
        <v>45897</v>
      </c>
      <c r="F387" s="26" t="n">
        <v>45897</v>
      </c>
      <c r="G387" s="14" t="n">
        <v>174</v>
      </c>
      <c r="H387" s="14" t="n">
        <v>168</v>
      </c>
      <c r="I387" s="14" t="n">
        <v>2</v>
      </c>
      <c r="J387" s="58" t="n">
        <v>7262.76</v>
      </c>
      <c r="K387" s="59">
        <f>(F387-D387)/7</f>
        <v/>
      </c>
      <c r="L387" s="59">
        <f>K387^2</f>
        <v/>
      </c>
      <c r="M387" s="14">
        <f>IF(F387&lt;=E387,1,0)</f>
        <v/>
      </c>
      <c r="N387" s="14">
        <f>MAX(0,F387-E387)</f>
        <v/>
      </c>
    </row>
    <row r="388">
      <c r="A388" s="14" t="inlineStr">
        <is>
          <t>PO-00387</t>
        </is>
      </c>
      <c r="B388" s="14" t="inlineStr">
        <is>
          <t>S01</t>
        </is>
      </c>
      <c r="C388" s="14" t="inlineStr">
        <is>
          <t>NB-0015</t>
        </is>
      </c>
      <c r="D388" s="26" t="n">
        <v>45910</v>
      </c>
      <c r="E388" s="26" t="n">
        <v>45924</v>
      </c>
      <c r="F388" s="26" t="n">
        <v>45924</v>
      </c>
      <c r="G388" s="14" t="n">
        <v>138</v>
      </c>
      <c r="H388" s="14" t="n">
        <v>138</v>
      </c>
      <c r="I388" s="14" t="n">
        <v>1</v>
      </c>
      <c r="J388" s="58" t="n">
        <v>5760.12</v>
      </c>
      <c r="K388" s="59">
        <f>(F388-D388)/7</f>
        <v/>
      </c>
      <c r="L388" s="59">
        <f>K388^2</f>
        <v/>
      </c>
      <c r="M388" s="14">
        <f>IF(F388&lt;=E388,1,0)</f>
        <v/>
      </c>
      <c r="N388" s="14">
        <f>MAX(0,F388-E388)</f>
        <v/>
      </c>
    </row>
    <row r="389">
      <c r="A389" s="14" t="inlineStr">
        <is>
          <t>PO-00388</t>
        </is>
      </c>
      <c r="B389" s="14" t="inlineStr">
        <is>
          <t>S01</t>
        </is>
      </c>
      <c r="C389" s="14" t="inlineStr">
        <is>
          <t>NB-0015</t>
        </is>
      </c>
      <c r="D389" s="26" t="n">
        <v>45936</v>
      </c>
      <c r="E389" s="26" t="n">
        <v>45950</v>
      </c>
      <c r="F389" s="26" t="n">
        <v>45949</v>
      </c>
      <c r="G389" s="14" t="n">
        <v>148</v>
      </c>
      <c r="H389" s="14" t="n">
        <v>148</v>
      </c>
      <c r="I389" s="14" t="n">
        <v>0</v>
      </c>
      <c r="J389" s="58" t="n">
        <v>6177.52</v>
      </c>
      <c r="K389" s="59">
        <f>(F389-D389)/7</f>
        <v/>
      </c>
      <c r="L389" s="59">
        <f>K389^2</f>
        <v/>
      </c>
      <c r="M389" s="14">
        <f>IF(F389&lt;=E389,1,0)</f>
        <v/>
      </c>
      <c r="N389" s="14">
        <f>MAX(0,F389-E389)</f>
        <v/>
      </c>
    </row>
    <row r="390">
      <c r="A390" s="14" t="inlineStr">
        <is>
          <t>PO-00389</t>
        </is>
      </c>
      <c r="B390" s="14" t="inlineStr">
        <is>
          <t>S01</t>
        </is>
      </c>
      <c r="C390" s="14" t="inlineStr">
        <is>
          <t>NB-0015</t>
        </is>
      </c>
      <c r="D390" s="26" t="n">
        <v>45965</v>
      </c>
      <c r="E390" s="26" t="n">
        <v>45979</v>
      </c>
      <c r="F390" s="26" t="n">
        <v>45978</v>
      </c>
      <c r="G390" s="14" t="n">
        <v>167</v>
      </c>
      <c r="H390" s="14" t="n">
        <v>167</v>
      </c>
      <c r="I390" s="14" t="n">
        <v>2</v>
      </c>
      <c r="J390" s="58" t="n">
        <v>6970.58</v>
      </c>
      <c r="K390" s="59">
        <f>(F390-D390)/7</f>
        <v/>
      </c>
      <c r="L390" s="59">
        <f>K390^2</f>
        <v/>
      </c>
      <c r="M390" s="14">
        <f>IF(F390&lt;=E390,1,0)</f>
        <v/>
      </c>
      <c r="N390" s="14">
        <f>MAX(0,F390-E390)</f>
        <v/>
      </c>
    </row>
    <row r="391">
      <c r="A391" s="14" t="inlineStr">
        <is>
          <t>PO-00390</t>
        </is>
      </c>
      <c r="B391" s="14" t="inlineStr">
        <is>
          <t>S01</t>
        </is>
      </c>
      <c r="C391" s="14" t="inlineStr">
        <is>
          <t>NB-0015</t>
        </is>
      </c>
      <c r="D391" s="26" t="n">
        <v>45993</v>
      </c>
      <c r="E391" s="26" t="n">
        <v>46007</v>
      </c>
      <c r="F391" s="26" t="n">
        <v>46007</v>
      </c>
      <c r="G391" s="14" t="n">
        <v>166</v>
      </c>
      <c r="H391" s="14" t="n">
        <v>166</v>
      </c>
      <c r="I391" s="14" t="n">
        <v>0</v>
      </c>
      <c r="J391" s="58" t="n">
        <v>6928.84</v>
      </c>
      <c r="K391" s="59">
        <f>(F391-D391)/7</f>
        <v/>
      </c>
      <c r="L391" s="59">
        <f>K391^2</f>
        <v/>
      </c>
      <c r="M391" s="14">
        <f>IF(F391&lt;=E391,1,0)</f>
        <v/>
      </c>
      <c r="N391" s="14">
        <f>MAX(0,F391-E391)</f>
        <v/>
      </c>
    </row>
    <row r="392">
      <c r="A392" s="14" t="inlineStr">
        <is>
          <t>PO-00391</t>
        </is>
      </c>
      <c r="B392" s="14" t="inlineStr">
        <is>
          <t>S02</t>
        </is>
      </c>
      <c r="C392" s="14" t="inlineStr">
        <is>
          <t>NB-0016</t>
        </is>
      </c>
      <c r="D392" s="26" t="n">
        <v>45294</v>
      </c>
      <c r="E392" s="26" t="n">
        <v>45315</v>
      </c>
      <c r="F392" s="26" t="n">
        <v>45312</v>
      </c>
      <c r="G392" s="14" t="n">
        <v>94</v>
      </c>
      <c r="H392" s="14" t="n">
        <v>94</v>
      </c>
      <c r="I392" s="14" t="n">
        <v>0</v>
      </c>
      <c r="J392" s="58" t="n">
        <v>1411.88</v>
      </c>
      <c r="K392" s="59">
        <f>(F392-D392)/7</f>
        <v/>
      </c>
      <c r="L392" s="59">
        <f>K392^2</f>
        <v/>
      </c>
      <c r="M392" s="14">
        <f>IF(F392&lt;=E392,1,0)</f>
        <v/>
      </c>
      <c r="N392" s="14">
        <f>MAX(0,F392-E392)</f>
        <v/>
      </c>
    </row>
    <row r="393">
      <c r="A393" s="14" t="inlineStr">
        <is>
          <t>PO-00392</t>
        </is>
      </c>
      <c r="B393" s="14" t="inlineStr">
        <is>
          <t>S02</t>
        </is>
      </c>
      <c r="C393" s="14" t="inlineStr">
        <is>
          <t>NB-0016</t>
        </is>
      </c>
      <c r="D393" s="26" t="n">
        <v>45320</v>
      </c>
      <c r="E393" s="26" t="n">
        <v>45341</v>
      </c>
      <c r="F393" s="26" t="n">
        <v>45345</v>
      </c>
      <c r="G393" s="14" t="n">
        <v>98</v>
      </c>
      <c r="H393" s="14" t="n">
        <v>98</v>
      </c>
      <c r="I393" s="14" t="n">
        <v>2</v>
      </c>
      <c r="J393" s="58" t="n">
        <v>1471.96</v>
      </c>
      <c r="K393" s="59">
        <f>(F393-D393)/7</f>
        <v/>
      </c>
      <c r="L393" s="59">
        <f>K393^2</f>
        <v/>
      </c>
      <c r="M393" s="14">
        <f>IF(F393&lt;=E393,1,0)</f>
        <v/>
      </c>
      <c r="N393" s="14">
        <f>MAX(0,F393-E393)</f>
        <v/>
      </c>
    </row>
    <row r="394">
      <c r="A394" s="14" t="inlineStr">
        <is>
          <t>PO-00393</t>
        </is>
      </c>
      <c r="B394" s="14" t="inlineStr">
        <is>
          <t>S02</t>
        </is>
      </c>
      <c r="C394" s="14" t="inlineStr">
        <is>
          <t>NB-0016</t>
        </is>
      </c>
      <c r="D394" s="26" t="n">
        <v>45351</v>
      </c>
      <c r="E394" s="26" t="n">
        <v>45372</v>
      </c>
      <c r="F394" s="26" t="n">
        <v>45370</v>
      </c>
      <c r="G394" s="14" t="n">
        <v>80</v>
      </c>
      <c r="H394" s="14" t="n">
        <v>80</v>
      </c>
      <c r="I394" s="14" t="n">
        <v>0</v>
      </c>
      <c r="J394" s="58" t="n">
        <v>1201.6</v>
      </c>
      <c r="K394" s="59">
        <f>(F394-D394)/7</f>
        <v/>
      </c>
      <c r="L394" s="59">
        <f>K394^2</f>
        <v/>
      </c>
      <c r="M394" s="14">
        <f>IF(F394&lt;=E394,1,0)</f>
        <v/>
      </c>
      <c r="N394" s="14">
        <f>MAX(0,F394-E394)</f>
        <v/>
      </c>
    </row>
    <row r="395">
      <c r="A395" s="14" t="inlineStr">
        <is>
          <t>PO-00394</t>
        </is>
      </c>
      <c r="B395" s="14" t="inlineStr">
        <is>
          <t>S02</t>
        </is>
      </c>
      <c r="C395" s="14" t="inlineStr">
        <is>
          <t>NB-0016</t>
        </is>
      </c>
      <c r="D395" s="26" t="n">
        <v>45376</v>
      </c>
      <c r="E395" s="26" t="n">
        <v>45397</v>
      </c>
      <c r="F395" s="26" t="n">
        <v>45395</v>
      </c>
      <c r="G395" s="14" t="n">
        <v>92</v>
      </c>
      <c r="H395" s="14" t="n">
        <v>92</v>
      </c>
      <c r="I395" s="14" t="n">
        <v>0</v>
      </c>
      <c r="J395" s="58" t="n">
        <v>1381.84</v>
      </c>
      <c r="K395" s="59">
        <f>(F395-D395)/7</f>
        <v/>
      </c>
      <c r="L395" s="59">
        <f>K395^2</f>
        <v/>
      </c>
      <c r="M395" s="14">
        <f>IF(F395&lt;=E395,1,0)</f>
        <v/>
      </c>
      <c r="N395" s="14">
        <f>MAX(0,F395-E395)</f>
        <v/>
      </c>
    </row>
    <row r="396">
      <c r="A396" s="14" t="inlineStr">
        <is>
          <t>PO-00395</t>
        </is>
      </c>
      <c r="B396" s="14" t="inlineStr">
        <is>
          <t>S02</t>
        </is>
      </c>
      <c r="C396" s="14" t="inlineStr">
        <is>
          <t>NB-0016</t>
        </is>
      </c>
      <c r="D396" s="26" t="n">
        <v>45407</v>
      </c>
      <c r="E396" s="26" t="n">
        <v>45428</v>
      </c>
      <c r="F396" s="26" t="n">
        <v>45426</v>
      </c>
      <c r="G396" s="14" t="n">
        <v>99</v>
      </c>
      <c r="H396" s="14" t="n">
        <v>99</v>
      </c>
      <c r="I396" s="14" t="n">
        <v>1</v>
      </c>
      <c r="J396" s="58" t="n">
        <v>1486.98</v>
      </c>
      <c r="K396" s="59">
        <f>(F396-D396)/7</f>
        <v/>
      </c>
      <c r="L396" s="59">
        <f>K396^2</f>
        <v/>
      </c>
      <c r="M396" s="14">
        <f>IF(F396&lt;=E396,1,0)</f>
        <v/>
      </c>
      <c r="N396" s="14">
        <f>MAX(0,F396-E396)</f>
        <v/>
      </c>
    </row>
    <row r="397">
      <c r="A397" s="14" t="inlineStr">
        <is>
          <t>PO-00396</t>
        </is>
      </c>
      <c r="B397" s="14" t="inlineStr">
        <is>
          <t>S02</t>
        </is>
      </c>
      <c r="C397" s="14" t="inlineStr">
        <is>
          <t>NB-0016</t>
        </is>
      </c>
      <c r="D397" s="26" t="n">
        <v>45432</v>
      </c>
      <c r="E397" s="26" t="n">
        <v>45453</v>
      </c>
      <c r="F397" s="26" t="n">
        <v>45451</v>
      </c>
      <c r="G397" s="14" t="n">
        <v>86</v>
      </c>
      <c r="H397" s="14" t="n">
        <v>86</v>
      </c>
      <c r="I397" s="14" t="n">
        <v>1</v>
      </c>
      <c r="J397" s="58" t="n">
        <v>1291.72</v>
      </c>
      <c r="K397" s="59">
        <f>(F397-D397)/7</f>
        <v/>
      </c>
      <c r="L397" s="59">
        <f>K397^2</f>
        <v/>
      </c>
      <c r="M397" s="14">
        <f>IF(F397&lt;=E397,1,0)</f>
        <v/>
      </c>
      <c r="N397" s="14">
        <f>MAX(0,F397-E397)</f>
        <v/>
      </c>
    </row>
    <row r="398">
      <c r="A398" s="14" t="inlineStr">
        <is>
          <t>PO-00397</t>
        </is>
      </c>
      <c r="B398" s="14" t="inlineStr">
        <is>
          <t>S02</t>
        </is>
      </c>
      <c r="C398" s="14" t="inlineStr">
        <is>
          <t>NB-0016</t>
        </is>
      </c>
      <c r="D398" s="26" t="n">
        <v>45463</v>
      </c>
      <c r="E398" s="26" t="n">
        <v>45484</v>
      </c>
      <c r="F398" s="26" t="n">
        <v>45482</v>
      </c>
      <c r="G398" s="14" t="n">
        <v>96</v>
      </c>
      <c r="H398" s="14" t="n">
        <v>96</v>
      </c>
      <c r="I398" s="14" t="n">
        <v>0</v>
      </c>
      <c r="J398" s="58" t="n">
        <v>1441.92</v>
      </c>
      <c r="K398" s="59">
        <f>(F398-D398)/7</f>
        <v/>
      </c>
      <c r="L398" s="59">
        <f>K398^2</f>
        <v/>
      </c>
      <c r="M398" s="14">
        <f>IF(F398&lt;=E398,1,0)</f>
        <v/>
      </c>
      <c r="N398" s="14">
        <f>MAX(0,F398-E398)</f>
        <v/>
      </c>
    </row>
    <row r="399">
      <c r="A399" s="14" t="inlineStr">
        <is>
          <t>PO-00398</t>
        </is>
      </c>
      <c r="B399" s="14" t="inlineStr">
        <is>
          <t>S02</t>
        </is>
      </c>
      <c r="C399" s="14" t="inlineStr">
        <is>
          <t>NB-0016</t>
        </is>
      </c>
      <c r="D399" s="26" t="n">
        <v>45492</v>
      </c>
      <c r="E399" s="26" t="n">
        <v>45513</v>
      </c>
      <c r="F399" s="26" t="n">
        <v>45513</v>
      </c>
      <c r="G399" s="14" t="n">
        <v>81</v>
      </c>
      <c r="H399" s="14" t="n">
        <v>81</v>
      </c>
      <c r="I399" s="14" t="n">
        <v>0</v>
      </c>
      <c r="J399" s="58" t="n">
        <v>1216.62</v>
      </c>
      <c r="K399" s="59">
        <f>(F399-D399)/7</f>
        <v/>
      </c>
      <c r="L399" s="59">
        <f>K399^2</f>
        <v/>
      </c>
      <c r="M399" s="14">
        <f>IF(F399&lt;=E399,1,0)</f>
        <v/>
      </c>
      <c r="N399" s="14">
        <f>MAX(0,F399-E399)</f>
        <v/>
      </c>
    </row>
    <row r="400">
      <c r="A400" s="14" t="inlineStr">
        <is>
          <t>PO-00399</t>
        </is>
      </c>
      <c r="B400" s="14" t="inlineStr">
        <is>
          <t>S02</t>
        </is>
      </c>
      <c r="C400" s="14" t="inlineStr">
        <is>
          <t>NB-0016</t>
        </is>
      </c>
      <c r="D400" s="26" t="n">
        <v>45516</v>
      </c>
      <c r="E400" s="26" t="n">
        <v>45537</v>
      </c>
      <c r="F400" s="26" t="n">
        <v>45537</v>
      </c>
      <c r="G400" s="14" t="n">
        <v>93</v>
      </c>
      <c r="H400" s="14" t="n">
        <v>93</v>
      </c>
      <c r="I400" s="14" t="n">
        <v>0</v>
      </c>
      <c r="J400" s="58" t="n">
        <v>1396.86</v>
      </c>
      <c r="K400" s="59">
        <f>(F400-D400)/7</f>
        <v/>
      </c>
      <c r="L400" s="59">
        <f>K400^2</f>
        <v/>
      </c>
      <c r="M400" s="14">
        <f>IF(F400&lt;=E400,1,0)</f>
        <v/>
      </c>
      <c r="N400" s="14">
        <f>MAX(0,F400-E400)</f>
        <v/>
      </c>
    </row>
    <row r="401">
      <c r="A401" s="14" t="inlineStr">
        <is>
          <t>PO-00400</t>
        </is>
      </c>
      <c r="B401" s="14" t="inlineStr">
        <is>
          <t>S02</t>
        </is>
      </c>
      <c r="C401" s="14" t="inlineStr">
        <is>
          <t>NB-0016</t>
        </is>
      </c>
      <c r="D401" s="26" t="n">
        <v>45547</v>
      </c>
      <c r="E401" s="26" t="n">
        <v>45568</v>
      </c>
      <c r="F401" s="26" t="n">
        <v>45568</v>
      </c>
      <c r="G401" s="14" t="n">
        <v>73</v>
      </c>
      <c r="H401" s="14" t="n">
        <v>65</v>
      </c>
      <c r="I401" s="14" t="n">
        <v>2</v>
      </c>
      <c r="J401" s="58" t="n">
        <v>1096.46</v>
      </c>
      <c r="K401" s="59">
        <f>(F401-D401)/7</f>
        <v/>
      </c>
      <c r="L401" s="59">
        <f>K401^2</f>
        <v/>
      </c>
      <c r="M401" s="14">
        <f>IF(F401&lt;=E401,1,0)</f>
        <v/>
      </c>
      <c r="N401" s="14">
        <f>MAX(0,F401-E401)</f>
        <v/>
      </c>
    </row>
    <row r="402">
      <c r="A402" s="14" t="inlineStr">
        <is>
          <t>PO-00401</t>
        </is>
      </c>
      <c r="B402" s="14" t="inlineStr">
        <is>
          <t>S02</t>
        </is>
      </c>
      <c r="C402" s="14" t="inlineStr">
        <is>
          <t>NB-0016</t>
        </is>
      </c>
      <c r="D402" s="26" t="n">
        <v>45575</v>
      </c>
      <c r="E402" s="26" t="n">
        <v>45596</v>
      </c>
      <c r="F402" s="26" t="n">
        <v>45594</v>
      </c>
      <c r="G402" s="14" t="n">
        <v>94</v>
      </c>
      <c r="H402" s="14" t="n">
        <v>94</v>
      </c>
      <c r="I402" s="14" t="n">
        <v>2</v>
      </c>
      <c r="J402" s="58" t="n">
        <v>1411.88</v>
      </c>
      <c r="K402" s="59">
        <f>(F402-D402)/7</f>
        <v/>
      </c>
      <c r="L402" s="59">
        <f>K402^2</f>
        <v/>
      </c>
      <c r="M402" s="14">
        <f>IF(F402&lt;=E402,1,0)</f>
        <v/>
      </c>
      <c r="N402" s="14">
        <f>MAX(0,F402-E402)</f>
        <v/>
      </c>
    </row>
    <row r="403">
      <c r="A403" s="14" t="inlineStr">
        <is>
          <t>PO-00402</t>
        </is>
      </c>
      <c r="B403" s="14" t="inlineStr">
        <is>
          <t>S02</t>
        </is>
      </c>
      <c r="C403" s="14" t="inlineStr">
        <is>
          <t>NB-0016</t>
        </is>
      </c>
      <c r="D403" s="26" t="n">
        <v>45603</v>
      </c>
      <c r="E403" s="26" t="n">
        <v>45624</v>
      </c>
      <c r="F403" s="26" t="n">
        <v>45629</v>
      </c>
      <c r="G403" s="14" t="n">
        <v>89</v>
      </c>
      <c r="H403" s="14" t="n">
        <v>89</v>
      </c>
      <c r="I403" s="14" t="n">
        <v>0</v>
      </c>
      <c r="J403" s="58" t="n">
        <v>1336.78</v>
      </c>
      <c r="K403" s="59">
        <f>(F403-D403)/7</f>
        <v/>
      </c>
      <c r="L403" s="59">
        <f>K403^2</f>
        <v/>
      </c>
      <c r="M403" s="14">
        <f>IF(F403&lt;=E403,1,0)</f>
        <v/>
      </c>
      <c r="N403" s="14">
        <f>MAX(0,F403-E403)</f>
        <v/>
      </c>
    </row>
    <row r="404">
      <c r="A404" s="14" t="inlineStr">
        <is>
          <t>PO-00403</t>
        </is>
      </c>
      <c r="B404" s="14" t="inlineStr">
        <is>
          <t>S02</t>
        </is>
      </c>
      <c r="C404" s="14" t="inlineStr">
        <is>
          <t>NB-0016</t>
        </is>
      </c>
      <c r="D404" s="26" t="n">
        <v>45629</v>
      </c>
      <c r="E404" s="26" t="n">
        <v>45650</v>
      </c>
      <c r="F404" s="26" t="n">
        <v>45648</v>
      </c>
      <c r="G404" s="14" t="n">
        <v>72</v>
      </c>
      <c r="H404" s="14" t="n">
        <v>72</v>
      </c>
      <c r="I404" s="14" t="n">
        <v>1</v>
      </c>
      <c r="J404" s="58" t="n">
        <v>1081.44</v>
      </c>
      <c r="K404" s="59">
        <f>(F404-D404)/7</f>
        <v/>
      </c>
      <c r="L404" s="59">
        <f>K404^2</f>
        <v/>
      </c>
      <c r="M404" s="14">
        <f>IF(F404&lt;=E404,1,0)</f>
        <v/>
      </c>
      <c r="N404" s="14">
        <f>MAX(0,F404-E404)</f>
        <v/>
      </c>
    </row>
    <row r="405">
      <c r="A405" s="14" t="inlineStr">
        <is>
          <t>PO-00404</t>
        </is>
      </c>
      <c r="B405" s="14" t="inlineStr">
        <is>
          <t>S02</t>
        </is>
      </c>
      <c r="C405" s="14" t="inlineStr">
        <is>
          <t>NB-0016</t>
        </is>
      </c>
      <c r="D405" s="26" t="n">
        <v>45656</v>
      </c>
      <c r="E405" s="26" t="n">
        <v>45677</v>
      </c>
      <c r="F405" s="26" t="n">
        <v>45675</v>
      </c>
      <c r="G405" s="14" t="n">
        <v>79</v>
      </c>
      <c r="H405" s="14" t="n">
        <v>79</v>
      </c>
      <c r="I405" s="14" t="n">
        <v>0</v>
      </c>
      <c r="J405" s="58" t="n">
        <v>1186.58</v>
      </c>
      <c r="K405" s="59">
        <f>(F405-D405)/7</f>
        <v/>
      </c>
      <c r="L405" s="59">
        <f>K405^2</f>
        <v/>
      </c>
      <c r="M405" s="14">
        <f>IF(F405&lt;=E405,1,0)</f>
        <v/>
      </c>
      <c r="N405" s="14">
        <f>MAX(0,F405-E405)</f>
        <v/>
      </c>
    </row>
    <row r="406">
      <c r="A406" s="14" t="inlineStr">
        <is>
          <t>PO-00405</t>
        </is>
      </c>
      <c r="B406" s="14" t="inlineStr">
        <is>
          <t>S02</t>
        </is>
      </c>
      <c r="C406" s="14" t="inlineStr">
        <is>
          <t>NB-0016</t>
        </is>
      </c>
      <c r="D406" s="26" t="n">
        <v>45687</v>
      </c>
      <c r="E406" s="26" t="n">
        <v>45708</v>
      </c>
      <c r="F406" s="26" t="n">
        <v>45707</v>
      </c>
      <c r="G406" s="14" t="n">
        <v>80</v>
      </c>
      <c r="H406" s="14" t="n">
        <v>80</v>
      </c>
      <c r="I406" s="14" t="n">
        <v>0</v>
      </c>
      <c r="J406" s="58" t="n">
        <v>1201.6</v>
      </c>
      <c r="K406" s="59">
        <f>(F406-D406)/7</f>
        <v/>
      </c>
      <c r="L406" s="59">
        <f>K406^2</f>
        <v/>
      </c>
      <c r="M406" s="14">
        <f>IF(F406&lt;=E406,1,0)</f>
        <v/>
      </c>
      <c r="N406" s="14">
        <f>MAX(0,F406-E406)</f>
        <v/>
      </c>
    </row>
    <row r="407">
      <c r="A407" s="14" t="inlineStr">
        <is>
          <t>PO-00406</t>
        </is>
      </c>
      <c r="B407" s="14" t="inlineStr">
        <is>
          <t>S02</t>
        </is>
      </c>
      <c r="C407" s="14" t="inlineStr">
        <is>
          <t>NB-0016</t>
        </is>
      </c>
      <c r="D407" s="26" t="n">
        <v>45716</v>
      </c>
      <c r="E407" s="26" t="n">
        <v>45737</v>
      </c>
      <c r="F407" s="26" t="n">
        <v>45737</v>
      </c>
      <c r="G407" s="14" t="n">
        <v>74</v>
      </c>
      <c r="H407" s="14" t="n">
        <v>74</v>
      </c>
      <c r="I407" s="14" t="n">
        <v>0</v>
      </c>
      <c r="J407" s="58" t="n">
        <v>1111.48</v>
      </c>
      <c r="K407" s="59">
        <f>(F407-D407)/7</f>
        <v/>
      </c>
      <c r="L407" s="59">
        <f>K407^2</f>
        <v/>
      </c>
      <c r="M407" s="14">
        <f>IF(F407&lt;=E407,1,0)</f>
        <v/>
      </c>
      <c r="N407" s="14">
        <f>MAX(0,F407-E407)</f>
        <v/>
      </c>
    </row>
    <row r="408">
      <c r="A408" s="14" t="inlineStr">
        <is>
          <t>PO-00407</t>
        </is>
      </c>
      <c r="B408" s="14" t="inlineStr">
        <is>
          <t>S02</t>
        </is>
      </c>
      <c r="C408" s="14" t="inlineStr">
        <is>
          <t>NB-0016</t>
        </is>
      </c>
      <c r="D408" s="26" t="n">
        <v>45741</v>
      </c>
      <c r="E408" s="26" t="n">
        <v>45762</v>
      </c>
      <c r="F408" s="26" t="n">
        <v>45761</v>
      </c>
      <c r="G408" s="14" t="n">
        <v>89</v>
      </c>
      <c r="H408" s="14" t="n">
        <v>89</v>
      </c>
      <c r="I408" s="14" t="n">
        <v>2</v>
      </c>
      <c r="J408" s="58" t="n">
        <v>1336.78</v>
      </c>
      <c r="K408" s="59">
        <f>(F408-D408)/7</f>
        <v/>
      </c>
      <c r="L408" s="59">
        <f>K408^2</f>
        <v/>
      </c>
      <c r="M408" s="14">
        <f>IF(F408&lt;=E408,1,0)</f>
        <v/>
      </c>
      <c r="N408" s="14">
        <f>MAX(0,F408-E408)</f>
        <v/>
      </c>
    </row>
    <row r="409">
      <c r="A409" s="14" t="inlineStr">
        <is>
          <t>PO-00408</t>
        </is>
      </c>
      <c r="B409" s="14" t="inlineStr">
        <is>
          <t>S02</t>
        </is>
      </c>
      <c r="C409" s="14" t="inlineStr">
        <is>
          <t>NB-0016</t>
        </is>
      </c>
      <c r="D409" s="26" t="n">
        <v>45772</v>
      </c>
      <c r="E409" s="26" t="n">
        <v>45793</v>
      </c>
      <c r="F409" s="26" t="n">
        <v>45793</v>
      </c>
      <c r="G409" s="14" t="n">
        <v>73</v>
      </c>
      <c r="H409" s="14" t="n">
        <v>73</v>
      </c>
      <c r="I409" s="14" t="n">
        <v>1</v>
      </c>
      <c r="J409" s="58" t="n">
        <v>1096.46</v>
      </c>
      <c r="K409" s="59">
        <f>(F409-D409)/7</f>
        <v/>
      </c>
      <c r="L409" s="59">
        <f>K409^2</f>
        <v/>
      </c>
      <c r="M409" s="14">
        <f>IF(F409&lt;=E409,1,0)</f>
        <v/>
      </c>
      <c r="N409" s="14">
        <f>MAX(0,F409-E409)</f>
        <v/>
      </c>
    </row>
    <row r="410">
      <c r="A410" s="14" t="inlineStr">
        <is>
          <t>PO-00409</t>
        </is>
      </c>
      <c r="B410" s="14" t="inlineStr">
        <is>
          <t>S02</t>
        </is>
      </c>
      <c r="C410" s="14" t="inlineStr">
        <is>
          <t>NB-0016</t>
        </is>
      </c>
      <c r="D410" s="26" t="n">
        <v>45796</v>
      </c>
      <c r="E410" s="26" t="n">
        <v>45817</v>
      </c>
      <c r="F410" s="26" t="n">
        <v>45814</v>
      </c>
      <c r="G410" s="14" t="n">
        <v>71</v>
      </c>
      <c r="H410" s="14" t="n">
        <v>71</v>
      </c>
      <c r="I410" s="14" t="n">
        <v>1</v>
      </c>
      <c r="J410" s="58" t="n">
        <v>1066.42</v>
      </c>
      <c r="K410" s="59">
        <f>(F410-D410)/7</f>
        <v/>
      </c>
      <c r="L410" s="59">
        <f>K410^2</f>
        <v/>
      </c>
      <c r="M410" s="14">
        <f>IF(F410&lt;=E410,1,0)</f>
        <v/>
      </c>
      <c r="N410" s="14">
        <f>MAX(0,F410-E410)</f>
        <v/>
      </c>
    </row>
    <row r="411">
      <c r="A411" s="14" t="inlineStr">
        <is>
          <t>PO-00410</t>
        </is>
      </c>
      <c r="B411" s="14" t="inlineStr">
        <is>
          <t>S02</t>
        </is>
      </c>
      <c r="C411" s="14" t="inlineStr">
        <is>
          <t>NB-0016</t>
        </is>
      </c>
      <c r="D411" s="26" t="n">
        <v>45825</v>
      </c>
      <c r="E411" s="26" t="n">
        <v>45846</v>
      </c>
      <c r="F411" s="26" t="n">
        <v>45845</v>
      </c>
      <c r="G411" s="14" t="n">
        <v>75</v>
      </c>
      <c r="H411" s="14" t="n">
        <v>75</v>
      </c>
      <c r="I411" s="14" t="n">
        <v>0</v>
      </c>
      <c r="J411" s="58" t="n">
        <v>1126.5</v>
      </c>
      <c r="K411" s="59">
        <f>(F411-D411)/7</f>
        <v/>
      </c>
      <c r="L411" s="59">
        <f>K411^2</f>
        <v/>
      </c>
      <c r="M411" s="14">
        <f>IF(F411&lt;=E411,1,0)</f>
        <v/>
      </c>
      <c r="N411" s="14">
        <f>MAX(0,F411-E411)</f>
        <v/>
      </c>
    </row>
    <row r="412">
      <c r="A412" s="14" t="inlineStr">
        <is>
          <t>PO-00411</t>
        </is>
      </c>
      <c r="B412" s="14" t="inlineStr">
        <is>
          <t>S02</t>
        </is>
      </c>
      <c r="C412" s="14" t="inlineStr">
        <is>
          <t>NB-0016</t>
        </is>
      </c>
      <c r="D412" s="26" t="n">
        <v>45854</v>
      </c>
      <c r="E412" s="26" t="n">
        <v>45875</v>
      </c>
      <c r="F412" s="26" t="n">
        <v>45874</v>
      </c>
      <c r="G412" s="14" t="n">
        <v>100</v>
      </c>
      <c r="H412" s="14" t="n">
        <v>100</v>
      </c>
      <c r="I412" s="14" t="n">
        <v>2</v>
      </c>
      <c r="J412" s="58" t="n">
        <v>1502</v>
      </c>
      <c r="K412" s="59">
        <f>(F412-D412)/7</f>
        <v/>
      </c>
      <c r="L412" s="59">
        <f>K412^2</f>
        <v/>
      </c>
      <c r="M412" s="14">
        <f>IF(F412&lt;=E412,1,0)</f>
        <v/>
      </c>
      <c r="N412" s="14">
        <f>MAX(0,F412-E412)</f>
        <v/>
      </c>
    </row>
    <row r="413">
      <c r="A413" s="14" t="inlineStr">
        <is>
          <t>PO-00412</t>
        </is>
      </c>
      <c r="B413" s="14" t="inlineStr">
        <is>
          <t>S02</t>
        </is>
      </c>
      <c r="C413" s="14" t="inlineStr">
        <is>
          <t>NB-0016</t>
        </is>
      </c>
      <c r="D413" s="26" t="n">
        <v>45882</v>
      </c>
      <c r="E413" s="26" t="n">
        <v>45903</v>
      </c>
      <c r="F413" s="26" t="n">
        <v>45903</v>
      </c>
      <c r="G413" s="14" t="n">
        <v>94</v>
      </c>
      <c r="H413" s="14" t="n">
        <v>94</v>
      </c>
      <c r="I413" s="14" t="n">
        <v>0</v>
      </c>
      <c r="J413" s="58" t="n">
        <v>1411.88</v>
      </c>
      <c r="K413" s="59">
        <f>(F413-D413)/7</f>
        <v/>
      </c>
      <c r="L413" s="59">
        <f>K413^2</f>
        <v/>
      </c>
      <c r="M413" s="14">
        <f>IF(F413&lt;=E413,1,0)</f>
        <v/>
      </c>
      <c r="N413" s="14">
        <f>MAX(0,F413-E413)</f>
        <v/>
      </c>
    </row>
    <row r="414">
      <c r="A414" s="14" t="inlineStr">
        <is>
          <t>PO-00413</t>
        </is>
      </c>
      <c r="B414" s="14" t="inlineStr">
        <is>
          <t>S02</t>
        </is>
      </c>
      <c r="C414" s="14" t="inlineStr">
        <is>
          <t>NB-0016</t>
        </is>
      </c>
      <c r="D414" s="26" t="n">
        <v>45911</v>
      </c>
      <c r="E414" s="26" t="n">
        <v>45932</v>
      </c>
      <c r="F414" s="26" t="n">
        <v>45931</v>
      </c>
      <c r="G414" s="14" t="n">
        <v>91</v>
      </c>
      <c r="H414" s="14" t="n">
        <v>91</v>
      </c>
      <c r="I414" s="14" t="n">
        <v>3</v>
      </c>
      <c r="J414" s="58" t="n">
        <v>1366.82</v>
      </c>
      <c r="K414" s="59">
        <f>(F414-D414)/7</f>
        <v/>
      </c>
      <c r="L414" s="59">
        <f>K414^2</f>
        <v/>
      </c>
      <c r="M414" s="14">
        <f>IF(F414&lt;=E414,1,0)</f>
        <v/>
      </c>
      <c r="N414" s="14">
        <f>MAX(0,F414-E414)</f>
        <v/>
      </c>
    </row>
    <row r="415">
      <c r="A415" s="14" t="inlineStr">
        <is>
          <t>PO-00414</t>
        </is>
      </c>
      <c r="B415" s="14" t="inlineStr">
        <is>
          <t>S02</t>
        </is>
      </c>
      <c r="C415" s="14" t="inlineStr">
        <is>
          <t>NB-0016</t>
        </is>
      </c>
      <c r="D415" s="26" t="n">
        <v>45938</v>
      </c>
      <c r="E415" s="26" t="n">
        <v>45959</v>
      </c>
      <c r="F415" s="26" t="n">
        <v>45958</v>
      </c>
      <c r="G415" s="14" t="n">
        <v>85</v>
      </c>
      <c r="H415" s="14" t="n">
        <v>85</v>
      </c>
      <c r="I415" s="14" t="n">
        <v>1</v>
      </c>
      <c r="J415" s="58" t="n">
        <v>1276.7</v>
      </c>
      <c r="K415" s="59">
        <f>(F415-D415)/7</f>
        <v/>
      </c>
      <c r="L415" s="59">
        <f>K415^2</f>
        <v/>
      </c>
      <c r="M415" s="14">
        <f>IF(F415&lt;=E415,1,0)</f>
        <v/>
      </c>
      <c r="N415" s="14">
        <f>MAX(0,F415-E415)</f>
        <v/>
      </c>
    </row>
    <row r="416">
      <c r="A416" s="14" t="inlineStr">
        <is>
          <t>PO-00415</t>
        </is>
      </c>
      <c r="B416" s="14" t="inlineStr">
        <is>
          <t>S02</t>
        </is>
      </c>
      <c r="C416" s="14" t="inlineStr">
        <is>
          <t>NB-0016</t>
        </is>
      </c>
      <c r="D416" s="26" t="n">
        <v>45968</v>
      </c>
      <c r="E416" s="26" t="n">
        <v>45989</v>
      </c>
      <c r="F416" s="26" t="n">
        <v>45986</v>
      </c>
      <c r="G416" s="14" t="n">
        <v>72</v>
      </c>
      <c r="H416" s="14" t="n">
        <v>72</v>
      </c>
      <c r="I416" s="14" t="n">
        <v>1</v>
      </c>
      <c r="J416" s="58" t="n">
        <v>1081.44</v>
      </c>
      <c r="K416" s="59">
        <f>(F416-D416)/7</f>
        <v/>
      </c>
      <c r="L416" s="59">
        <f>K416^2</f>
        <v/>
      </c>
      <c r="M416" s="14">
        <f>IF(F416&lt;=E416,1,0)</f>
        <v/>
      </c>
      <c r="N416" s="14">
        <f>MAX(0,F416-E416)</f>
        <v/>
      </c>
    </row>
    <row r="417">
      <c r="A417" s="14" t="inlineStr">
        <is>
          <t>PO-00416</t>
        </is>
      </c>
      <c r="B417" s="14" t="inlineStr">
        <is>
          <t>S02</t>
        </is>
      </c>
      <c r="C417" s="14" t="inlineStr">
        <is>
          <t>NB-0016</t>
        </is>
      </c>
      <c r="D417" s="26" t="n">
        <v>45996</v>
      </c>
      <c r="E417" s="26" t="n">
        <v>46017</v>
      </c>
      <c r="F417" s="26" t="n">
        <v>46016</v>
      </c>
      <c r="G417" s="14" t="n">
        <v>90</v>
      </c>
      <c r="H417" s="14" t="n">
        <v>90</v>
      </c>
      <c r="I417" s="14" t="n">
        <v>0</v>
      </c>
      <c r="J417" s="58" t="n">
        <v>1351.8</v>
      </c>
      <c r="K417" s="59">
        <f>(F417-D417)/7</f>
        <v/>
      </c>
      <c r="L417" s="59">
        <f>K417^2</f>
        <v/>
      </c>
      <c r="M417" s="14">
        <f>IF(F417&lt;=E417,1,0)</f>
        <v/>
      </c>
      <c r="N417" s="14">
        <f>MAX(0,F417-E417)</f>
        <v/>
      </c>
    </row>
    <row r="418">
      <c r="A418" s="14" t="inlineStr">
        <is>
          <t>PO-00417</t>
        </is>
      </c>
      <c r="B418" s="14" t="inlineStr">
        <is>
          <t>S06</t>
        </is>
      </c>
      <c r="C418" s="14" t="inlineStr">
        <is>
          <t>NB-0017</t>
        </is>
      </c>
      <c r="D418" s="26" t="n">
        <v>45294</v>
      </c>
      <c r="E418" s="26" t="n">
        <v>45357</v>
      </c>
      <c r="F418" s="26" t="n">
        <v>45378</v>
      </c>
      <c r="G418" s="14" t="n">
        <v>248</v>
      </c>
      <c r="H418" s="14" t="n">
        <v>248</v>
      </c>
      <c r="I418" s="14" t="n">
        <v>7</v>
      </c>
      <c r="J418" s="58" t="n">
        <v>3648.08</v>
      </c>
      <c r="K418" s="59">
        <f>(F418-D418)/7</f>
        <v/>
      </c>
      <c r="L418" s="59">
        <f>K418^2</f>
        <v/>
      </c>
      <c r="M418" s="14">
        <f>IF(F418&lt;=E418,1,0)</f>
        <v/>
      </c>
      <c r="N418" s="14">
        <f>MAX(0,F418-E418)</f>
        <v/>
      </c>
    </row>
    <row r="419">
      <c r="A419" s="14" t="inlineStr">
        <is>
          <t>PO-00418</t>
        </is>
      </c>
      <c r="B419" s="14" t="inlineStr">
        <is>
          <t>S06</t>
        </is>
      </c>
      <c r="C419" s="14" t="inlineStr">
        <is>
          <t>NB-0017</t>
        </is>
      </c>
      <c r="D419" s="26" t="n">
        <v>45322</v>
      </c>
      <c r="E419" s="26" t="n">
        <v>45385</v>
      </c>
      <c r="F419" s="26" t="n">
        <v>45385</v>
      </c>
      <c r="G419" s="14" t="n">
        <v>205</v>
      </c>
      <c r="H419" s="14" t="n">
        <v>205</v>
      </c>
      <c r="I419" s="14" t="n">
        <v>8</v>
      </c>
      <c r="J419" s="58" t="n">
        <v>3015.55</v>
      </c>
      <c r="K419" s="59">
        <f>(F419-D419)/7</f>
        <v/>
      </c>
      <c r="L419" s="59">
        <f>K419^2</f>
        <v/>
      </c>
      <c r="M419" s="14">
        <f>IF(F419&lt;=E419,1,0)</f>
        <v/>
      </c>
      <c r="N419" s="14">
        <f>MAX(0,F419-E419)</f>
        <v/>
      </c>
    </row>
    <row r="420">
      <c r="A420" s="14" t="inlineStr">
        <is>
          <t>PO-00419</t>
        </is>
      </c>
      <c r="B420" s="14" t="inlineStr">
        <is>
          <t>S06</t>
        </is>
      </c>
      <c r="C420" s="14" t="inlineStr">
        <is>
          <t>NB-0017</t>
        </is>
      </c>
      <c r="D420" s="26" t="n">
        <v>45350</v>
      </c>
      <c r="E420" s="26" t="n">
        <v>45413</v>
      </c>
      <c r="F420" s="26" t="n">
        <v>45428</v>
      </c>
      <c r="G420" s="14" t="n">
        <v>198</v>
      </c>
      <c r="H420" s="14" t="n">
        <v>198</v>
      </c>
      <c r="I420" s="14" t="n">
        <v>7</v>
      </c>
      <c r="J420" s="58" t="n">
        <v>2912.58</v>
      </c>
      <c r="K420" s="59">
        <f>(F420-D420)/7</f>
        <v/>
      </c>
      <c r="L420" s="59">
        <f>K420^2</f>
        <v/>
      </c>
      <c r="M420" s="14">
        <f>IF(F420&lt;=E420,1,0)</f>
        <v/>
      </c>
      <c r="N420" s="14">
        <f>MAX(0,F420-E420)</f>
        <v/>
      </c>
    </row>
    <row r="421">
      <c r="A421" s="14" t="inlineStr">
        <is>
          <t>PO-00420</t>
        </is>
      </c>
      <c r="B421" s="14" t="inlineStr">
        <is>
          <t>S06</t>
        </is>
      </c>
      <c r="C421" s="14" t="inlineStr">
        <is>
          <t>NB-0017</t>
        </is>
      </c>
      <c r="D421" s="26" t="n">
        <v>45380</v>
      </c>
      <c r="E421" s="26" t="n">
        <v>45443</v>
      </c>
      <c r="F421" s="26" t="n">
        <v>45441</v>
      </c>
      <c r="G421" s="14" t="n">
        <v>240</v>
      </c>
      <c r="H421" s="14" t="n">
        <v>240</v>
      </c>
      <c r="I421" s="14" t="n">
        <v>9</v>
      </c>
      <c r="J421" s="58" t="n">
        <v>3530.4</v>
      </c>
      <c r="K421" s="59">
        <f>(F421-D421)/7</f>
        <v/>
      </c>
      <c r="L421" s="59">
        <f>K421^2</f>
        <v/>
      </c>
      <c r="M421" s="14">
        <f>IF(F421&lt;=E421,1,0)</f>
        <v/>
      </c>
      <c r="N421" s="14">
        <f>MAX(0,F421-E421)</f>
        <v/>
      </c>
    </row>
    <row r="422">
      <c r="A422" s="14" t="inlineStr">
        <is>
          <t>PO-00421</t>
        </is>
      </c>
      <c r="B422" s="14" t="inlineStr">
        <is>
          <t>S06</t>
        </is>
      </c>
      <c r="C422" s="14" t="inlineStr">
        <is>
          <t>NB-0017</t>
        </is>
      </c>
      <c r="D422" s="26" t="n">
        <v>45404</v>
      </c>
      <c r="E422" s="26" t="n">
        <v>45467</v>
      </c>
      <c r="F422" s="26" t="n">
        <v>45467</v>
      </c>
      <c r="G422" s="14" t="n">
        <v>239</v>
      </c>
      <c r="H422" s="14" t="n">
        <v>239</v>
      </c>
      <c r="I422" s="14" t="n">
        <v>4</v>
      </c>
      <c r="J422" s="58" t="n">
        <v>3515.69</v>
      </c>
      <c r="K422" s="59">
        <f>(F422-D422)/7</f>
        <v/>
      </c>
      <c r="L422" s="59">
        <f>K422^2</f>
        <v/>
      </c>
      <c r="M422" s="14">
        <f>IF(F422&lt;=E422,1,0)</f>
        <v/>
      </c>
      <c r="N422" s="14">
        <f>MAX(0,F422-E422)</f>
        <v/>
      </c>
    </row>
    <row r="423">
      <c r="A423" s="14" t="inlineStr">
        <is>
          <t>PO-00422</t>
        </is>
      </c>
      <c r="B423" s="14" t="inlineStr">
        <is>
          <t>S06</t>
        </is>
      </c>
      <c r="C423" s="14" t="inlineStr">
        <is>
          <t>NB-0017</t>
        </is>
      </c>
      <c r="D423" s="26" t="n">
        <v>45432</v>
      </c>
      <c r="E423" s="26" t="n">
        <v>45495</v>
      </c>
      <c r="F423" s="26" t="n">
        <v>45495</v>
      </c>
      <c r="G423" s="14" t="n">
        <v>250</v>
      </c>
      <c r="H423" s="14" t="n">
        <v>250</v>
      </c>
      <c r="I423" s="14" t="n">
        <v>4</v>
      </c>
      <c r="J423" s="58" t="n">
        <v>3677.5</v>
      </c>
      <c r="K423" s="59">
        <f>(F423-D423)/7</f>
        <v/>
      </c>
      <c r="L423" s="59">
        <f>K423^2</f>
        <v/>
      </c>
      <c r="M423" s="14">
        <f>IF(F423&lt;=E423,1,0)</f>
        <v/>
      </c>
      <c r="N423" s="14">
        <f>MAX(0,F423-E423)</f>
        <v/>
      </c>
    </row>
    <row r="424">
      <c r="A424" s="14" t="inlineStr">
        <is>
          <t>PO-00423</t>
        </is>
      </c>
      <c r="B424" s="14" t="inlineStr">
        <is>
          <t>S06</t>
        </is>
      </c>
      <c r="C424" s="14" t="inlineStr">
        <is>
          <t>NB-0017</t>
        </is>
      </c>
      <c r="D424" s="26" t="n">
        <v>45461</v>
      </c>
      <c r="E424" s="26" t="n">
        <v>45524</v>
      </c>
      <c r="F424" s="26" t="n">
        <v>45522</v>
      </c>
      <c r="G424" s="14" t="n">
        <v>219</v>
      </c>
      <c r="H424" s="14" t="n">
        <v>219</v>
      </c>
      <c r="I424" s="14" t="n">
        <v>5</v>
      </c>
      <c r="J424" s="58" t="n">
        <v>3221.49</v>
      </c>
      <c r="K424" s="59">
        <f>(F424-D424)/7</f>
        <v/>
      </c>
      <c r="L424" s="59">
        <f>K424^2</f>
        <v/>
      </c>
      <c r="M424" s="14">
        <f>IF(F424&lt;=E424,1,0)</f>
        <v/>
      </c>
      <c r="N424" s="14">
        <f>MAX(0,F424-E424)</f>
        <v/>
      </c>
    </row>
    <row r="425">
      <c r="A425" s="14" t="inlineStr">
        <is>
          <t>PO-00424</t>
        </is>
      </c>
      <c r="B425" s="14" t="inlineStr">
        <is>
          <t>S06</t>
        </is>
      </c>
      <c r="C425" s="14" t="inlineStr">
        <is>
          <t>NB-0017</t>
        </is>
      </c>
      <c r="D425" s="26" t="n">
        <v>45492</v>
      </c>
      <c r="E425" s="26" t="n">
        <v>45555</v>
      </c>
      <c r="F425" s="26" t="n">
        <v>45555</v>
      </c>
      <c r="G425" s="14" t="n">
        <v>197</v>
      </c>
      <c r="H425" s="14" t="n">
        <v>197</v>
      </c>
      <c r="I425" s="14" t="n">
        <v>6</v>
      </c>
      <c r="J425" s="58" t="n">
        <v>2897.87</v>
      </c>
      <c r="K425" s="59">
        <f>(F425-D425)/7</f>
        <v/>
      </c>
      <c r="L425" s="59">
        <f>K425^2</f>
        <v/>
      </c>
      <c r="M425" s="14">
        <f>IF(F425&lt;=E425,1,0)</f>
        <v/>
      </c>
      <c r="N425" s="14">
        <f>MAX(0,F425-E425)</f>
        <v/>
      </c>
    </row>
    <row r="426">
      <c r="A426" s="14" t="inlineStr">
        <is>
          <t>PO-00425</t>
        </is>
      </c>
      <c r="B426" s="14" t="inlineStr">
        <is>
          <t>S06</t>
        </is>
      </c>
      <c r="C426" s="14" t="inlineStr">
        <is>
          <t>NB-0017</t>
        </is>
      </c>
      <c r="D426" s="26" t="n">
        <v>45519</v>
      </c>
      <c r="E426" s="26" t="n">
        <v>45582</v>
      </c>
      <c r="F426" s="26" t="n">
        <v>45579</v>
      </c>
      <c r="G426" s="14" t="n">
        <v>205</v>
      </c>
      <c r="H426" s="14" t="n">
        <v>205</v>
      </c>
      <c r="I426" s="14" t="n">
        <v>5</v>
      </c>
      <c r="J426" s="58" t="n">
        <v>3015.55</v>
      </c>
      <c r="K426" s="59">
        <f>(F426-D426)/7</f>
        <v/>
      </c>
      <c r="L426" s="59">
        <f>K426^2</f>
        <v/>
      </c>
      <c r="M426" s="14">
        <f>IF(F426&lt;=E426,1,0)</f>
        <v/>
      </c>
      <c r="N426" s="14">
        <f>MAX(0,F426-E426)</f>
        <v/>
      </c>
    </row>
    <row r="427">
      <c r="A427" s="14" t="inlineStr">
        <is>
          <t>PO-00426</t>
        </is>
      </c>
      <c r="B427" s="14" t="inlineStr">
        <is>
          <t>S06</t>
        </is>
      </c>
      <c r="C427" s="14" t="inlineStr">
        <is>
          <t>NB-0017</t>
        </is>
      </c>
      <c r="D427" s="26" t="n">
        <v>45546</v>
      </c>
      <c r="E427" s="26" t="n">
        <v>45609</v>
      </c>
      <c r="F427" s="26" t="n">
        <v>45607</v>
      </c>
      <c r="G427" s="14" t="n">
        <v>268</v>
      </c>
      <c r="H427" s="14" t="n">
        <v>268</v>
      </c>
      <c r="I427" s="14" t="n">
        <v>5</v>
      </c>
      <c r="J427" s="58" t="n">
        <v>3942.28</v>
      </c>
      <c r="K427" s="59">
        <f>(F427-D427)/7</f>
        <v/>
      </c>
      <c r="L427" s="59">
        <f>K427^2</f>
        <v/>
      </c>
      <c r="M427" s="14">
        <f>IF(F427&lt;=E427,1,0)</f>
        <v/>
      </c>
      <c r="N427" s="14">
        <f>MAX(0,F427-E427)</f>
        <v/>
      </c>
    </row>
    <row r="428">
      <c r="A428" s="14" t="inlineStr">
        <is>
          <t>PO-00427</t>
        </is>
      </c>
      <c r="B428" s="14" t="inlineStr">
        <is>
          <t>S06</t>
        </is>
      </c>
      <c r="C428" s="14" t="inlineStr">
        <is>
          <t>NB-0017</t>
        </is>
      </c>
      <c r="D428" s="26" t="n">
        <v>45574</v>
      </c>
      <c r="E428" s="26" t="n">
        <v>45637</v>
      </c>
      <c r="F428" s="26" t="n">
        <v>45635</v>
      </c>
      <c r="G428" s="14" t="n">
        <v>244</v>
      </c>
      <c r="H428" s="14" t="n">
        <v>244</v>
      </c>
      <c r="I428" s="14" t="n">
        <v>9</v>
      </c>
      <c r="J428" s="58" t="n">
        <v>3589.24</v>
      </c>
      <c r="K428" s="59">
        <f>(F428-D428)/7</f>
        <v/>
      </c>
      <c r="L428" s="59">
        <f>K428^2</f>
        <v/>
      </c>
      <c r="M428" s="14">
        <f>IF(F428&lt;=E428,1,0)</f>
        <v/>
      </c>
      <c r="N428" s="14">
        <f>MAX(0,F428-E428)</f>
        <v/>
      </c>
    </row>
    <row r="429">
      <c r="A429" s="14" t="inlineStr">
        <is>
          <t>PO-00428</t>
        </is>
      </c>
      <c r="B429" s="14" t="inlineStr">
        <is>
          <t>S06</t>
        </is>
      </c>
      <c r="C429" s="14" t="inlineStr">
        <is>
          <t>NB-0017</t>
        </is>
      </c>
      <c r="D429" s="26" t="n">
        <v>45604</v>
      </c>
      <c r="E429" s="26" t="n">
        <v>45667</v>
      </c>
      <c r="F429" s="26" t="n">
        <v>45667</v>
      </c>
      <c r="G429" s="14" t="n">
        <v>226</v>
      </c>
      <c r="H429" s="14" t="n">
        <v>226</v>
      </c>
      <c r="I429" s="14" t="n">
        <v>9</v>
      </c>
      <c r="J429" s="58" t="n">
        <v>3324.46</v>
      </c>
      <c r="K429" s="59">
        <f>(F429-D429)/7</f>
        <v/>
      </c>
      <c r="L429" s="59">
        <f>K429^2</f>
        <v/>
      </c>
      <c r="M429" s="14">
        <f>IF(F429&lt;=E429,1,0)</f>
        <v/>
      </c>
      <c r="N429" s="14">
        <f>MAX(0,F429-E429)</f>
        <v/>
      </c>
    </row>
    <row r="430">
      <c r="A430" s="14" t="inlineStr">
        <is>
          <t>PO-00429</t>
        </is>
      </c>
      <c r="B430" s="14" t="inlineStr">
        <is>
          <t>S06</t>
        </is>
      </c>
      <c r="C430" s="14" t="inlineStr">
        <is>
          <t>NB-0017</t>
        </is>
      </c>
      <c r="D430" s="26" t="n">
        <v>45630</v>
      </c>
      <c r="E430" s="26" t="n">
        <v>45693</v>
      </c>
      <c r="F430" s="26" t="n">
        <v>45697</v>
      </c>
      <c r="G430" s="14" t="n">
        <v>266</v>
      </c>
      <c r="H430" s="14" t="n">
        <v>266</v>
      </c>
      <c r="I430" s="14" t="n">
        <v>5</v>
      </c>
      <c r="J430" s="58" t="n">
        <v>3912.86</v>
      </c>
      <c r="K430" s="59">
        <f>(F430-D430)/7</f>
        <v/>
      </c>
      <c r="L430" s="59">
        <f>K430^2</f>
        <v/>
      </c>
      <c r="M430" s="14">
        <f>IF(F430&lt;=E430,1,0)</f>
        <v/>
      </c>
      <c r="N430" s="14">
        <f>MAX(0,F430-E430)</f>
        <v/>
      </c>
    </row>
    <row r="431">
      <c r="A431" s="14" t="inlineStr">
        <is>
          <t>PO-00430</t>
        </is>
      </c>
      <c r="B431" s="14" t="inlineStr">
        <is>
          <t>S06</t>
        </is>
      </c>
      <c r="C431" s="14" t="inlineStr">
        <is>
          <t>NB-0017</t>
        </is>
      </c>
      <c r="D431" s="26" t="n">
        <v>45658</v>
      </c>
      <c r="E431" s="26" t="n">
        <v>45721</v>
      </c>
      <c r="F431" s="26" t="n">
        <v>45725</v>
      </c>
      <c r="G431" s="14" t="n">
        <v>196</v>
      </c>
      <c r="H431" s="14" t="n">
        <v>196</v>
      </c>
      <c r="I431" s="14" t="n">
        <v>3</v>
      </c>
      <c r="J431" s="58" t="n">
        <v>2883.16</v>
      </c>
      <c r="K431" s="59">
        <f>(F431-D431)/7</f>
        <v/>
      </c>
      <c r="L431" s="59">
        <f>K431^2</f>
        <v/>
      </c>
      <c r="M431" s="14">
        <f>IF(F431&lt;=E431,1,0)</f>
        <v/>
      </c>
      <c r="N431" s="14">
        <f>MAX(0,F431-E431)</f>
        <v/>
      </c>
    </row>
    <row r="432">
      <c r="A432" s="14" t="inlineStr">
        <is>
          <t>PO-00431</t>
        </is>
      </c>
      <c r="B432" s="14" t="inlineStr">
        <is>
          <t>S06</t>
        </is>
      </c>
      <c r="C432" s="14" t="inlineStr">
        <is>
          <t>NB-0017</t>
        </is>
      </c>
      <c r="D432" s="26" t="n">
        <v>45688</v>
      </c>
      <c r="E432" s="26" t="n">
        <v>45751</v>
      </c>
      <c r="F432" s="26" t="n">
        <v>45751</v>
      </c>
      <c r="G432" s="14" t="n">
        <v>223</v>
      </c>
      <c r="H432" s="14" t="n">
        <v>223</v>
      </c>
      <c r="I432" s="14" t="n">
        <v>3</v>
      </c>
      <c r="J432" s="58" t="n">
        <v>3280.33</v>
      </c>
      <c r="K432" s="59">
        <f>(F432-D432)/7</f>
        <v/>
      </c>
      <c r="L432" s="59">
        <f>K432^2</f>
        <v/>
      </c>
      <c r="M432" s="14">
        <f>IF(F432&lt;=E432,1,0)</f>
        <v/>
      </c>
      <c r="N432" s="14">
        <f>MAX(0,F432-E432)</f>
        <v/>
      </c>
    </row>
    <row r="433">
      <c r="A433" s="14" t="inlineStr">
        <is>
          <t>PO-00432</t>
        </is>
      </c>
      <c r="B433" s="14" t="inlineStr">
        <is>
          <t>S06</t>
        </is>
      </c>
      <c r="C433" s="14" t="inlineStr">
        <is>
          <t>NB-0017</t>
        </is>
      </c>
      <c r="D433" s="26" t="n">
        <v>45714</v>
      </c>
      <c r="E433" s="26" t="n">
        <v>45777</v>
      </c>
      <c r="F433" s="26" t="n">
        <v>45776</v>
      </c>
      <c r="G433" s="14" t="n">
        <v>213</v>
      </c>
      <c r="H433" s="14" t="n">
        <v>213</v>
      </c>
      <c r="I433" s="14" t="n">
        <v>2</v>
      </c>
      <c r="J433" s="58" t="n">
        <v>3133.23</v>
      </c>
      <c r="K433" s="59">
        <f>(F433-D433)/7</f>
        <v/>
      </c>
      <c r="L433" s="59">
        <f>K433^2</f>
        <v/>
      </c>
      <c r="M433" s="14">
        <f>IF(F433&lt;=E433,1,0)</f>
        <v/>
      </c>
      <c r="N433" s="14">
        <f>MAX(0,F433-E433)</f>
        <v/>
      </c>
    </row>
    <row r="434">
      <c r="A434" s="14" t="inlineStr">
        <is>
          <t>PO-00433</t>
        </is>
      </c>
      <c r="B434" s="14" t="inlineStr">
        <is>
          <t>S06</t>
        </is>
      </c>
      <c r="C434" s="14" t="inlineStr">
        <is>
          <t>NB-0017</t>
        </is>
      </c>
      <c r="D434" s="26" t="n">
        <v>45741</v>
      </c>
      <c r="E434" s="26" t="n">
        <v>45804</v>
      </c>
      <c r="F434" s="26" t="n">
        <v>45804</v>
      </c>
      <c r="G434" s="14" t="n">
        <v>240</v>
      </c>
      <c r="H434" s="14" t="n">
        <v>240</v>
      </c>
      <c r="I434" s="14" t="n">
        <v>6</v>
      </c>
      <c r="J434" s="58" t="n">
        <v>3530.4</v>
      </c>
      <c r="K434" s="59">
        <f>(F434-D434)/7</f>
        <v/>
      </c>
      <c r="L434" s="59">
        <f>K434^2</f>
        <v/>
      </c>
      <c r="M434" s="14">
        <f>IF(F434&lt;=E434,1,0)</f>
        <v/>
      </c>
      <c r="N434" s="14">
        <f>MAX(0,F434-E434)</f>
        <v/>
      </c>
    </row>
    <row r="435">
      <c r="A435" s="14" t="inlineStr">
        <is>
          <t>PO-00434</t>
        </is>
      </c>
      <c r="B435" s="14" t="inlineStr">
        <is>
          <t>S06</t>
        </is>
      </c>
      <c r="C435" s="14" t="inlineStr">
        <is>
          <t>NB-0017</t>
        </is>
      </c>
      <c r="D435" s="26" t="n">
        <v>45770</v>
      </c>
      <c r="E435" s="26" t="n">
        <v>45833</v>
      </c>
      <c r="F435" s="26" t="n">
        <v>45833</v>
      </c>
      <c r="G435" s="14" t="n">
        <v>228</v>
      </c>
      <c r="H435" s="14" t="n">
        <v>228</v>
      </c>
      <c r="I435" s="14" t="n">
        <v>4</v>
      </c>
      <c r="J435" s="58" t="n">
        <v>3353.88</v>
      </c>
      <c r="K435" s="59">
        <f>(F435-D435)/7</f>
        <v/>
      </c>
      <c r="L435" s="59">
        <f>K435^2</f>
        <v/>
      </c>
      <c r="M435" s="14">
        <f>IF(F435&lt;=E435,1,0)</f>
        <v/>
      </c>
      <c r="N435" s="14">
        <f>MAX(0,F435-E435)</f>
        <v/>
      </c>
    </row>
    <row r="436">
      <c r="A436" s="14" t="inlineStr">
        <is>
          <t>PO-00435</t>
        </is>
      </c>
      <c r="B436" s="14" t="inlineStr">
        <is>
          <t>S06</t>
        </is>
      </c>
      <c r="C436" s="14" t="inlineStr">
        <is>
          <t>NB-0017</t>
        </is>
      </c>
      <c r="D436" s="26" t="n">
        <v>45796</v>
      </c>
      <c r="E436" s="26" t="n">
        <v>45859</v>
      </c>
      <c r="F436" s="26" t="n">
        <v>45858</v>
      </c>
      <c r="G436" s="14" t="n">
        <v>247</v>
      </c>
      <c r="H436" s="14" t="n">
        <v>247</v>
      </c>
      <c r="I436" s="14" t="n">
        <v>3</v>
      </c>
      <c r="J436" s="58" t="n">
        <v>3633.37</v>
      </c>
      <c r="K436" s="59">
        <f>(F436-D436)/7</f>
        <v/>
      </c>
      <c r="L436" s="59">
        <f>K436^2</f>
        <v/>
      </c>
      <c r="M436" s="14">
        <f>IF(F436&lt;=E436,1,0)</f>
        <v/>
      </c>
      <c r="N436" s="14">
        <f>MAX(0,F436-E436)</f>
        <v/>
      </c>
    </row>
    <row r="437">
      <c r="A437" s="14" t="inlineStr">
        <is>
          <t>PO-00436</t>
        </is>
      </c>
      <c r="B437" s="14" t="inlineStr">
        <is>
          <t>S06</t>
        </is>
      </c>
      <c r="C437" s="14" t="inlineStr">
        <is>
          <t>NB-0017</t>
        </is>
      </c>
      <c r="D437" s="26" t="n">
        <v>45827</v>
      </c>
      <c r="E437" s="26" t="n">
        <v>45890</v>
      </c>
      <c r="F437" s="26" t="n">
        <v>45890</v>
      </c>
      <c r="G437" s="14" t="n">
        <v>216</v>
      </c>
      <c r="H437" s="14" t="n">
        <v>216</v>
      </c>
      <c r="I437" s="14" t="n">
        <v>6</v>
      </c>
      <c r="J437" s="58" t="n">
        <v>3177.36</v>
      </c>
      <c r="K437" s="59">
        <f>(F437-D437)/7</f>
        <v/>
      </c>
      <c r="L437" s="59">
        <f>K437^2</f>
        <v/>
      </c>
      <c r="M437" s="14">
        <f>IF(F437&lt;=E437,1,0)</f>
        <v/>
      </c>
      <c r="N437" s="14">
        <f>MAX(0,F437-E437)</f>
        <v/>
      </c>
    </row>
    <row r="438">
      <c r="A438" s="14" t="inlineStr">
        <is>
          <t>PO-00437</t>
        </is>
      </c>
      <c r="B438" s="14" t="inlineStr">
        <is>
          <t>S06</t>
        </is>
      </c>
      <c r="C438" s="14" t="inlineStr">
        <is>
          <t>NB-0017</t>
        </is>
      </c>
      <c r="D438" s="26" t="n">
        <v>45854</v>
      </c>
      <c r="E438" s="26" t="n">
        <v>45917</v>
      </c>
      <c r="F438" s="26" t="n">
        <v>45915</v>
      </c>
      <c r="G438" s="14" t="n">
        <v>229</v>
      </c>
      <c r="H438" s="14" t="n">
        <v>229</v>
      </c>
      <c r="I438" s="14" t="n">
        <v>4</v>
      </c>
      <c r="J438" s="58" t="n">
        <v>3368.59</v>
      </c>
      <c r="K438" s="59">
        <f>(F438-D438)/7</f>
        <v/>
      </c>
      <c r="L438" s="59">
        <f>K438^2</f>
        <v/>
      </c>
      <c r="M438" s="14">
        <f>IF(F438&lt;=E438,1,0)</f>
        <v/>
      </c>
      <c r="N438" s="14">
        <f>MAX(0,F438-E438)</f>
        <v/>
      </c>
    </row>
    <row r="439">
      <c r="A439" s="14" t="inlineStr">
        <is>
          <t>PO-00438</t>
        </is>
      </c>
      <c r="B439" s="14" t="inlineStr">
        <is>
          <t>S06</t>
        </is>
      </c>
      <c r="C439" s="14" t="inlineStr">
        <is>
          <t>NB-0017</t>
        </is>
      </c>
      <c r="D439" s="26" t="n">
        <v>45884</v>
      </c>
      <c r="E439" s="26" t="n">
        <v>45947</v>
      </c>
      <c r="F439" s="26" t="n">
        <v>45944</v>
      </c>
      <c r="G439" s="14" t="n">
        <v>262</v>
      </c>
      <c r="H439" s="14" t="n">
        <v>262</v>
      </c>
      <c r="I439" s="14" t="n">
        <v>6</v>
      </c>
      <c r="J439" s="58" t="n">
        <v>3854.02</v>
      </c>
      <c r="K439" s="59">
        <f>(F439-D439)/7</f>
        <v/>
      </c>
      <c r="L439" s="59">
        <f>K439^2</f>
        <v/>
      </c>
      <c r="M439" s="14">
        <f>IF(F439&lt;=E439,1,0)</f>
        <v/>
      </c>
      <c r="N439" s="14">
        <f>MAX(0,F439-E439)</f>
        <v/>
      </c>
    </row>
    <row r="440">
      <c r="A440" s="14" t="inlineStr">
        <is>
          <t>PO-00439</t>
        </is>
      </c>
      <c r="B440" s="14" t="inlineStr">
        <is>
          <t>S06</t>
        </is>
      </c>
      <c r="C440" s="14" t="inlineStr">
        <is>
          <t>NB-0017</t>
        </is>
      </c>
      <c r="D440" s="26" t="n">
        <v>45908</v>
      </c>
      <c r="E440" s="26" t="n">
        <v>45971</v>
      </c>
      <c r="F440" s="26" t="n">
        <v>45968</v>
      </c>
      <c r="G440" s="14" t="n">
        <v>206</v>
      </c>
      <c r="H440" s="14" t="n">
        <v>206</v>
      </c>
      <c r="I440" s="14" t="n">
        <v>3</v>
      </c>
      <c r="J440" s="58" t="n">
        <v>3030.26</v>
      </c>
      <c r="K440" s="59">
        <f>(F440-D440)/7</f>
        <v/>
      </c>
      <c r="L440" s="59">
        <f>K440^2</f>
        <v/>
      </c>
      <c r="M440" s="14">
        <f>IF(F440&lt;=E440,1,0)</f>
        <v/>
      </c>
      <c r="N440" s="14">
        <f>MAX(0,F440-E440)</f>
        <v/>
      </c>
    </row>
    <row r="441">
      <c r="A441" s="14" t="inlineStr">
        <is>
          <t>PO-00440</t>
        </is>
      </c>
      <c r="B441" s="14" t="inlineStr">
        <is>
          <t>S06</t>
        </is>
      </c>
      <c r="C441" s="14" t="inlineStr">
        <is>
          <t>NB-0017</t>
        </is>
      </c>
      <c r="D441" s="26" t="n">
        <v>45938</v>
      </c>
      <c r="E441" s="26" t="n">
        <v>46001</v>
      </c>
      <c r="F441" s="26" t="n">
        <v>45999</v>
      </c>
      <c r="G441" s="14" t="n">
        <v>259</v>
      </c>
      <c r="H441" s="14" t="n">
        <v>259</v>
      </c>
      <c r="I441" s="14" t="n">
        <v>3</v>
      </c>
      <c r="J441" s="58" t="n">
        <v>3809.89</v>
      </c>
      <c r="K441" s="59">
        <f>(F441-D441)/7</f>
        <v/>
      </c>
      <c r="L441" s="59">
        <f>K441^2</f>
        <v/>
      </c>
      <c r="M441" s="14">
        <f>IF(F441&lt;=E441,1,0)</f>
        <v/>
      </c>
      <c r="N441" s="14">
        <f>MAX(0,F441-E441)</f>
        <v/>
      </c>
    </row>
    <row r="442">
      <c r="A442" s="14" t="inlineStr">
        <is>
          <t>PO-00441</t>
        </is>
      </c>
      <c r="B442" s="14" t="inlineStr">
        <is>
          <t>S06</t>
        </is>
      </c>
      <c r="C442" s="14" t="inlineStr">
        <is>
          <t>NB-0017</t>
        </is>
      </c>
      <c r="D442" s="26" t="n">
        <v>45967</v>
      </c>
      <c r="E442" s="26" t="n">
        <v>46030</v>
      </c>
      <c r="F442" s="26" t="n">
        <v>46027</v>
      </c>
      <c r="G442" s="14" t="n">
        <v>229</v>
      </c>
      <c r="H442" s="14" t="n">
        <v>229</v>
      </c>
      <c r="I442" s="14" t="n">
        <v>8</v>
      </c>
      <c r="J442" s="58" t="n">
        <v>3368.59</v>
      </c>
      <c r="K442" s="59">
        <f>(F442-D442)/7</f>
        <v/>
      </c>
      <c r="L442" s="59">
        <f>K442^2</f>
        <v/>
      </c>
      <c r="M442" s="14">
        <f>IF(F442&lt;=E442,1,0)</f>
        <v/>
      </c>
      <c r="N442" s="14">
        <f>MAX(0,F442-E442)</f>
        <v/>
      </c>
    </row>
    <row r="443">
      <c r="A443" s="14" t="inlineStr">
        <is>
          <t>PO-00442</t>
        </is>
      </c>
      <c r="B443" s="14" t="inlineStr">
        <is>
          <t>S06</t>
        </is>
      </c>
      <c r="C443" s="14" t="inlineStr">
        <is>
          <t>NB-0017</t>
        </is>
      </c>
      <c r="D443" s="26" t="n">
        <v>45994</v>
      </c>
      <c r="E443" s="26" t="n">
        <v>46057</v>
      </c>
      <c r="F443" s="26" t="n">
        <v>46057</v>
      </c>
      <c r="G443" s="14" t="n">
        <v>256</v>
      </c>
      <c r="H443" s="14" t="n">
        <v>256</v>
      </c>
      <c r="I443" s="14" t="n">
        <v>4</v>
      </c>
      <c r="J443" s="58" t="n">
        <v>3765.76</v>
      </c>
      <c r="K443" s="59">
        <f>(F443-D443)/7</f>
        <v/>
      </c>
      <c r="L443" s="59">
        <f>K443^2</f>
        <v/>
      </c>
      <c r="M443" s="14">
        <f>IF(F443&lt;=E443,1,0)</f>
        <v/>
      </c>
      <c r="N443" s="14">
        <f>MAX(0,F443-E443)</f>
        <v/>
      </c>
    </row>
    <row r="444">
      <c r="A444" s="14" t="inlineStr">
        <is>
          <t>PO-00443</t>
        </is>
      </c>
      <c r="B444" s="14" t="inlineStr">
        <is>
          <t>S02</t>
        </is>
      </c>
      <c r="C444" s="14" t="inlineStr">
        <is>
          <t>NB-0018</t>
        </is>
      </c>
      <c r="D444" s="26" t="n">
        <v>45294</v>
      </c>
      <c r="E444" s="26" t="n">
        <v>45315</v>
      </c>
      <c r="F444" s="26" t="n">
        <v>45312</v>
      </c>
      <c r="G444" s="14" t="n">
        <v>117</v>
      </c>
      <c r="H444" s="14" t="n">
        <v>117</v>
      </c>
      <c r="I444" s="14" t="n">
        <v>2</v>
      </c>
      <c r="J444" s="58" t="n">
        <v>2606.76</v>
      </c>
      <c r="K444" s="59">
        <f>(F444-D444)/7</f>
        <v/>
      </c>
      <c r="L444" s="59">
        <f>K444^2</f>
        <v/>
      </c>
      <c r="M444" s="14">
        <f>IF(F444&lt;=E444,1,0)</f>
        <v/>
      </c>
      <c r="N444" s="14">
        <f>MAX(0,F444-E444)</f>
        <v/>
      </c>
    </row>
    <row r="445">
      <c r="A445" s="14" t="inlineStr">
        <is>
          <t>PO-00444</t>
        </is>
      </c>
      <c r="B445" s="14" t="inlineStr">
        <is>
          <t>S02</t>
        </is>
      </c>
      <c r="C445" s="14" t="inlineStr">
        <is>
          <t>NB-0018</t>
        </is>
      </c>
      <c r="D445" s="26" t="n">
        <v>45321</v>
      </c>
      <c r="E445" s="26" t="n">
        <v>45342</v>
      </c>
      <c r="F445" s="26" t="n">
        <v>45340</v>
      </c>
      <c r="G445" s="14" t="n">
        <v>103</v>
      </c>
      <c r="H445" s="14" t="n">
        <v>92</v>
      </c>
      <c r="I445" s="14" t="n">
        <v>0</v>
      </c>
      <c r="J445" s="58" t="n">
        <v>2294.84</v>
      </c>
      <c r="K445" s="59">
        <f>(F445-D445)/7</f>
        <v/>
      </c>
      <c r="L445" s="59">
        <f>K445^2</f>
        <v/>
      </c>
      <c r="M445" s="14">
        <f>IF(F445&lt;=E445,1,0)</f>
        <v/>
      </c>
      <c r="N445" s="14">
        <f>MAX(0,F445-E445)</f>
        <v/>
      </c>
    </row>
    <row r="446">
      <c r="A446" s="14" t="inlineStr">
        <is>
          <t>PO-00445</t>
        </is>
      </c>
      <c r="B446" s="14" t="inlineStr">
        <is>
          <t>S02</t>
        </is>
      </c>
      <c r="C446" s="14" t="inlineStr">
        <is>
          <t>NB-0018</t>
        </is>
      </c>
      <c r="D446" s="26" t="n">
        <v>45348</v>
      </c>
      <c r="E446" s="26" t="n">
        <v>45369</v>
      </c>
      <c r="F446" s="26" t="n">
        <v>45373</v>
      </c>
      <c r="G446" s="14" t="n">
        <v>100</v>
      </c>
      <c r="H446" s="14" t="n">
        <v>100</v>
      </c>
      <c r="I446" s="14" t="n">
        <v>1</v>
      </c>
      <c r="J446" s="58" t="n">
        <v>2228</v>
      </c>
      <c r="K446" s="59">
        <f>(F446-D446)/7</f>
        <v/>
      </c>
      <c r="L446" s="59">
        <f>K446^2</f>
        <v/>
      </c>
      <c r="M446" s="14">
        <f>IF(F446&lt;=E446,1,0)</f>
        <v/>
      </c>
      <c r="N446" s="14">
        <f>MAX(0,F446-E446)</f>
        <v/>
      </c>
    </row>
    <row r="447">
      <c r="A447" s="14" t="inlineStr">
        <is>
          <t>PO-00446</t>
        </is>
      </c>
      <c r="B447" s="14" t="inlineStr">
        <is>
          <t>S02</t>
        </is>
      </c>
      <c r="C447" s="14" t="inlineStr">
        <is>
          <t>NB-0018</t>
        </is>
      </c>
      <c r="D447" s="26" t="n">
        <v>45377</v>
      </c>
      <c r="E447" s="26" t="n">
        <v>45398</v>
      </c>
      <c r="F447" s="26" t="n">
        <v>45398</v>
      </c>
      <c r="G447" s="14" t="n">
        <v>113</v>
      </c>
      <c r="H447" s="14" t="n">
        <v>113</v>
      </c>
      <c r="I447" s="14" t="n">
        <v>1</v>
      </c>
      <c r="J447" s="58" t="n">
        <v>2517.64</v>
      </c>
      <c r="K447" s="59">
        <f>(F447-D447)/7</f>
        <v/>
      </c>
      <c r="L447" s="59">
        <f>K447^2</f>
        <v/>
      </c>
      <c r="M447" s="14">
        <f>IF(F447&lt;=E447,1,0)</f>
        <v/>
      </c>
      <c r="N447" s="14">
        <f>MAX(0,F447-E447)</f>
        <v/>
      </c>
    </row>
    <row r="448">
      <c r="A448" s="14" t="inlineStr">
        <is>
          <t>PO-00447</t>
        </is>
      </c>
      <c r="B448" s="14" t="inlineStr">
        <is>
          <t>S02</t>
        </is>
      </c>
      <c r="C448" s="14" t="inlineStr">
        <is>
          <t>NB-0018</t>
        </is>
      </c>
      <c r="D448" s="26" t="n">
        <v>45406</v>
      </c>
      <c r="E448" s="26" t="n">
        <v>45427</v>
      </c>
      <c r="F448" s="26" t="n">
        <v>45427</v>
      </c>
      <c r="G448" s="14" t="n">
        <v>91</v>
      </c>
      <c r="H448" s="14" t="n">
        <v>91</v>
      </c>
      <c r="I448" s="14" t="n">
        <v>1</v>
      </c>
      <c r="J448" s="58" t="n">
        <v>2027.48</v>
      </c>
      <c r="K448" s="59">
        <f>(F448-D448)/7</f>
        <v/>
      </c>
      <c r="L448" s="59">
        <f>K448^2</f>
        <v/>
      </c>
      <c r="M448" s="14">
        <f>IF(F448&lt;=E448,1,0)</f>
        <v/>
      </c>
      <c r="N448" s="14">
        <f>MAX(0,F448-E448)</f>
        <v/>
      </c>
    </row>
    <row r="449">
      <c r="A449" s="14" t="inlineStr">
        <is>
          <t>PO-00448</t>
        </is>
      </c>
      <c r="B449" s="14" t="inlineStr">
        <is>
          <t>S02</t>
        </is>
      </c>
      <c r="C449" s="14" t="inlineStr">
        <is>
          <t>NB-0018</t>
        </is>
      </c>
      <c r="D449" s="26" t="n">
        <v>45436</v>
      </c>
      <c r="E449" s="26" t="n">
        <v>45457</v>
      </c>
      <c r="F449" s="26" t="n">
        <v>45456</v>
      </c>
      <c r="G449" s="14" t="n">
        <v>95</v>
      </c>
      <c r="H449" s="14" t="n">
        <v>95</v>
      </c>
      <c r="I449" s="14" t="n">
        <v>1</v>
      </c>
      <c r="J449" s="58" t="n">
        <v>2116.6</v>
      </c>
      <c r="K449" s="59">
        <f>(F449-D449)/7</f>
        <v/>
      </c>
      <c r="L449" s="59">
        <f>K449^2</f>
        <v/>
      </c>
      <c r="M449" s="14">
        <f>IF(F449&lt;=E449,1,0)</f>
        <v/>
      </c>
      <c r="N449" s="14">
        <f>MAX(0,F449-E449)</f>
        <v/>
      </c>
    </row>
    <row r="450">
      <c r="A450" s="14" t="inlineStr">
        <is>
          <t>PO-00449</t>
        </is>
      </c>
      <c r="B450" s="14" t="inlineStr">
        <is>
          <t>S02</t>
        </is>
      </c>
      <c r="C450" s="14" t="inlineStr">
        <is>
          <t>NB-0018</t>
        </is>
      </c>
      <c r="D450" s="26" t="n">
        <v>45460</v>
      </c>
      <c r="E450" s="26" t="n">
        <v>45481</v>
      </c>
      <c r="F450" s="26" t="n">
        <v>45478</v>
      </c>
      <c r="G450" s="14" t="n">
        <v>98</v>
      </c>
      <c r="H450" s="14" t="n">
        <v>98</v>
      </c>
      <c r="I450" s="14" t="n">
        <v>0</v>
      </c>
      <c r="J450" s="58" t="n">
        <v>2183.44</v>
      </c>
      <c r="K450" s="59">
        <f>(F450-D450)/7</f>
        <v/>
      </c>
      <c r="L450" s="59">
        <f>K450^2</f>
        <v/>
      </c>
      <c r="M450" s="14">
        <f>IF(F450&lt;=E450,1,0)</f>
        <v/>
      </c>
      <c r="N450" s="14">
        <f>MAX(0,F450-E450)</f>
        <v/>
      </c>
    </row>
    <row r="451">
      <c r="A451" s="14" t="inlineStr">
        <is>
          <t>PO-00450</t>
        </is>
      </c>
      <c r="B451" s="14" t="inlineStr">
        <is>
          <t>S02</t>
        </is>
      </c>
      <c r="C451" s="14" t="inlineStr">
        <is>
          <t>NB-0018</t>
        </is>
      </c>
      <c r="D451" s="26" t="n">
        <v>45492</v>
      </c>
      <c r="E451" s="26" t="n">
        <v>45513</v>
      </c>
      <c r="F451" s="26" t="n">
        <v>45510</v>
      </c>
      <c r="G451" s="14" t="n">
        <v>112</v>
      </c>
      <c r="H451" s="14" t="n">
        <v>112</v>
      </c>
      <c r="I451" s="14" t="n">
        <v>0</v>
      </c>
      <c r="J451" s="58" t="n">
        <v>2495.36</v>
      </c>
      <c r="K451" s="59">
        <f>(F451-D451)/7</f>
        <v/>
      </c>
      <c r="L451" s="59">
        <f>K451^2</f>
        <v/>
      </c>
      <c r="M451" s="14">
        <f>IF(F451&lt;=E451,1,0)</f>
        <v/>
      </c>
      <c r="N451" s="14">
        <f>MAX(0,F451-E451)</f>
        <v/>
      </c>
    </row>
    <row r="452">
      <c r="A452" s="14" t="inlineStr">
        <is>
          <t>PO-00451</t>
        </is>
      </c>
      <c r="B452" s="14" t="inlineStr">
        <is>
          <t>S02</t>
        </is>
      </c>
      <c r="C452" s="14" t="inlineStr">
        <is>
          <t>NB-0018</t>
        </is>
      </c>
      <c r="D452" s="26" t="n">
        <v>45517</v>
      </c>
      <c r="E452" s="26" t="n">
        <v>45538</v>
      </c>
      <c r="F452" s="26" t="n">
        <v>45536</v>
      </c>
      <c r="G452" s="14" t="n">
        <v>105</v>
      </c>
      <c r="H452" s="14" t="n">
        <v>105</v>
      </c>
      <c r="I452" s="14" t="n">
        <v>1</v>
      </c>
      <c r="J452" s="58" t="n">
        <v>2339.4</v>
      </c>
      <c r="K452" s="59">
        <f>(F452-D452)/7</f>
        <v/>
      </c>
      <c r="L452" s="59">
        <f>K452^2</f>
        <v/>
      </c>
      <c r="M452" s="14">
        <f>IF(F452&lt;=E452,1,0)</f>
        <v/>
      </c>
      <c r="N452" s="14">
        <f>MAX(0,F452-E452)</f>
        <v/>
      </c>
    </row>
    <row r="453">
      <c r="A453" s="14" t="inlineStr">
        <is>
          <t>PO-00452</t>
        </is>
      </c>
      <c r="B453" s="14" t="inlineStr">
        <is>
          <t>S02</t>
        </is>
      </c>
      <c r="C453" s="14" t="inlineStr">
        <is>
          <t>NB-0018</t>
        </is>
      </c>
      <c r="D453" s="26" t="n">
        <v>45544</v>
      </c>
      <c r="E453" s="26" t="n">
        <v>45565</v>
      </c>
      <c r="F453" s="26" t="n">
        <v>45563</v>
      </c>
      <c r="G453" s="14" t="n">
        <v>96</v>
      </c>
      <c r="H453" s="14" t="n">
        <v>96</v>
      </c>
      <c r="I453" s="14" t="n">
        <v>0</v>
      </c>
      <c r="J453" s="58" t="n">
        <v>2138.88</v>
      </c>
      <c r="K453" s="59">
        <f>(F453-D453)/7</f>
        <v/>
      </c>
      <c r="L453" s="59">
        <f>K453^2</f>
        <v/>
      </c>
      <c r="M453" s="14">
        <f>IF(F453&lt;=E453,1,0)</f>
        <v/>
      </c>
      <c r="N453" s="14">
        <f>MAX(0,F453-E453)</f>
        <v/>
      </c>
    </row>
    <row r="454">
      <c r="A454" s="14" t="inlineStr">
        <is>
          <t>PO-00453</t>
        </is>
      </c>
      <c r="B454" s="14" t="inlineStr">
        <is>
          <t>S02</t>
        </is>
      </c>
      <c r="C454" s="14" t="inlineStr">
        <is>
          <t>NB-0018</t>
        </is>
      </c>
      <c r="D454" s="26" t="n">
        <v>45576</v>
      </c>
      <c r="E454" s="26" t="n">
        <v>45597</v>
      </c>
      <c r="F454" s="26" t="n">
        <v>45597</v>
      </c>
      <c r="G454" s="14" t="n">
        <v>116</v>
      </c>
      <c r="H454" s="14" t="n">
        <v>116</v>
      </c>
      <c r="I454" s="14" t="n">
        <v>0</v>
      </c>
      <c r="J454" s="58" t="n">
        <v>2584.48</v>
      </c>
      <c r="K454" s="59">
        <f>(F454-D454)/7</f>
        <v/>
      </c>
      <c r="L454" s="59">
        <f>K454^2</f>
        <v/>
      </c>
      <c r="M454" s="14">
        <f>IF(F454&lt;=E454,1,0)</f>
        <v/>
      </c>
      <c r="N454" s="14">
        <f>MAX(0,F454-E454)</f>
        <v/>
      </c>
    </row>
    <row r="455">
      <c r="A455" s="14" t="inlineStr">
        <is>
          <t>PO-00454</t>
        </is>
      </c>
      <c r="B455" s="14" t="inlineStr">
        <is>
          <t>S02</t>
        </is>
      </c>
      <c r="C455" s="14" t="inlineStr">
        <is>
          <t>NB-0018</t>
        </is>
      </c>
      <c r="D455" s="26" t="n">
        <v>45603</v>
      </c>
      <c r="E455" s="26" t="n">
        <v>45624</v>
      </c>
      <c r="F455" s="26" t="n">
        <v>45622</v>
      </c>
      <c r="G455" s="14" t="n">
        <v>115</v>
      </c>
      <c r="H455" s="14" t="n">
        <v>115</v>
      </c>
      <c r="I455" s="14" t="n">
        <v>0</v>
      </c>
      <c r="J455" s="58" t="n">
        <v>2562.2</v>
      </c>
      <c r="K455" s="59">
        <f>(F455-D455)/7</f>
        <v/>
      </c>
      <c r="L455" s="59">
        <f>K455^2</f>
        <v/>
      </c>
      <c r="M455" s="14">
        <f>IF(F455&lt;=E455,1,0)</f>
        <v/>
      </c>
      <c r="N455" s="14">
        <f>MAX(0,F455-E455)</f>
        <v/>
      </c>
    </row>
    <row r="456">
      <c r="A456" s="14" t="inlineStr">
        <is>
          <t>PO-00455</t>
        </is>
      </c>
      <c r="B456" s="14" t="inlineStr">
        <is>
          <t>S02</t>
        </is>
      </c>
      <c r="C456" s="14" t="inlineStr">
        <is>
          <t>NB-0018</t>
        </is>
      </c>
      <c r="D456" s="26" t="n">
        <v>45631</v>
      </c>
      <c r="E456" s="26" t="n">
        <v>45652</v>
      </c>
      <c r="F456" s="26" t="n">
        <v>45652</v>
      </c>
      <c r="G456" s="14" t="n">
        <v>108</v>
      </c>
      <c r="H456" s="14" t="n">
        <v>108</v>
      </c>
      <c r="I456" s="14" t="n">
        <v>1</v>
      </c>
      <c r="J456" s="58" t="n">
        <v>2406.24</v>
      </c>
      <c r="K456" s="59">
        <f>(F456-D456)/7</f>
        <v/>
      </c>
      <c r="L456" s="59">
        <f>K456^2</f>
        <v/>
      </c>
      <c r="M456" s="14">
        <f>IF(F456&lt;=E456,1,0)</f>
        <v/>
      </c>
      <c r="N456" s="14">
        <f>MAX(0,F456-E456)</f>
        <v/>
      </c>
    </row>
    <row r="457">
      <c r="A457" s="14" t="inlineStr">
        <is>
          <t>PO-00456</t>
        </is>
      </c>
      <c r="B457" s="14" t="inlineStr">
        <is>
          <t>S02</t>
        </is>
      </c>
      <c r="C457" s="14" t="inlineStr">
        <is>
          <t>NB-0018</t>
        </is>
      </c>
      <c r="D457" s="26" t="n">
        <v>45658</v>
      </c>
      <c r="E457" s="26" t="n">
        <v>45679</v>
      </c>
      <c r="F457" s="26" t="n">
        <v>45678</v>
      </c>
      <c r="G457" s="14" t="n">
        <v>107</v>
      </c>
      <c r="H457" s="14" t="n">
        <v>107</v>
      </c>
      <c r="I457" s="14" t="n">
        <v>0</v>
      </c>
      <c r="J457" s="58" t="n">
        <v>2383.96</v>
      </c>
      <c r="K457" s="59">
        <f>(F457-D457)/7</f>
        <v/>
      </c>
      <c r="L457" s="59">
        <f>K457^2</f>
        <v/>
      </c>
      <c r="M457" s="14">
        <f>IF(F457&lt;=E457,1,0)</f>
        <v/>
      </c>
      <c r="N457" s="14">
        <f>MAX(0,F457-E457)</f>
        <v/>
      </c>
    </row>
    <row r="458">
      <c r="A458" s="14" t="inlineStr">
        <is>
          <t>PO-00457</t>
        </is>
      </c>
      <c r="B458" s="14" t="inlineStr">
        <is>
          <t>S02</t>
        </is>
      </c>
      <c r="C458" s="14" t="inlineStr">
        <is>
          <t>NB-0018</t>
        </is>
      </c>
      <c r="D458" s="26" t="n">
        <v>45687</v>
      </c>
      <c r="E458" s="26" t="n">
        <v>45708</v>
      </c>
      <c r="F458" s="26" t="n">
        <v>45706</v>
      </c>
      <c r="G458" s="14" t="n">
        <v>108</v>
      </c>
      <c r="H458" s="14" t="n">
        <v>108</v>
      </c>
      <c r="I458" s="14" t="n">
        <v>3</v>
      </c>
      <c r="J458" s="58" t="n">
        <v>2406.24</v>
      </c>
      <c r="K458" s="59">
        <f>(F458-D458)/7</f>
        <v/>
      </c>
      <c r="L458" s="59">
        <f>K458^2</f>
        <v/>
      </c>
      <c r="M458" s="14">
        <f>IF(F458&lt;=E458,1,0)</f>
        <v/>
      </c>
      <c r="N458" s="14">
        <f>MAX(0,F458-E458)</f>
        <v/>
      </c>
    </row>
    <row r="459">
      <c r="A459" s="14" t="inlineStr">
        <is>
          <t>PO-00458</t>
        </is>
      </c>
      <c r="B459" s="14" t="inlineStr">
        <is>
          <t>S02</t>
        </is>
      </c>
      <c r="C459" s="14" t="inlineStr">
        <is>
          <t>NB-0018</t>
        </is>
      </c>
      <c r="D459" s="26" t="n">
        <v>45715</v>
      </c>
      <c r="E459" s="26" t="n">
        <v>45736</v>
      </c>
      <c r="F459" s="26" t="n">
        <v>45736</v>
      </c>
      <c r="G459" s="14" t="n">
        <v>116</v>
      </c>
      <c r="H459" s="14" t="n">
        <v>116</v>
      </c>
      <c r="I459" s="14" t="n">
        <v>0</v>
      </c>
      <c r="J459" s="58" t="n">
        <v>2584.48</v>
      </c>
      <c r="K459" s="59">
        <f>(F459-D459)/7</f>
        <v/>
      </c>
      <c r="L459" s="59">
        <f>K459^2</f>
        <v/>
      </c>
      <c r="M459" s="14">
        <f>IF(F459&lt;=E459,1,0)</f>
        <v/>
      </c>
      <c r="N459" s="14">
        <f>MAX(0,F459-E459)</f>
        <v/>
      </c>
    </row>
    <row r="460">
      <c r="A460" s="14" t="inlineStr">
        <is>
          <t>PO-00459</t>
        </is>
      </c>
      <c r="B460" s="14" t="inlineStr">
        <is>
          <t>S02</t>
        </is>
      </c>
      <c r="C460" s="14" t="inlineStr">
        <is>
          <t>NB-0018</t>
        </is>
      </c>
      <c r="D460" s="26" t="n">
        <v>45740</v>
      </c>
      <c r="E460" s="26" t="n">
        <v>45761</v>
      </c>
      <c r="F460" s="26" t="n">
        <v>45758</v>
      </c>
      <c r="G460" s="14" t="n">
        <v>112</v>
      </c>
      <c r="H460" s="14" t="n">
        <v>112</v>
      </c>
      <c r="I460" s="14" t="n">
        <v>1</v>
      </c>
      <c r="J460" s="58" t="n">
        <v>2495.36</v>
      </c>
      <c r="K460" s="59">
        <f>(F460-D460)/7</f>
        <v/>
      </c>
      <c r="L460" s="59">
        <f>K460^2</f>
        <v/>
      </c>
      <c r="M460" s="14">
        <f>IF(F460&lt;=E460,1,0)</f>
        <v/>
      </c>
      <c r="N460" s="14">
        <f>MAX(0,F460-E460)</f>
        <v/>
      </c>
    </row>
    <row r="461">
      <c r="A461" s="14" t="inlineStr">
        <is>
          <t>PO-00460</t>
        </is>
      </c>
      <c r="B461" s="14" t="inlineStr">
        <is>
          <t>S02</t>
        </is>
      </c>
      <c r="C461" s="14" t="inlineStr">
        <is>
          <t>NB-0018</t>
        </is>
      </c>
      <c r="D461" s="26" t="n">
        <v>45770</v>
      </c>
      <c r="E461" s="26" t="n">
        <v>45791</v>
      </c>
      <c r="F461" s="26" t="n">
        <v>45790</v>
      </c>
      <c r="G461" s="14" t="n">
        <v>97</v>
      </c>
      <c r="H461" s="14" t="n">
        <v>97</v>
      </c>
      <c r="I461" s="14" t="n">
        <v>0</v>
      </c>
      <c r="J461" s="58" t="n">
        <v>2161.16</v>
      </c>
      <c r="K461" s="59">
        <f>(F461-D461)/7</f>
        <v/>
      </c>
      <c r="L461" s="59">
        <f>K461^2</f>
        <v/>
      </c>
      <c r="M461" s="14">
        <f>IF(F461&lt;=E461,1,0)</f>
        <v/>
      </c>
      <c r="N461" s="14">
        <f>MAX(0,F461-E461)</f>
        <v/>
      </c>
    </row>
    <row r="462">
      <c r="A462" s="14" t="inlineStr">
        <is>
          <t>PO-00461</t>
        </is>
      </c>
      <c r="B462" s="14" t="inlineStr">
        <is>
          <t>S02</t>
        </is>
      </c>
      <c r="C462" s="14" t="inlineStr">
        <is>
          <t>NB-0018</t>
        </is>
      </c>
      <c r="D462" s="26" t="n">
        <v>45800</v>
      </c>
      <c r="E462" s="26" t="n">
        <v>45821</v>
      </c>
      <c r="F462" s="26" t="n">
        <v>45818</v>
      </c>
      <c r="G462" s="14" t="n">
        <v>97</v>
      </c>
      <c r="H462" s="14" t="n">
        <v>97</v>
      </c>
      <c r="I462" s="14" t="n">
        <v>0</v>
      </c>
      <c r="J462" s="58" t="n">
        <v>2161.16</v>
      </c>
      <c r="K462" s="59">
        <f>(F462-D462)/7</f>
        <v/>
      </c>
      <c r="L462" s="59">
        <f>K462^2</f>
        <v/>
      </c>
      <c r="M462" s="14">
        <f>IF(F462&lt;=E462,1,0)</f>
        <v/>
      </c>
      <c r="N462" s="14">
        <f>MAX(0,F462-E462)</f>
        <v/>
      </c>
    </row>
    <row r="463">
      <c r="A463" s="14" t="inlineStr">
        <is>
          <t>PO-00462</t>
        </is>
      </c>
      <c r="B463" s="14" t="inlineStr">
        <is>
          <t>S02</t>
        </is>
      </c>
      <c r="C463" s="14" t="inlineStr">
        <is>
          <t>NB-0018</t>
        </is>
      </c>
      <c r="D463" s="26" t="n">
        <v>45824</v>
      </c>
      <c r="E463" s="26" t="n">
        <v>45845</v>
      </c>
      <c r="F463" s="26" t="n">
        <v>45844</v>
      </c>
      <c r="G463" s="14" t="n">
        <v>106</v>
      </c>
      <c r="H463" s="14" t="n">
        <v>106</v>
      </c>
      <c r="I463" s="14" t="n">
        <v>1</v>
      </c>
      <c r="J463" s="58" t="n">
        <v>2361.68</v>
      </c>
      <c r="K463" s="59">
        <f>(F463-D463)/7</f>
        <v/>
      </c>
      <c r="L463" s="59">
        <f>K463^2</f>
        <v/>
      </c>
      <c r="M463" s="14">
        <f>IF(F463&lt;=E463,1,0)</f>
        <v/>
      </c>
      <c r="N463" s="14">
        <f>MAX(0,F463-E463)</f>
        <v/>
      </c>
    </row>
    <row r="464">
      <c r="A464" s="14" t="inlineStr">
        <is>
          <t>PO-00463</t>
        </is>
      </c>
      <c r="B464" s="14" t="inlineStr">
        <is>
          <t>S02</t>
        </is>
      </c>
      <c r="C464" s="14" t="inlineStr">
        <is>
          <t>NB-0018</t>
        </is>
      </c>
      <c r="D464" s="26" t="n">
        <v>45853</v>
      </c>
      <c r="E464" s="26" t="n">
        <v>45874</v>
      </c>
      <c r="F464" s="26" t="n">
        <v>45872</v>
      </c>
      <c r="G464" s="14" t="n">
        <v>118</v>
      </c>
      <c r="H464" s="14" t="n">
        <v>118</v>
      </c>
      <c r="I464" s="14" t="n">
        <v>0</v>
      </c>
      <c r="J464" s="58" t="n">
        <v>2629.04</v>
      </c>
      <c r="K464" s="59">
        <f>(F464-D464)/7</f>
        <v/>
      </c>
      <c r="L464" s="59">
        <f>K464^2</f>
        <v/>
      </c>
      <c r="M464" s="14">
        <f>IF(F464&lt;=E464,1,0)</f>
        <v/>
      </c>
      <c r="N464" s="14">
        <f>MAX(0,F464-E464)</f>
        <v/>
      </c>
    </row>
    <row r="465">
      <c r="A465" s="14" t="inlineStr">
        <is>
          <t>PO-00464</t>
        </is>
      </c>
      <c r="B465" s="14" t="inlineStr">
        <is>
          <t>S02</t>
        </is>
      </c>
      <c r="C465" s="14" t="inlineStr">
        <is>
          <t>NB-0018</t>
        </is>
      </c>
      <c r="D465" s="26" t="n">
        <v>45883</v>
      </c>
      <c r="E465" s="26" t="n">
        <v>45904</v>
      </c>
      <c r="F465" s="26" t="n">
        <v>45901</v>
      </c>
      <c r="G465" s="14" t="n">
        <v>94</v>
      </c>
      <c r="H465" s="14" t="n">
        <v>94</v>
      </c>
      <c r="I465" s="14" t="n">
        <v>1</v>
      </c>
      <c r="J465" s="58" t="n">
        <v>2094.32</v>
      </c>
      <c r="K465" s="59">
        <f>(F465-D465)/7</f>
        <v/>
      </c>
      <c r="L465" s="59">
        <f>K465^2</f>
        <v/>
      </c>
      <c r="M465" s="14">
        <f>IF(F465&lt;=E465,1,0)</f>
        <v/>
      </c>
      <c r="N465" s="14">
        <f>MAX(0,F465-E465)</f>
        <v/>
      </c>
    </row>
    <row r="466">
      <c r="A466" s="14" t="inlineStr">
        <is>
          <t>PO-00465</t>
        </is>
      </c>
      <c r="B466" s="14" t="inlineStr">
        <is>
          <t>S02</t>
        </is>
      </c>
      <c r="C466" s="14" t="inlineStr">
        <is>
          <t>NB-0018</t>
        </is>
      </c>
      <c r="D466" s="26" t="n">
        <v>45911</v>
      </c>
      <c r="E466" s="26" t="n">
        <v>45932</v>
      </c>
      <c r="F466" s="26" t="n">
        <v>45930</v>
      </c>
      <c r="G466" s="14" t="n">
        <v>89</v>
      </c>
      <c r="H466" s="14" t="n">
        <v>89</v>
      </c>
      <c r="I466" s="14" t="n">
        <v>1</v>
      </c>
      <c r="J466" s="58" t="n">
        <v>1982.92</v>
      </c>
      <c r="K466" s="59">
        <f>(F466-D466)/7</f>
        <v/>
      </c>
      <c r="L466" s="59">
        <f>K466^2</f>
        <v/>
      </c>
      <c r="M466" s="14">
        <f>IF(F466&lt;=E466,1,0)</f>
        <v/>
      </c>
      <c r="N466" s="14">
        <f>MAX(0,F466-E466)</f>
        <v/>
      </c>
    </row>
    <row r="467">
      <c r="A467" s="14" t="inlineStr">
        <is>
          <t>PO-00466</t>
        </is>
      </c>
      <c r="B467" s="14" t="inlineStr">
        <is>
          <t>S02</t>
        </is>
      </c>
      <c r="C467" s="14" t="inlineStr">
        <is>
          <t>NB-0018</t>
        </is>
      </c>
      <c r="D467" s="26" t="n">
        <v>45939</v>
      </c>
      <c r="E467" s="26" t="n">
        <v>45960</v>
      </c>
      <c r="F467" s="26" t="n">
        <v>45959</v>
      </c>
      <c r="G467" s="14" t="n">
        <v>88</v>
      </c>
      <c r="H467" s="14" t="n">
        <v>88</v>
      </c>
      <c r="I467" s="14" t="n">
        <v>1</v>
      </c>
      <c r="J467" s="58" t="n">
        <v>1960.64</v>
      </c>
      <c r="K467" s="59">
        <f>(F467-D467)/7</f>
        <v/>
      </c>
      <c r="L467" s="59">
        <f>K467^2</f>
        <v/>
      </c>
      <c r="M467" s="14">
        <f>IF(F467&lt;=E467,1,0)</f>
        <v/>
      </c>
      <c r="N467" s="14">
        <f>MAX(0,F467-E467)</f>
        <v/>
      </c>
    </row>
    <row r="468">
      <c r="A468" s="14" t="inlineStr">
        <is>
          <t>PO-00467</t>
        </is>
      </c>
      <c r="B468" s="14" t="inlineStr">
        <is>
          <t>S02</t>
        </is>
      </c>
      <c r="C468" s="14" t="inlineStr">
        <is>
          <t>NB-0018</t>
        </is>
      </c>
      <c r="D468" s="26" t="n">
        <v>45968</v>
      </c>
      <c r="E468" s="26" t="n">
        <v>45989</v>
      </c>
      <c r="F468" s="26" t="n">
        <v>45989</v>
      </c>
      <c r="G468" s="14" t="n">
        <v>89</v>
      </c>
      <c r="H468" s="14" t="n">
        <v>89</v>
      </c>
      <c r="I468" s="14" t="n">
        <v>0</v>
      </c>
      <c r="J468" s="58" t="n">
        <v>1982.92</v>
      </c>
      <c r="K468" s="59">
        <f>(F468-D468)/7</f>
        <v/>
      </c>
      <c r="L468" s="59">
        <f>K468^2</f>
        <v/>
      </c>
      <c r="M468" s="14">
        <f>IF(F468&lt;=E468,1,0)</f>
        <v/>
      </c>
      <c r="N468" s="14">
        <f>MAX(0,F468-E468)</f>
        <v/>
      </c>
    </row>
    <row r="469">
      <c r="A469" s="14" t="inlineStr">
        <is>
          <t>PO-00468</t>
        </is>
      </c>
      <c r="B469" s="14" t="inlineStr">
        <is>
          <t>S02</t>
        </is>
      </c>
      <c r="C469" s="14" t="inlineStr">
        <is>
          <t>NB-0018</t>
        </is>
      </c>
      <c r="D469" s="26" t="n">
        <v>45996</v>
      </c>
      <c r="E469" s="26" t="n">
        <v>46017</v>
      </c>
      <c r="F469" s="26" t="n">
        <v>46017</v>
      </c>
      <c r="G469" s="14" t="n">
        <v>111</v>
      </c>
      <c r="H469" s="14" t="n">
        <v>111</v>
      </c>
      <c r="I469" s="14" t="n">
        <v>2</v>
      </c>
      <c r="J469" s="58" t="n">
        <v>2473.08</v>
      </c>
      <c r="K469" s="59">
        <f>(F469-D469)/7</f>
        <v/>
      </c>
      <c r="L469" s="59">
        <f>K469^2</f>
        <v/>
      </c>
      <c r="M469" s="14">
        <f>IF(F469&lt;=E469,1,0)</f>
        <v/>
      </c>
      <c r="N469" s="14">
        <f>MAX(0,F469-E469)</f>
        <v/>
      </c>
    </row>
    <row r="470">
      <c r="A470" s="14" t="inlineStr">
        <is>
          <t>PO-00469</t>
        </is>
      </c>
      <c r="B470" s="14" t="inlineStr">
        <is>
          <t>S02</t>
        </is>
      </c>
      <c r="C470" s="14" t="inlineStr">
        <is>
          <t>NB-0019</t>
        </is>
      </c>
      <c r="D470" s="26" t="n">
        <v>45292</v>
      </c>
      <c r="E470" s="26" t="n">
        <v>45313</v>
      </c>
      <c r="F470" s="26" t="n">
        <v>45312</v>
      </c>
      <c r="G470" s="14" t="n">
        <v>33</v>
      </c>
      <c r="H470" s="14" t="n">
        <v>33</v>
      </c>
      <c r="I470" s="14" t="n">
        <v>0</v>
      </c>
      <c r="J470" s="58" t="n">
        <v>1912.02</v>
      </c>
      <c r="K470" s="59">
        <f>(F470-D470)/7</f>
        <v/>
      </c>
      <c r="L470" s="59">
        <f>K470^2</f>
        <v/>
      </c>
      <c r="M470" s="14">
        <f>IF(F470&lt;=E470,1,0)</f>
        <v/>
      </c>
      <c r="N470" s="14">
        <f>MAX(0,F470-E470)</f>
        <v/>
      </c>
    </row>
    <row r="471">
      <c r="A471" s="14" t="inlineStr">
        <is>
          <t>PO-00470</t>
        </is>
      </c>
      <c r="B471" s="14" t="inlineStr">
        <is>
          <t>S02</t>
        </is>
      </c>
      <c r="C471" s="14" t="inlineStr">
        <is>
          <t>NB-0019</t>
        </is>
      </c>
      <c r="D471" s="26" t="n">
        <v>45323</v>
      </c>
      <c r="E471" s="26" t="n">
        <v>45344</v>
      </c>
      <c r="F471" s="26" t="n">
        <v>45343</v>
      </c>
      <c r="G471" s="14" t="n">
        <v>36</v>
      </c>
      <c r="H471" s="14" t="n">
        <v>36</v>
      </c>
      <c r="I471" s="14" t="n">
        <v>0</v>
      </c>
      <c r="J471" s="58" t="n">
        <v>2085.84</v>
      </c>
      <c r="K471" s="59">
        <f>(F471-D471)/7</f>
        <v/>
      </c>
      <c r="L471" s="59">
        <f>K471^2</f>
        <v/>
      </c>
      <c r="M471" s="14">
        <f>IF(F471&lt;=E471,1,0)</f>
        <v/>
      </c>
      <c r="N471" s="14">
        <f>MAX(0,F471-E471)</f>
        <v/>
      </c>
    </row>
    <row r="472">
      <c r="A472" s="14" t="inlineStr">
        <is>
          <t>PO-00471</t>
        </is>
      </c>
      <c r="B472" s="14" t="inlineStr">
        <is>
          <t>S02</t>
        </is>
      </c>
      <c r="C472" s="14" t="inlineStr">
        <is>
          <t>NB-0019</t>
        </is>
      </c>
      <c r="D472" s="26" t="n">
        <v>45348</v>
      </c>
      <c r="E472" s="26" t="n">
        <v>45369</v>
      </c>
      <c r="F472" s="26" t="n">
        <v>45367</v>
      </c>
      <c r="G472" s="14" t="n">
        <v>45</v>
      </c>
      <c r="H472" s="14" t="n">
        <v>45</v>
      </c>
      <c r="I472" s="14" t="n">
        <v>0</v>
      </c>
      <c r="J472" s="58" t="n">
        <v>2607.3</v>
      </c>
      <c r="K472" s="59">
        <f>(F472-D472)/7</f>
        <v/>
      </c>
      <c r="L472" s="59">
        <f>K472^2</f>
        <v/>
      </c>
      <c r="M472" s="14">
        <f>IF(F472&lt;=E472,1,0)</f>
        <v/>
      </c>
      <c r="N472" s="14">
        <f>MAX(0,F472-E472)</f>
        <v/>
      </c>
    </row>
    <row r="473">
      <c r="A473" s="14" t="inlineStr">
        <is>
          <t>PO-00472</t>
        </is>
      </c>
      <c r="B473" s="14" t="inlineStr">
        <is>
          <t>S02</t>
        </is>
      </c>
      <c r="C473" s="14" t="inlineStr">
        <is>
          <t>NB-0019</t>
        </is>
      </c>
      <c r="D473" s="26" t="n">
        <v>45379</v>
      </c>
      <c r="E473" s="26" t="n">
        <v>45400</v>
      </c>
      <c r="F473" s="26" t="n">
        <v>45398</v>
      </c>
      <c r="G473" s="14" t="n">
        <v>40</v>
      </c>
      <c r="H473" s="14" t="n">
        <v>40</v>
      </c>
      <c r="I473" s="14" t="n">
        <v>0</v>
      </c>
      <c r="J473" s="58" t="n">
        <v>2317.6</v>
      </c>
      <c r="K473" s="59">
        <f>(F473-D473)/7</f>
        <v/>
      </c>
      <c r="L473" s="59">
        <f>K473^2</f>
        <v/>
      </c>
      <c r="M473" s="14">
        <f>IF(F473&lt;=E473,1,0)</f>
        <v/>
      </c>
      <c r="N473" s="14">
        <f>MAX(0,F473-E473)</f>
        <v/>
      </c>
    </row>
    <row r="474">
      <c r="A474" s="14" t="inlineStr">
        <is>
          <t>PO-00473</t>
        </is>
      </c>
      <c r="B474" s="14" t="inlineStr">
        <is>
          <t>S02</t>
        </is>
      </c>
      <c r="C474" s="14" t="inlineStr">
        <is>
          <t>NB-0019</t>
        </is>
      </c>
      <c r="D474" s="26" t="n">
        <v>45405</v>
      </c>
      <c r="E474" s="26" t="n">
        <v>45426</v>
      </c>
      <c r="F474" s="26" t="n">
        <v>45429</v>
      </c>
      <c r="G474" s="14" t="n">
        <v>41</v>
      </c>
      <c r="H474" s="14" t="n">
        <v>41</v>
      </c>
      <c r="I474" s="14" t="n">
        <v>0</v>
      </c>
      <c r="J474" s="58" t="n">
        <v>2375.54</v>
      </c>
      <c r="K474" s="59">
        <f>(F474-D474)/7</f>
        <v/>
      </c>
      <c r="L474" s="59">
        <f>K474^2</f>
        <v/>
      </c>
      <c r="M474" s="14">
        <f>IF(F474&lt;=E474,1,0)</f>
        <v/>
      </c>
      <c r="N474" s="14">
        <f>MAX(0,F474-E474)</f>
        <v/>
      </c>
    </row>
    <row r="475">
      <c r="A475" s="14" t="inlineStr">
        <is>
          <t>PO-00474</t>
        </is>
      </c>
      <c r="B475" s="14" t="inlineStr">
        <is>
          <t>S02</t>
        </is>
      </c>
      <c r="C475" s="14" t="inlineStr">
        <is>
          <t>NB-0019</t>
        </is>
      </c>
      <c r="D475" s="26" t="n">
        <v>45433</v>
      </c>
      <c r="E475" s="26" t="n">
        <v>45454</v>
      </c>
      <c r="F475" s="26" t="n">
        <v>45454</v>
      </c>
      <c r="G475" s="14" t="n">
        <v>41</v>
      </c>
      <c r="H475" s="14" t="n">
        <v>41</v>
      </c>
      <c r="I475" s="14" t="n">
        <v>2</v>
      </c>
      <c r="J475" s="58" t="n">
        <v>2375.54</v>
      </c>
      <c r="K475" s="59">
        <f>(F475-D475)/7</f>
        <v/>
      </c>
      <c r="L475" s="59">
        <f>K475^2</f>
        <v/>
      </c>
      <c r="M475" s="14">
        <f>IF(F475&lt;=E475,1,0)</f>
        <v/>
      </c>
      <c r="N475" s="14">
        <f>MAX(0,F475-E475)</f>
        <v/>
      </c>
    </row>
    <row r="476">
      <c r="A476" s="14" t="inlineStr">
        <is>
          <t>PO-00475</t>
        </is>
      </c>
      <c r="B476" s="14" t="inlineStr">
        <is>
          <t>S02</t>
        </is>
      </c>
      <c r="C476" s="14" t="inlineStr">
        <is>
          <t>NB-0019</t>
        </is>
      </c>
      <c r="D476" s="26" t="n">
        <v>45462</v>
      </c>
      <c r="E476" s="26" t="n">
        <v>45483</v>
      </c>
      <c r="F476" s="26" t="n">
        <v>45482</v>
      </c>
      <c r="G476" s="14" t="n">
        <v>34</v>
      </c>
      <c r="H476" s="14" t="n">
        <v>34</v>
      </c>
      <c r="I476" s="14" t="n">
        <v>1</v>
      </c>
      <c r="J476" s="58" t="n">
        <v>1969.96</v>
      </c>
      <c r="K476" s="59">
        <f>(F476-D476)/7</f>
        <v/>
      </c>
      <c r="L476" s="59">
        <f>K476^2</f>
        <v/>
      </c>
      <c r="M476" s="14">
        <f>IF(F476&lt;=E476,1,0)</f>
        <v/>
      </c>
      <c r="N476" s="14">
        <f>MAX(0,F476-E476)</f>
        <v/>
      </c>
    </row>
    <row r="477">
      <c r="A477" s="14" t="inlineStr">
        <is>
          <t>PO-00476</t>
        </is>
      </c>
      <c r="B477" s="14" t="inlineStr">
        <is>
          <t>S02</t>
        </is>
      </c>
      <c r="C477" s="14" t="inlineStr">
        <is>
          <t>NB-0019</t>
        </is>
      </c>
      <c r="D477" s="26" t="n">
        <v>45492</v>
      </c>
      <c r="E477" s="26" t="n">
        <v>45513</v>
      </c>
      <c r="F477" s="26" t="n">
        <v>45510</v>
      </c>
      <c r="G477" s="14" t="n">
        <v>44</v>
      </c>
      <c r="H477" s="14" t="n">
        <v>44</v>
      </c>
      <c r="I477" s="14" t="n">
        <v>0</v>
      </c>
      <c r="J477" s="58" t="n">
        <v>2549.36</v>
      </c>
      <c r="K477" s="59">
        <f>(F477-D477)/7</f>
        <v/>
      </c>
      <c r="L477" s="59">
        <f>K477^2</f>
        <v/>
      </c>
      <c r="M477" s="14">
        <f>IF(F477&lt;=E477,1,0)</f>
        <v/>
      </c>
      <c r="N477" s="14">
        <f>MAX(0,F477-E477)</f>
        <v/>
      </c>
    </row>
    <row r="478">
      <c r="A478" s="14" t="inlineStr">
        <is>
          <t>PO-00477</t>
        </is>
      </c>
      <c r="B478" s="14" t="inlineStr">
        <is>
          <t>S02</t>
        </is>
      </c>
      <c r="C478" s="14" t="inlineStr">
        <is>
          <t>NB-0019</t>
        </is>
      </c>
      <c r="D478" s="26" t="n">
        <v>45520</v>
      </c>
      <c r="E478" s="26" t="n">
        <v>45541</v>
      </c>
      <c r="F478" s="26" t="n">
        <v>45538</v>
      </c>
      <c r="G478" s="14" t="n">
        <v>38</v>
      </c>
      <c r="H478" s="14" t="n">
        <v>38</v>
      </c>
      <c r="I478" s="14" t="n">
        <v>0</v>
      </c>
      <c r="J478" s="58" t="n">
        <v>2201.72</v>
      </c>
      <c r="K478" s="59">
        <f>(F478-D478)/7</f>
        <v/>
      </c>
      <c r="L478" s="59">
        <f>K478^2</f>
        <v/>
      </c>
      <c r="M478" s="14">
        <f>IF(F478&lt;=E478,1,0)</f>
        <v/>
      </c>
      <c r="N478" s="14">
        <f>MAX(0,F478-E478)</f>
        <v/>
      </c>
    </row>
    <row r="479">
      <c r="A479" s="14" t="inlineStr">
        <is>
          <t>PO-00478</t>
        </is>
      </c>
      <c r="B479" s="14" t="inlineStr">
        <is>
          <t>S02</t>
        </is>
      </c>
      <c r="C479" s="14" t="inlineStr">
        <is>
          <t>NB-0019</t>
        </is>
      </c>
      <c r="D479" s="26" t="n">
        <v>45546</v>
      </c>
      <c r="E479" s="26" t="n">
        <v>45567</v>
      </c>
      <c r="F479" s="26" t="n">
        <v>45567</v>
      </c>
      <c r="G479" s="14" t="n">
        <v>35</v>
      </c>
      <c r="H479" s="14" t="n">
        <v>35</v>
      </c>
      <c r="I479" s="14" t="n">
        <v>0</v>
      </c>
      <c r="J479" s="58" t="n">
        <v>2027.9</v>
      </c>
      <c r="K479" s="59">
        <f>(F479-D479)/7</f>
        <v/>
      </c>
      <c r="L479" s="59">
        <f>K479^2</f>
        <v/>
      </c>
      <c r="M479" s="14">
        <f>IF(F479&lt;=E479,1,0)</f>
        <v/>
      </c>
      <c r="N479" s="14">
        <f>MAX(0,F479-E479)</f>
        <v/>
      </c>
    </row>
    <row r="480">
      <c r="A480" s="14" t="inlineStr">
        <is>
          <t>PO-00479</t>
        </is>
      </c>
      <c r="B480" s="14" t="inlineStr">
        <is>
          <t>S02</t>
        </is>
      </c>
      <c r="C480" s="14" t="inlineStr">
        <is>
          <t>NB-0019</t>
        </is>
      </c>
      <c r="D480" s="26" t="n">
        <v>45572</v>
      </c>
      <c r="E480" s="26" t="n">
        <v>45593</v>
      </c>
      <c r="F480" s="26" t="n">
        <v>45590</v>
      </c>
      <c r="G480" s="14" t="n">
        <v>40</v>
      </c>
      <c r="H480" s="14" t="n">
        <v>40</v>
      </c>
      <c r="I480" s="14" t="n">
        <v>0</v>
      </c>
      <c r="J480" s="58" t="n">
        <v>2317.6</v>
      </c>
      <c r="K480" s="59">
        <f>(F480-D480)/7</f>
        <v/>
      </c>
      <c r="L480" s="59">
        <f>K480^2</f>
        <v/>
      </c>
      <c r="M480" s="14">
        <f>IF(F480&lt;=E480,1,0)</f>
        <v/>
      </c>
      <c r="N480" s="14">
        <f>MAX(0,F480-E480)</f>
        <v/>
      </c>
    </row>
    <row r="481">
      <c r="A481" s="14" t="inlineStr">
        <is>
          <t>PO-00480</t>
        </is>
      </c>
      <c r="B481" s="14" t="inlineStr">
        <is>
          <t>S02</t>
        </is>
      </c>
      <c r="C481" s="14" t="inlineStr">
        <is>
          <t>NB-0019</t>
        </is>
      </c>
      <c r="D481" s="26" t="n">
        <v>45600</v>
      </c>
      <c r="E481" s="26" t="n">
        <v>45621</v>
      </c>
      <c r="F481" s="26" t="n">
        <v>45621</v>
      </c>
      <c r="G481" s="14" t="n">
        <v>35</v>
      </c>
      <c r="H481" s="14" t="n">
        <v>35</v>
      </c>
      <c r="I481" s="14" t="n">
        <v>0</v>
      </c>
      <c r="J481" s="58" t="n">
        <v>2027.9</v>
      </c>
      <c r="K481" s="59">
        <f>(F481-D481)/7</f>
        <v/>
      </c>
      <c r="L481" s="59">
        <f>K481^2</f>
        <v/>
      </c>
      <c r="M481" s="14">
        <f>IF(F481&lt;=E481,1,0)</f>
        <v/>
      </c>
      <c r="N481" s="14">
        <f>MAX(0,F481-E481)</f>
        <v/>
      </c>
    </row>
    <row r="482">
      <c r="A482" s="14" t="inlineStr">
        <is>
          <t>PO-00481</t>
        </is>
      </c>
      <c r="B482" s="14" t="inlineStr">
        <is>
          <t>S02</t>
        </is>
      </c>
      <c r="C482" s="14" t="inlineStr">
        <is>
          <t>NB-0019</t>
        </is>
      </c>
      <c r="D482" s="26" t="n">
        <v>45629</v>
      </c>
      <c r="E482" s="26" t="n">
        <v>45650</v>
      </c>
      <c r="F482" s="26" t="n">
        <v>45650</v>
      </c>
      <c r="G482" s="14" t="n">
        <v>37</v>
      </c>
      <c r="H482" s="14" t="n">
        <v>37</v>
      </c>
      <c r="I482" s="14" t="n">
        <v>0</v>
      </c>
      <c r="J482" s="58" t="n">
        <v>2143.78</v>
      </c>
      <c r="K482" s="59">
        <f>(F482-D482)/7</f>
        <v/>
      </c>
      <c r="L482" s="59">
        <f>K482^2</f>
        <v/>
      </c>
      <c r="M482" s="14">
        <f>IF(F482&lt;=E482,1,0)</f>
        <v/>
      </c>
      <c r="N482" s="14">
        <f>MAX(0,F482-E482)</f>
        <v/>
      </c>
    </row>
    <row r="483">
      <c r="A483" s="14" t="inlineStr">
        <is>
          <t>PO-00482</t>
        </is>
      </c>
      <c r="B483" s="14" t="inlineStr">
        <is>
          <t>S02</t>
        </is>
      </c>
      <c r="C483" s="14" t="inlineStr">
        <is>
          <t>NB-0019</t>
        </is>
      </c>
      <c r="D483" s="26" t="n">
        <v>45658</v>
      </c>
      <c r="E483" s="26" t="n">
        <v>45679</v>
      </c>
      <c r="F483" s="26" t="n">
        <v>45676</v>
      </c>
      <c r="G483" s="14" t="n">
        <v>45</v>
      </c>
      <c r="H483" s="14" t="n">
        <v>45</v>
      </c>
      <c r="I483" s="14" t="n">
        <v>0</v>
      </c>
      <c r="J483" s="58" t="n">
        <v>2607.3</v>
      </c>
      <c r="K483" s="59">
        <f>(F483-D483)/7</f>
        <v/>
      </c>
      <c r="L483" s="59">
        <f>K483^2</f>
        <v/>
      </c>
      <c r="M483" s="14">
        <f>IF(F483&lt;=E483,1,0)</f>
        <v/>
      </c>
      <c r="N483" s="14">
        <f>MAX(0,F483-E483)</f>
        <v/>
      </c>
    </row>
    <row r="484">
      <c r="A484" s="14" t="inlineStr">
        <is>
          <t>PO-00483</t>
        </is>
      </c>
      <c r="B484" s="14" t="inlineStr">
        <is>
          <t>S02</t>
        </is>
      </c>
      <c r="C484" s="14" t="inlineStr">
        <is>
          <t>NB-0019</t>
        </is>
      </c>
      <c r="D484" s="26" t="n">
        <v>45685</v>
      </c>
      <c r="E484" s="26" t="n">
        <v>45706</v>
      </c>
      <c r="F484" s="26" t="n">
        <v>45706</v>
      </c>
      <c r="G484" s="14" t="n">
        <v>41</v>
      </c>
      <c r="H484" s="14" t="n">
        <v>41</v>
      </c>
      <c r="I484" s="14" t="n">
        <v>0</v>
      </c>
      <c r="J484" s="58" t="n">
        <v>2375.54</v>
      </c>
      <c r="K484" s="59">
        <f>(F484-D484)/7</f>
        <v/>
      </c>
      <c r="L484" s="59">
        <f>K484^2</f>
        <v/>
      </c>
      <c r="M484" s="14">
        <f>IF(F484&lt;=E484,1,0)</f>
        <v/>
      </c>
      <c r="N484" s="14">
        <f>MAX(0,F484-E484)</f>
        <v/>
      </c>
    </row>
    <row r="485">
      <c r="A485" s="14" t="inlineStr">
        <is>
          <t>PO-00484</t>
        </is>
      </c>
      <c r="B485" s="14" t="inlineStr">
        <is>
          <t>S02</t>
        </is>
      </c>
      <c r="C485" s="14" t="inlineStr">
        <is>
          <t>NB-0019</t>
        </is>
      </c>
      <c r="D485" s="26" t="n">
        <v>45712</v>
      </c>
      <c r="E485" s="26" t="n">
        <v>45733</v>
      </c>
      <c r="F485" s="26" t="n">
        <v>45732</v>
      </c>
      <c r="G485" s="14" t="n">
        <v>37</v>
      </c>
      <c r="H485" s="14" t="n">
        <v>37</v>
      </c>
      <c r="I485" s="14" t="n">
        <v>0</v>
      </c>
      <c r="J485" s="58" t="n">
        <v>2143.78</v>
      </c>
      <c r="K485" s="59">
        <f>(F485-D485)/7</f>
        <v/>
      </c>
      <c r="L485" s="59">
        <f>K485^2</f>
        <v/>
      </c>
      <c r="M485" s="14">
        <f>IF(F485&lt;=E485,1,0)</f>
        <v/>
      </c>
      <c r="N485" s="14">
        <f>MAX(0,F485-E485)</f>
        <v/>
      </c>
    </row>
    <row r="486">
      <c r="A486" s="14" t="inlineStr">
        <is>
          <t>PO-00485</t>
        </is>
      </c>
      <c r="B486" s="14" t="inlineStr">
        <is>
          <t>S02</t>
        </is>
      </c>
      <c r="C486" s="14" t="inlineStr">
        <is>
          <t>NB-0019</t>
        </is>
      </c>
      <c r="D486" s="26" t="n">
        <v>45740</v>
      </c>
      <c r="E486" s="26" t="n">
        <v>45761</v>
      </c>
      <c r="F486" s="26" t="n">
        <v>45758</v>
      </c>
      <c r="G486" s="14" t="n">
        <v>36</v>
      </c>
      <c r="H486" s="14" t="n">
        <v>36</v>
      </c>
      <c r="I486" s="14" t="n">
        <v>1</v>
      </c>
      <c r="J486" s="58" t="n">
        <v>2085.84</v>
      </c>
      <c r="K486" s="59">
        <f>(F486-D486)/7</f>
        <v/>
      </c>
      <c r="L486" s="59">
        <f>K486^2</f>
        <v/>
      </c>
      <c r="M486" s="14">
        <f>IF(F486&lt;=E486,1,0)</f>
        <v/>
      </c>
      <c r="N486" s="14">
        <f>MAX(0,F486-E486)</f>
        <v/>
      </c>
    </row>
    <row r="487">
      <c r="A487" s="14" t="inlineStr">
        <is>
          <t>PO-00486</t>
        </is>
      </c>
      <c r="B487" s="14" t="inlineStr">
        <is>
          <t>S02</t>
        </is>
      </c>
      <c r="C487" s="14" t="inlineStr">
        <is>
          <t>NB-0019</t>
        </is>
      </c>
      <c r="D487" s="26" t="n">
        <v>45771</v>
      </c>
      <c r="E487" s="26" t="n">
        <v>45792</v>
      </c>
      <c r="F487" s="26" t="n">
        <v>45789</v>
      </c>
      <c r="G487" s="14" t="n">
        <v>39</v>
      </c>
      <c r="H487" s="14" t="n">
        <v>36</v>
      </c>
      <c r="I487" s="14" t="n">
        <v>0</v>
      </c>
      <c r="J487" s="58" t="n">
        <v>2259.66</v>
      </c>
      <c r="K487" s="59">
        <f>(F487-D487)/7</f>
        <v/>
      </c>
      <c r="L487" s="59">
        <f>K487^2</f>
        <v/>
      </c>
      <c r="M487" s="14">
        <f>IF(F487&lt;=E487,1,0)</f>
        <v/>
      </c>
      <c r="N487" s="14">
        <f>MAX(0,F487-E487)</f>
        <v/>
      </c>
    </row>
    <row r="488">
      <c r="A488" s="14" t="inlineStr">
        <is>
          <t>PO-00487</t>
        </is>
      </c>
      <c r="B488" s="14" t="inlineStr">
        <is>
          <t>S02</t>
        </is>
      </c>
      <c r="C488" s="14" t="inlineStr">
        <is>
          <t>NB-0019</t>
        </is>
      </c>
      <c r="D488" s="26" t="n">
        <v>45796</v>
      </c>
      <c r="E488" s="26" t="n">
        <v>45817</v>
      </c>
      <c r="F488" s="26" t="n">
        <v>45817</v>
      </c>
      <c r="G488" s="14" t="n">
        <v>40</v>
      </c>
      <c r="H488" s="14" t="n">
        <v>40</v>
      </c>
      <c r="I488" s="14" t="n">
        <v>1</v>
      </c>
      <c r="J488" s="58" t="n">
        <v>2317.6</v>
      </c>
      <c r="K488" s="59">
        <f>(F488-D488)/7</f>
        <v/>
      </c>
      <c r="L488" s="59">
        <f>K488^2</f>
        <v/>
      </c>
      <c r="M488" s="14">
        <f>IF(F488&lt;=E488,1,0)</f>
        <v/>
      </c>
      <c r="N488" s="14">
        <f>MAX(0,F488-E488)</f>
        <v/>
      </c>
    </row>
    <row r="489">
      <c r="A489" s="14" t="inlineStr">
        <is>
          <t>PO-00488</t>
        </is>
      </c>
      <c r="B489" s="14" t="inlineStr">
        <is>
          <t>S02</t>
        </is>
      </c>
      <c r="C489" s="14" t="inlineStr">
        <is>
          <t>NB-0019</t>
        </is>
      </c>
      <c r="D489" s="26" t="n">
        <v>45827</v>
      </c>
      <c r="E489" s="26" t="n">
        <v>45848</v>
      </c>
      <c r="F489" s="26" t="n">
        <v>45847</v>
      </c>
      <c r="G489" s="14" t="n">
        <v>45</v>
      </c>
      <c r="H489" s="14" t="n">
        <v>45</v>
      </c>
      <c r="I489" s="14" t="n">
        <v>1</v>
      </c>
      <c r="J489" s="58" t="n">
        <v>2607.3</v>
      </c>
      <c r="K489" s="59">
        <f>(F489-D489)/7</f>
        <v/>
      </c>
      <c r="L489" s="59">
        <f>K489^2</f>
        <v/>
      </c>
      <c r="M489" s="14">
        <f>IF(F489&lt;=E489,1,0)</f>
        <v/>
      </c>
      <c r="N489" s="14">
        <f>MAX(0,F489-E489)</f>
        <v/>
      </c>
    </row>
    <row r="490">
      <c r="A490" s="14" t="inlineStr">
        <is>
          <t>PO-00489</t>
        </is>
      </c>
      <c r="B490" s="14" t="inlineStr">
        <is>
          <t>S02</t>
        </is>
      </c>
      <c r="C490" s="14" t="inlineStr">
        <is>
          <t>NB-0019</t>
        </is>
      </c>
      <c r="D490" s="26" t="n">
        <v>45854</v>
      </c>
      <c r="E490" s="26" t="n">
        <v>45875</v>
      </c>
      <c r="F490" s="26" t="n">
        <v>45879</v>
      </c>
      <c r="G490" s="14" t="n">
        <v>45</v>
      </c>
      <c r="H490" s="14" t="n">
        <v>45</v>
      </c>
      <c r="I490" s="14" t="n">
        <v>1</v>
      </c>
      <c r="J490" s="58" t="n">
        <v>2607.3</v>
      </c>
      <c r="K490" s="59">
        <f>(F490-D490)/7</f>
        <v/>
      </c>
      <c r="L490" s="59">
        <f>K490^2</f>
        <v/>
      </c>
      <c r="M490" s="14">
        <f>IF(F490&lt;=E490,1,0)</f>
        <v/>
      </c>
      <c r="N490" s="14">
        <f>MAX(0,F490-E490)</f>
        <v/>
      </c>
    </row>
    <row r="491">
      <c r="A491" s="14" t="inlineStr">
        <is>
          <t>PO-00490</t>
        </is>
      </c>
      <c r="B491" s="14" t="inlineStr">
        <is>
          <t>S02</t>
        </is>
      </c>
      <c r="C491" s="14" t="inlineStr">
        <is>
          <t>NB-0019</t>
        </is>
      </c>
      <c r="D491" s="26" t="n">
        <v>45883</v>
      </c>
      <c r="E491" s="26" t="n">
        <v>45904</v>
      </c>
      <c r="F491" s="26" t="n">
        <v>45901</v>
      </c>
      <c r="G491" s="14" t="n">
        <v>41</v>
      </c>
      <c r="H491" s="14" t="n">
        <v>41</v>
      </c>
      <c r="I491" s="14" t="n">
        <v>1</v>
      </c>
      <c r="J491" s="58" t="n">
        <v>2375.54</v>
      </c>
      <c r="K491" s="59">
        <f>(F491-D491)/7</f>
        <v/>
      </c>
      <c r="L491" s="59">
        <f>K491^2</f>
        <v/>
      </c>
      <c r="M491" s="14">
        <f>IF(F491&lt;=E491,1,0)</f>
        <v/>
      </c>
      <c r="N491" s="14">
        <f>MAX(0,F491-E491)</f>
        <v/>
      </c>
    </row>
    <row r="492">
      <c r="A492" s="14" t="inlineStr">
        <is>
          <t>PO-00491</t>
        </is>
      </c>
      <c r="B492" s="14" t="inlineStr">
        <is>
          <t>S02</t>
        </is>
      </c>
      <c r="C492" s="14" t="inlineStr">
        <is>
          <t>NB-0019</t>
        </is>
      </c>
      <c r="D492" s="26" t="n">
        <v>45909</v>
      </c>
      <c r="E492" s="26" t="n">
        <v>45930</v>
      </c>
      <c r="F492" s="26" t="n">
        <v>45930</v>
      </c>
      <c r="G492" s="14" t="n">
        <v>44</v>
      </c>
      <c r="H492" s="14" t="n">
        <v>44</v>
      </c>
      <c r="I492" s="14" t="n">
        <v>0</v>
      </c>
      <c r="J492" s="58" t="n">
        <v>2549.36</v>
      </c>
      <c r="K492" s="59">
        <f>(F492-D492)/7</f>
        <v/>
      </c>
      <c r="L492" s="59">
        <f>K492^2</f>
        <v/>
      </c>
      <c r="M492" s="14">
        <f>IF(F492&lt;=E492,1,0)</f>
        <v/>
      </c>
      <c r="N492" s="14">
        <f>MAX(0,F492-E492)</f>
        <v/>
      </c>
    </row>
    <row r="493">
      <c r="A493" s="14" t="inlineStr">
        <is>
          <t>PO-00492</t>
        </is>
      </c>
      <c r="B493" s="14" t="inlineStr">
        <is>
          <t>S02</t>
        </is>
      </c>
      <c r="C493" s="14" t="inlineStr">
        <is>
          <t>NB-0019</t>
        </is>
      </c>
      <c r="D493" s="26" t="n">
        <v>45938</v>
      </c>
      <c r="E493" s="26" t="n">
        <v>45959</v>
      </c>
      <c r="F493" s="26" t="n">
        <v>45961</v>
      </c>
      <c r="G493" s="14" t="n">
        <v>36</v>
      </c>
      <c r="H493" s="14" t="n">
        <v>36</v>
      </c>
      <c r="I493" s="14" t="n">
        <v>0</v>
      </c>
      <c r="J493" s="58" t="n">
        <v>2085.84</v>
      </c>
      <c r="K493" s="59">
        <f>(F493-D493)/7</f>
        <v/>
      </c>
      <c r="L493" s="59">
        <f>K493^2</f>
        <v/>
      </c>
      <c r="M493" s="14">
        <f>IF(F493&lt;=E493,1,0)</f>
        <v/>
      </c>
      <c r="N493" s="14">
        <f>MAX(0,F493-E493)</f>
        <v/>
      </c>
    </row>
    <row r="494">
      <c r="A494" s="14" t="inlineStr">
        <is>
          <t>PO-00493</t>
        </is>
      </c>
      <c r="B494" s="14" t="inlineStr">
        <is>
          <t>S02</t>
        </is>
      </c>
      <c r="C494" s="14" t="inlineStr">
        <is>
          <t>NB-0019</t>
        </is>
      </c>
      <c r="D494" s="26" t="n">
        <v>45966</v>
      </c>
      <c r="E494" s="26" t="n">
        <v>45987</v>
      </c>
      <c r="F494" s="26" t="n">
        <v>45987</v>
      </c>
      <c r="G494" s="14" t="n">
        <v>33</v>
      </c>
      <c r="H494" s="14" t="n">
        <v>33</v>
      </c>
      <c r="I494" s="14" t="n">
        <v>0</v>
      </c>
      <c r="J494" s="58" t="n">
        <v>1912.02</v>
      </c>
      <c r="K494" s="59">
        <f>(F494-D494)/7</f>
        <v/>
      </c>
      <c r="L494" s="59">
        <f>K494^2</f>
        <v/>
      </c>
      <c r="M494" s="14">
        <f>IF(F494&lt;=E494,1,0)</f>
        <v/>
      </c>
      <c r="N494" s="14">
        <f>MAX(0,F494-E494)</f>
        <v/>
      </c>
    </row>
    <row r="495">
      <c r="A495" s="14" t="inlineStr">
        <is>
          <t>PO-00494</t>
        </is>
      </c>
      <c r="B495" s="14" t="inlineStr">
        <is>
          <t>S02</t>
        </is>
      </c>
      <c r="C495" s="14" t="inlineStr">
        <is>
          <t>NB-0019</t>
        </is>
      </c>
      <c r="D495" s="26" t="n">
        <v>45995</v>
      </c>
      <c r="E495" s="26" t="n">
        <v>46016</v>
      </c>
      <c r="F495" s="26" t="n">
        <v>46015</v>
      </c>
      <c r="G495" s="14" t="n">
        <v>44</v>
      </c>
      <c r="H495" s="14" t="n">
        <v>44</v>
      </c>
      <c r="I495" s="14" t="n">
        <v>0</v>
      </c>
      <c r="J495" s="58" t="n">
        <v>2549.36</v>
      </c>
      <c r="K495" s="59">
        <f>(F495-D495)/7</f>
        <v/>
      </c>
      <c r="L495" s="59">
        <f>K495^2</f>
        <v/>
      </c>
      <c r="M495" s="14">
        <f>IF(F495&lt;=E495,1,0)</f>
        <v/>
      </c>
      <c r="N495" s="14">
        <f>MAX(0,F495-E495)</f>
        <v/>
      </c>
    </row>
    <row r="496">
      <c r="A496" s="14" t="inlineStr">
        <is>
          <t>PO-00495</t>
        </is>
      </c>
      <c r="B496" s="14" t="inlineStr">
        <is>
          <t>S03</t>
        </is>
      </c>
      <c r="C496" s="14" t="inlineStr">
        <is>
          <t>NB-0020</t>
        </is>
      </c>
      <c r="D496" s="26" t="n">
        <v>45296</v>
      </c>
      <c r="E496" s="26" t="n">
        <v>45338</v>
      </c>
      <c r="F496" s="26" t="n">
        <v>45336</v>
      </c>
      <c r="G496" s="14" t="n">
        <v>37</v>
      </c>
      <c r="H496" s="14" t="n">
        <v>37</v>
      </c>
      <c r="I496" s="14" t="n">
        <v>0</v>
      </c>
      <c r="J496" s="58" t="n">
        <v>3266.73</v>
      </c>
      <c r="K496" s="59">
        <f>(F496-D496)/7</f>
        <v/>
      </c>
      <c r="L496" s="59">
        <f>K496^2</f>
        <v/>
      </c>
      <c r="M496" s="14">
        <f>IF(F496&lt;=E496,1,0)</f>
        <v/>
      </c>
      <c r="N496" s="14">
        <f>MAX(0,F496-E496)</f>
        <v/>
      </c>
    </row>
    <row r="497">
      <c r="A497" s="14" t="inlineStr">
        <is>
          <t>PO-00496</t>
        </is>
      </c>
      <c r="B497" s="14" t="inlineStr">
        <is>
          <t>S03</t>
        </is>
      </c>
      <c r="C497" s="14" t="inlineStr">
        <is>
          <t>NB-0020</t>
        </is>
      </c>
      <c r="D497" s="26" t="n">
        <v>45321</v>
      </c>
      <c r="E497" s="26" t="n">
        <v>45363</v>
      </c>
      <c r="F497" s="26" t="n">
        <v>45361</v>
      </c>
      <c r="G497" s="14" t="n">
        <v>36</v>
      </c>
      <c r="H497" s="14" t="n">
        <v>36</v>
      </c>
      <c r="I497" s="14" t="n">
        <v>1</v>
      </c>
      <c r="J497" s="58" t="n">
        <v>3178.44</v>
      </c>
      <c r="K497" s="59">
        <f>(F497-D497)/7</f>
        <v/>
      </c>
      <c r="L497" s="59">
        <f>K497^2</f>
        <v/>
      </c>
      <c r="M497" s="14">
        <f>IF(F497&lt;=E497,1,0)</f>
        <v/>
      </c>
      <c r="N497" s="14">
        <f>MAX(0,F497-E497)</f>
        <v/>
      </c>
    </row>
    <row r="498">
      <c r="A498" s="14" t="inlineStr">
        <is>
          <t>PO-00497</t>
        </is>
      </c>
      <c r="B498" s="14" t="inlineStr">
        <is>
          <t>S03</t>
        </is>
      </c>
      <c r="C498" s="14" t="inlineStr">
        <is>
          <t>NB-0020</t>
        </is>
      </c>
      <c r="D498" s="26" t="n">
        <v>45348</v>
      </c>
      <c r="E498" s="26" t="n">
        <v>45390</v>
      </c>
      <c r="F498" s="26" t="n">
        <v>45387</v>
      </c>
      <c r="G498" s="14" t="n">
        <v>38</v>
      </c>
      <c r="H498" s="14" t="n">
        <v>38</v>
      </c>
      <c r="I498" s="14" t="n">
        <v>0</v>
      </c>
      <c r="J498" s="58" t="n">
        <v>3355.02</v>
      </c>
      <c r="K498" s="59">
        <f>(F498-D498)/7</f>
        <v/>
      </c>
      <c r="L498" s="59">
        <f>K498^2</f>
        <v/>
      </c>
      <c r="M498" s="14">
        <f>IF(F498&lt;=E498,1,0)</f>
        <v/>
      </c>
      <c r="N498" s="14">
        <f>MAX(0,F498-E498)</f>
        <v/>
      </c>
    </row>
    <row r="499">
      <c r="A499" s="14" t="inlineStr">
        <is>
          <t>PO-00498</t>
        </is>
      </c>
      <c r="B499" s="14" t="inlineStr">
        <is>
          <t>S03</t>
        </is>
      </c>
      <c r="C499" s="14" t="inlineStr">
        <is>
          <t>NB-0020</t>
        </is>
      </c>
      <c r="D499" s="26" t="n">
        <v>45378</v>
      </c>
      <c r="E499" s="26" t="n">
        <v>45420</v>
      </c>
      <c r="F499" s="26" t="n">
        <v>45420</v>
      </c>
      <c r="G499" s="14" t="n">
        <v>45</v>
      </c>
      <c r="H499" s="14" t="n">
        <v>45</v>
      </c>
      <c r="I499" s="14" t="n">
        <v>0</v>
      </c>
      <c r="J499" s="58" t="n">
        <v>3973.05</v>
      </c>
      <c r="K499" s="59">
        <f>(F499-D499)/7</f>
        <v/>
      </c>
      <c r="L499" s="59">
        <f>K499^2</f>
        <v/>
      </c>
      <c r="M499" s="14">
        <f>IF(F499&lt;=E499,1,0)</f>
        <v/>
      </c>
      <c r="N499" s="14">
        <f>MAX(0,F499-E499)</f>
        <v/>
      </c>
    </row>
    <row r="500">
      <c r="A500" s="14" t="inlineStr">
        <is>
          <t>PO-00499</t>
        </is>
      </c>
      <c r="B500" s="14" t="inlineStr">
        <is>
          <t>S03</t>
        </is>
      </c>
      <c r="C500" s="14" t="inlineStr">
        <is>
          <t>NB-0020</t>
        </is>
      </c>
      <c r="D500" s="26" t="n">
        <v>45406</v>
      </c>
      <c r="E500" s="26" t="n">
        <v>45448</v>
      </c>
      <c r="F500" s="26" t="n">
        <v>45446</v>
      </c>
      <c r="G500" s="14" t="n">
        <v>36</v>
      </c>
      <c r="H500" s="14" t="n">
        <v>36</v>
      </c>
      <c r="I500" s="14" t="n">
        <v>0</v>
      </c>
      <c r="J500" s="58" t="n">
        <v>3178.44</v>
      </c>
      <c r="K500" s="59">
        <f>(F500-D500)/7</f>
        <v/>
      </c>
      <c r="L500" s="59">
        <f>K500^2</f>
        <v/>
      </c>
      <c r="M500" s="14">
        <f>IF(F500&lt;=E500,1,0)</f>
        <v/>
      </c>
      <c r="N500" s="14">
        <f>MAX(0,F500-E500)</f>
        <v/>
      </c>
    </row>
    <row r="501">
      <c r="A501" s="14" t="inlineStr">
        <is>
          <t>PO-00500</t>
        </is>
      </c>
      <c r="B501" s="14" t="inlineStr">
        <is>
          <t>S03</t>
        </is>
      </c>
      <c r="C501" s="14" t="inlineStr">
        <is>
          <t>NB-0020</t>
        </is>
      </c>
      <c r="D501" s="26" t="n">
        <v>45436</v>
      </c>
      <c r="E501" s="26" t="n">
        <v>45478</v>
      </c>
      <c r="F501" s="26" t="n">
        <v>45476</v>
      </c>
      <c r="G501" s="14" t="n">
        <v>33</v>
      </c>
      <c r="H501" s="14" t="n">
        <v>33</v>
      </c>
      <c r="I501" s="14" t="n">
        <v>0</v>
      </c>
      <c r="J501" s="58" t="n">
        <v>2913.57</v>
      </c>
      <c r="K501" s="59">
        <f>(F501-D501)/7</f>
        <v/>
      </c>
      <c r="L501" s="59">
        <f>K501^2</f>
        <v/>
      </c>
      <c r="M501" s="14">
        <f>IF(F501&lt;=E501,1,0)</f>
        <v/>
      </c>
      <c r="N501" s="14">
        <f>MAX(0,F501-E501)</f>
        <v/>
      </c>
    </row>
    <row r="502">
      <c r="A502" s="14" t="inlineStr">
        <is>
          <t>PO-00501</t>
        </is>
      </c>
      <c r="B502" s="14" t="inlineStr">
        <is>
          <t>S03</t>
        </is>
      </c>
      <c r="C502" s="14" t="inlineStr">
        <is>
          <t>NB-0020</t>
        </is>
      </c>
      <c r="D502" s="26" t="n">
        <v>45460</v>
      </c>
      <c r="E502" s="26" t="n">
        <v>45502</v>
      </c>
      <c r="F502" s="26" t="n">
        <v>45511</v>
      </c>
      <c r="G502" s="14" t="n">
        <v>38</v>
      </c>
      <c r="H502" s="14" t="n">
        <v>38</v>
      </c>
      <c r="I502" s="14" t="n">
        <v>1</v>
      </c>
      <c r="J502" s="58" t="n">
        <v>3355.02</v>
      </c>
      <c r="K502" s="59">
        <f>(F502-D502)/7</f>
        <v/>
      </c>
      <c r="L502" s="59">
        <f>K502^2</f>
        <v/>
      </c>
      <c r="M502" s="14">
        <f>IF(F502&lt;=E502,1,0)</f>
        <v/>
      </c>
      <c r="N502" s="14">
        <f>MAX(0,F502-E502)</f>
        <v/>
      </c>
    </row>
    <row r="503">
      <c r="A503" s="14" t="inlineStr">
        <is>
          <t>PO-00502</t>
        </is>
      </c>
      <c r="B503" s="14" t="inlineStr">
        <is>
          <t>S03</t>
        </is>
      </c>
      <c r="C503" s="14" t="inlineStr">
        <is>
          <t>NB-0020</t>
        </is>
      </c>
      <c r="D503" s="26" t="n">
        <v>45489</v>
      </c>
      <c r="E503" s="26" t="n">
        <v>45531</v>
      </c>
      <c r="F503" s="26" t="n">
        <v>45529</v>
      </c>
      <c r="G503" s="14" t="n">
        <v>41</v>
      </c>
      <c r="H503" s="14" t="n">
        <v>41</v>
      </c>
      <c r="I503" s="14" t="n">
        <v>1</v>
      </c>
      <c r="J503" s="58" t="n">
        <v>3619.89</v>
      </c>
      <c r="K503" s="59">
        <f>(F503-D503)/7</f>
        <v/>
      </c>
      <c r="L503" s="59">
        <f>K503^2</f>
        <v/>
      </c>
      <c r="M503" s="14">
        <f>IF(F503&lt;=E503,1,0)</f>
        <v/>
      </c>
      <c r="N503" s="14">
        <f>MAX(0,F503-E503)</f>
        <v/>
      </c>
    </row>
    <row r="504">
      <c r="A504" s="14" t="inlineStr">
        <is>
          <t>PO-00503</t>
        </is>
      </c>
      <c r="B504" s="14" t="inlineStr">
        <is>
          <t>S03</t>
        </is>
      </c>
      <c r="C504" s="14" t="inlineStr">
        <is>
          <t>NB-0020</t>
        </is>
      </c>
      <c r="D504" s="26" t="n">
        <v>45519</v>
      </c>
      <c r="E504" s="26" t="n">
        <v>45561</v>
      </c>
      <c r="F504" s="26" t="n">
        <v>45559</v>
      </c>
      <c r="G504" s="14" t="n">
        <v>44</v>
      </c>
      <c r="H504" s="14" t="n">
        <v>44</v>
      </c>
      <c r="I504" s="14" t="n">
        <v>0</v>
      </c>
      <c r="J504" s="58" t="n">
        <v>3884.76</v>
      </c>
      <c r="K504" s="59">
        <f>(F504-D504)/7</f>
        <v/>
      </c>
      <c r="L504" s="59">
        <f>K504^2</f>
        <v/>
      </c>
      <c r="M504" s="14">
        <f>IF(F504&lt;=E504,1,0)</f>
        <v/>
      </c>
      <c r="N504" s="14">
        <f>MAX(0,F504-E504)</f>
        <v/>
      </c>
    </row>
    <row r="505">
      <c r="A505" s="14" t="inlineStr">
        <is>
          <t>PO-00504</t>
        </is>
      </c>
      <c r="B505" s="14" t="inlineStr">
        <is>
          <t>S03</t>
        </is>
      </c>
      <c r="C505" s="14" t="inlineStr">
        <is>
          <t>NB-0020</t>
        </is>
      </c>
      <c r="D505" s="26" t="n">
        <v>45548</v>
      </c>
      <c r="E505" s="26" t="n">
        <v>45590</v>
      </c>
      <c r="F505" s="26" t="n">
        <v>45588</v>
      </c>
      <c r="G505" s="14" t="n">
        <v>44</v>
      </c>
      <c r="H505" s="14" t="n">
        <v>44</v>
      </c>
      <c r="I505" s="14" t="n">
        <v>0</v>
      </c>
      <c r="J505" s="58" t="n">
        <v>3884.76</v>
      </c>
      <c r="K505" s="59">
        <f>(F505-D505)/7</f>
        <v/>
      </c>
      <c r="L505" s="59">
        <f>K505^2</f>
        <v/>
      </c>
      <c r="M505" s="14">
        <f>IF(F505&lt;=E505,1,0)</f>
        <v/>
      </c>
      <c r="N505" s="14">
        <f>MAX(0,F505-E505)</f>
        <v/>
      </c>
    </row>
    <row r="506">
      <c r="A506" s="14" t="inlineStr">
        <is>
          <t>PO-00505</t>
        </is>
      </c>
      <c r="B506" s="14" t="inlineStr">
        <is>
          <t>S03</t>
        </is>
      </c>
      <c r="C506" s="14" t="inlineStr">
        <is>
          <t>NB-0020</t>
        </is>
      </c>
      <c r="D506" s="26" t="n">
        <v>45575</v>
      </c>
      <c r="E506" s="26" t="n">
        <v>45617</v>
      </c>
      <c r="F506" s="26" t="n">
        <v>45614</v>
      </c>
      <c r="G506" s="14" t="n">
        <v>44</v>
      </c>
      <c r="H506" s="14" t="n">
        <v>44</v>
      </c>
      <c r="I506" s="14" t="n">
        <v>0</v>
      </c>
      <c r="J506" s="58" t="n">
        <v>3884.76</v>
      </c>
      <c r="K506" s="59">
        <f>(F506-D506)/7</f>
        <v/>
      </c>
      <c r="L506" s="59">
        <f>K506^2</f>
        <v/>
      </c>
      <c r="M506" s="14">
        <f>IF(F506&lt;=E506,1,0)</f>
        <v/>
      </c>
      <c r="N506" s="14">
        <f>MAX(0,F506-E506)</f>
        <v/>
      </c>
    </row>
    <row r="507">
      <c r="A507" s="14" t="inlineStr">
        <is>
          <t>PO-00506</t>
        </is>
      </c>
      <c r="B507" s="14" t="inlineStr">
        <is>
          <t>S03</t>
        </is>
      </c>
      <c r="C507" s="14" t="inlineStr">
        <is>
          <t>NB-0020</t>
        </is>
      </c>
      <c r="D507" s="26" t="n">
        <v>45604</v>
      </c>
      <c r="E507" s="26" t="n">
        <v>45646</v>
      </c>
      <c r="F507" s="26" t="n">
        <v>45646</v>
      </c>
      <c r="G507" s="14" t="n">
        <v>45</v>
      </c>
      <c r="H507" s="14" t="n">
        <v>45</v>
      </c>
      <c r="I507" s="14" t="n">
        <v>0</v>
      </c>
      <c r="J507" s="58" t="n">
        <v>3973.05</v>
      </c>
      <c r="K507" s="59">
        <f>(F507-D507)/7</f>
        <v/>
      </c>
      <c r="L507" s="59">
        <f>K507^2</f>
        <v/>
      </c>
      <c r="M507" s="14">
        <f>IF(F507&lt;=E507,1,0)</f>
        <v/>
      </c>
      <c r="N507" s="14">
        <f>MAX(0,F507-E507)</f>
        <v/>
      </c>
    </row>
    <row r="508">
      <c r="A508" s="14" t="inlineStr">
        <is>
          <t>PO-00507</t>
        </is>
      </c>
      <c r="B508" s="14" t="inlineStr">
        <is>
          <t>S03</t>
        </is>
      </c>
      <c r="C508" s="14" t="inlineStr">
        <is>
          <t>NB-0020</t>
        </is>
      </c>
      <c r="D508" s="26" t="n">
        <v>45629</v>
      </c>
      <c r="E508" s="26" t="n">
        <v>45671</v>
      </c>
      <c r="F508" s="26" t="n">
        <v>45670</v>
      </c>
      <c r="G508" s="14" t="n">
        <v>45</v>
      </c>
      <c r="H508" s="14" t="n">
        <v>39</v>
      </c>
      <c r="I508" s="14" t="n">
        <v>1</v>
      </c>
      <c r="J508" s="58" t="n">
        <v>3973.05</v>
      </c>
      <c r="K508" s="59">
        <f>(F508-D508)/7</f>
        <v/>
      </c>
      <c r="L508" s="59">
        <f>K508^2</f>
        <v/>
      </c>
      <c r="M508" s="14">
        <f>IF(F508&lt;=E508,1,0)</f>
        <v/>
      </c>
      <c r="N508" s="14">
        <f>MAX(0,F508-E508)</f>
        <v/>
      </c>
    </row>
    <row r="509">
      <c r="A509" s="14" t="inlineStr">
        <is>
          <t>PO-00508</t>
        </is>
      </c>
      <c r="B509" s="14" t="inlineStr">
        <is>
          <t>S03</t>
        </is>
      </c>
      <c r="C509" s="14" t="inlineStr">
        <is>
          <t>NB-0020</t>
        </is>
      </c>
      <c r="D509" s="26" t="n">
        <v>45659</v>
      </c>
      <c r="E509" s="26" t="n">
        <v>45701</v>
      </c>
      <c r="F509" s="26" t="n">
        <v>45698</v>
      </c>
      <c r="G509" s="14" t="n">
        <v>35</v>
      </c>
      <c r="H509" s="14" t="n">
        <v>35</v>
      </c>
      <c r="I509" s="14" t="n">
        <v>0</v>
      </c>
      <c r="J509" s="58" t="n">
        <v>3090.15</v>
      </c>
      <c r="K509" s="59">
        <f>(F509-D509)/7</f>
        <v/>
      </c>
      <c r="L509" s="59">
        <f>K509^2</f>
        <v/>
      </c>
      <c r="M509" s="14">
        <f>IF(F509&lt;=E509,1,0)</f>
        <v/>
      </c>
      <c r="N509" s="14">
        <f>MAX(0,F509-E509)</f>
        <v/>
      </c>
    </row>
    <row r="510">
      <c r="A510" s="14" t="inlineStr">
        <is>
          <t>PO-00509</t>
        </is>
      </c>
      <c r="B510" s="14" t="inlineStr">
        <is>
          <t>S03</t>
        </is>
      </c>
      <c r="C510" s="14" t="inlineStr">
        <is>
          <t>NB-0020</t>
        </is>
      </c>
      <c r="D510" s="26" t="n">
        <v>45687</v>
      </c>
      <c r="E510" s="26" t="n">
        <v>45729</v>
      </c>
      <c r="F510" s="26" t="n">
        <v>45734</v>
      </c>
      <c r="G510" s="14" t="n">
        <v>43</v>
      </c>
      <c r="H510" s="14" t="n">
        <v>43</v>
      </c>
      <c r="I510" s="14" t="n">
        <v>0</v>
      </c>
      <c r="J510" s="58" t="n">
        <v>3796.47</v>
      </c>
      <c r="K510" s="59">
        <f>(F510-D510)/7</f>
        <v/>
      </c>
      <c r="L510" s="59">
        <f>K510^2</f>
        <v/>
      </c>
      <c r="M510" s="14">
        <f>IF(F510&lt;=E510,1,0)</f>
        <v/>
      </c>
      <c r="N510" s="14">
        <f>MAX(0,F510-E510)</f>
        <v/>
      </c>
    </row>
    <row r="511">
      <c r="A511" s="14" t="inlineStr">
        <is>
          <t>PO-00510</t>
        </is>
      </c>
      <c r="B511" s="14" t="inlineStr">
        <is>
          <t>S03</t>
        </is>
      </c>
      <c r="C511" s="14" t="inlineStr">
        <is>
          <t>NB-0020</t>
        </is>
      </c>
      <c r="D511" s="26" t="n">
        <v>45712</v>
      </c>
      <c r="E511" s="26" t="n">
        <v>45754</v>
      </c>
      <c r="F511" s="26" t="n">
        <v>45754</v>
      </c>
      <c r="G511" s="14" t="n">
        <v>37</v>
      </c>
      <c r="H511" s="14" t="n">
        <v>37</v>
      </c>
      <c r="I511" s="14" t="n">
        <v>0</v>
      </c>
      <c r="J511" s="58" t="n">
        <v>3266.73</v>
      </c>
      <c r="K511" s="59">
        <f>(F511-D511)/7</f>
        <v/>
      </c>
      <c r="L511" s="59">
        <f>K511^2</f>
        <v/>
      </c>
      <c r="M511" s="14">
        <f>IF(F511&lt;=E511,1,0)</f>
        <v/>
      </c>
      <c r="N511" s="14">
        <f>MAX(0,F511-E511)</f>
        <v/>
      </c>
    </row>
    <row r="512">
      <c r="A512" s="14" t="inlineStr">
        <is>
          <t>PO-00511</t>
        </is>
      </c>
      <c r="B512" s="14" t="inlineStr">
        <is>
          <t>S03</t>
        </is>
      </c>
      <c r="C512" s="14" t="inlineStr">
        <is>
          <t>NB-0020</t>
        </is>
      </c>
      <c r="D512" s="26" t="n">
        <v>45741</v>
      </c>
      <c r="E512" s="26" t="n">
        <v>45783</v>
      </c>
      <c r="F512" s="26" t="n">
        <v>45780</v>
      </c>
      <c r="G512" s="14" t="n">
        <v>43</v>
      </c>
      <c r="H512" s="14" t="n">
        <v>43</v>
      </c>
      <c r="I512" s="14" t="n">
        <v>1</v>
      </c>
      <c r="J512" s="58" t="n">
        <v>3796.47</v>
      </c>
      <c r="K512" s="59">
        <f>(F512-D512)/7</f>
        <v/>
      </c>
      <c r="L512" s="59">
        <f>K512^2</f>
        <v/>
      </c>
      <c r="M512" s="14">
        <f>IF(F512&lt;=E512,1,0)</f>
        <v/>
      </c>
      <c r="N512" s="14">
        <f>MAX(0,F512-E512)</f>
        <v/>
      </c>
    </row>
    <row r="513">
      <c r="A513" s="14" t="inlineStr">
        <is>
          <t>PO-00512</t>
        </is>
      </c>
      <c r="B513" s="14" t="inlineStr">
        <is>
          <t>S03</t>
        </is>
      </c>
      <c r="C513" s="14" t="inlineStr">
        <is>
          <t>NB-0020</t>
        </is>
      </c>
      <c r="D513" s="26" t="n">
        <v>45770</v>
      </c>
      <c r="E513" s="26" t="n">
        <v>45812</v>
      </c>
      <c r="F513" s="26" t="n">
        <v>45811</v>
      </c>
      <c r="G513" s="14" t="n">
        <v>35</v>
      </c>
      <c r="H513" s="14" t="n">
        <v>35</v>
      </c>
      <c r="I513" s="14" t="n">
        <v>0</v>
      </c>
      <c r="J513" s="58" t="n">
        <v>3090.15</v>
      </c>
      <c r="K513" s="59">
        <f>(F513-D513)/7</f>
        <v/>
      </c>
      <c r="L513" s="59">
        <f>K513^2</f>
        <v/>
      </c>
      <c r="M513" s="14">
        <f>IF(F513&lt;=E513,1,0)</f>
        <v/>
      </c>
      <c r="N513" s="14">
        <f>MAX(0,F513-E513)</f>
        <v/>
      </c>
    </row>
    <row r="514">
      <c r="A514" s="14" t="inlineStr">
        <is>
          <t>PO-00513</t>
        </is>
      </c>
      <c r="B514" s="14" t="inlineStr">
        <is>
          <t>S03</t>
        </is>
      </c>
      <c r="C514" s="14" t="inlineStr">
        <is>
          <t>NB-0020</t>
        </is>
      </c>
      <c r="D514" s="26" t="n">
        <v>45799</v>
      </c>
      <c r="E514" s="26" t="n">
        <v>45841</v>
      </c>
      <c r="F514" s="26" t="n">
        <v>45838</v>
      </c>
      <c r="G514" s="14" t="n">
        <v>32</v>
      </c>
      <c r="H514" s="14" t="n">
        <v>32</v>
      </c>
      <c r="I514" s="14" t="n">
        <v>0</v>
      </c>
      <c r="J514" s="58" t="n">
        <v>2825.28</v>
      </c>
      <c r="K514" s="59">
        <f>(F514-D514)/7</f>
        <v/>
      </c>
      <c r="L514" s="59">
        <f>K514^2</f>
        <v/>
      </c>
      <c r="M514" s="14">
        <f>IF(F514&lt;=E514,1,0)</f>
        <v/>
      </c>
      <c r="N514" s="14">
        <f>MAX(0,F514-E514)</f>
        <v/>
      </c>
    </row>
    <row r="515">
      <c r="A515" s="14" t="inlineStr">
        <is>
          <t>PO-00514</t>
        </is>
      </c>
      <c r="B515" s="14" t="inlineStr">
        <is>
          <t>S03</t>
        </is>
      </c>
      <c r="C515" s="14" t="inlineStr">
        <is>
          <t>NB-0020</t>
        </is>
      </c>
      <c r="D515" s="26" t="n">
        <v>45828</v>
      </c>
      <c r="E515" s="26" t="n">
        <v>45870</v>
      </c>
      <c r="F515" s="26" t="n">
        <v>45867</v>
      </c>
      <c r="G515" s="14" t="n">
        <v>36</v>
      </c>
      <c r="H515" s="14" t="n">
        <v>36</v>
      </c>
      <c r="I515" s="14" t="n">
        <v>0</v>
      </c>
      <c r="J515" s="58" t="n">
        <v>3178.44</v>
      </c>
      <c r="K515" s="59">
        <f>(F515-D515)/7</f>
        <v/>
      </c>
      <c r="L515" s="59">
        <f>K515^2</f>
        <v/>
      </c>
      <c r="M515" s="14">
        <f>IF(F515&lt;=E515,1,0)</f>
        <v/>
      </c>
      <c r="N515" s="14">
        <f>MAX(0,F515-E515)</f>
        <v/>
      </c>
    </row>
    <row r="516">
      <c r="A516" s="14" t="inlineStr">
        <is>
          <t>PO-00515</t>
        </is>
      </c>
      <c r="B516" s="14" t="inlineStr">
        <is>
          <t>S03</t>
        </is>
      </c>
      <c r="C516" s="14" t="inlineStr">
        <is>
          <t>NB-0020</t>
        </is>
      </c>
      <c r="D516" s="26" t="n">
        <v>45856</v>
      </c>
      <c r="E516" s="26" t="n">
        <v>45898</v>
      </c>
      <c r="F516" s="26" t="n">
        <v>45895</v>
      </c>
      <c r="G516" s="14" t="n">
        <v>44</v>
      </c>
      <c r="H516" s="14" t="n">
        <v>44</v>
      </c>
      <c r="I516" s="14" t="n">
        <v>0</v>
      </c>
      <c r="J516" s="58" t="n">
        <v>3884.76</v>
      </c>
      <c r="K516" s="59">
        <f>(F516-D516)/7</f>
        <v/>
      </c>
      <c r="L516" s="59">
        <f>K516^2</f>
        <v/>
      </c>
      <c r="M516" s="14">
        <f>IF(F516&lt;=E516,1,0)</f>
        <v/>
      </c>
      <c r="N516" s="14">
        <f>MAX(0,F516-E516)</f>
        <v/>
      </c>
    </row>
    <row r="517">
      <c r="A517" s="14" t="inlineStr">
        <is>
          <t>PO-00516</t>
        </is>
      </c>
      <c r="B517" s="14" t="inlineStr">
        <is>
          <t>S03</t>
        </is>
      </c>
      <c r="C517" s="14" t="inlineStr">
        <is>
          <t>NB-0020</t>
        </is>
      </c>
      <c r="D517" s="26" t="n">
        <v>45881</v>
      </c>
      <c r="E517" s="26" t="n">
        <v>45923</v>
      </c>
      <c r="F517" s="26" t="n">
        <v>45920</v>
      </c>
      <c r="G517" s="14" t="n">
        <v>37</v>
      </c>
      <c r="H517" s="14" t="n">
        <v>37</v>
      </c>
      <c r="I517" s="14" t="n">
        <v>1</v>
      </c>
      <c r="J517" s="58" t="n">
        <v>3266.73</v>
      </c>
      <c r="K517" s="59">
        <f>(F517-D517)/7</f>
        <v/>
      </c>
      <c r="L517" s="59">
        <f>K517^2</f>
        <v/>
      </c>
      <c r="M517" s="14">
        <f>IF(F517&lt;=E517,1,0)</f>
        <v/>
      </c>
      <c r="N517" s="14">
        <f>MAX(0,F517-E517)</f>
        <v/>
      </c>
    </row>
    <row r="518">
      <c r="A518" s="14" t="inlineStr">
        <is>
          <t>PO-00517</t>
        </is>
      </c>
      <c r="B518" s="14" t="inlineStr">
        <is>
          <t>S03</t>
        </is>
      </c>
      <c r="C518" s="14" t="inlineStr">
        <is>
          <t>NB-0020</t>
        </is>
      </c>
      <c r="D518" s="26" t="n">
        <v>45911</v>
      </c>
      <c r="E518" s="26" t="n">
        <v>45953</v>
      </c>
      <c r="F518" s="26" t="n">
        <v>45950</v>
      </c>
      <c r="G518" s="14" t="n">
        <v>37</v>
      </c>
      <c r="H518" s="14" t="n">
        <v>37</v>
      </c>
      <c r="I518" s="14" t="n">
        <v>0</v>
      </c>
      <c r="J518" s="58" t="n">
        <v>3266.73</v>
      </c>
      <c r="K518" s="59">
        <f>(F518-D518)/7</f>
        <v/>
      </c>
      <c r="L518" s="59">
        <f>K518^2</f>
        <v/>
      </c>
      <c r="M518" s="14">
        <f>IF(F518&lt;=E518,1,0)</f>
        <v/>
      </c>
      <c r="N518" s="14">
        <f>MAX(0,F518-E518)</f>
        <v/>
      </c>
    </row>
    <row r="519">
      <c r="A519" s="14" t="inlineStr">
        <is>
          <t>PO-00518</t>
        </is>
      </c>
      <c r="B519" s="14" t="inlineStr">
        <is>
          <t>S03</t>
        </is>
      </c>
      <c r="C519" s="14" t="inlineStr">
        <is>
          <t>NB-0020</t>
        </is>
      </c>
      <c r="D519" s="26" t="n">
        <v>45939</v>
      </c>
      <c r="E519" s="26" t="n">
        <v>45981</v>
      </c>
      <c r="F519" s="26" t="n">
        <v>45981</v>
      </c>
      <c r="G519" s="14" t="n">
        <v>41</v>
      </c>
      <c r="H519" s="14" t="n">
        <v>41</v>
      </c>
      <c r="I519" s="14" t="n">
        <v>0</v>
      </c>
      <c r="J519" s="58" t="n">
        <v>3619.89</v>
      </c>
      <c r="K519" s="59">
        <f>(F519-D519)/7</f>
        <v/>
      </c>
      <c r="L519" s="59">
        <f>K519^2</f>
        <v/>
      </c>
      <c r="M519" s="14">
        <f>IF(F519&lt;=E519,1,0)</f>
        <v/>
      </c>
      <c r="N519" s="14">
        <f>MAX(0,F519-E519)</f>
        <v/>
      </c>
    </row>
    <row r="520">
      <c r="A520" s="14" t="inlineStr">
        <is>
          <t>PO-00519</t>
        </is>
      </c>
      <c r="B520" s="14" t="inlineStr">
        <is>
          <t>S03</t>
        </is>
      </c>
      <c r="C520" s="14" t="inlineStr">
        <is>
          <t>NB-0020</t>
        </is>
      </c>
      <c r="D520" s="26" t="n">
        <v>45968</v>
      </c>
      <c r="E520" s="26" t="n">
        <v>46010</v>
      </c>
      <c r="F520" s="26" t="n">
        <v>46010</v>
      </c>
      <c r="G520" s="14" t="n">
        <v>38</v>
      </c>
      <c r="H520" s="14" t="n">
        <v>38</v>
      </c>
      <c r="I520" s="14" t="n">
        <v>0</v>
      </c>
      <c r="J520" s="58" t="n">
        <v>3355.02</v>
      </c>
      <c r="K520" s="59">
        <f>(F520-D520)/7</f>
        <v/>
      </c>
      <c r="L520" s="59">
        <f>K520^2</f>
        <v/>
      </c>
      <c r="M520" s="14">
        <f>IF(F520&lt;=E520,1,0)</f>
        <v/>
      </c>
      <c r="N520" s="14">
        <f>MAX(0,F520-E520)</f>
        <v/>
      </c>
    </row>
    <row r="521">
      <c r="A521" s="14" t="inlineStr">
        <is>
          <t>PO-00520</t>
        </is>
      </c>
      <c r="B521" s="14" t="inlineStr">
        <is>
          <t>S03</t>
        </is>
      </c>
      <c r="C521" s="14" t="inlineStr">
        <is>
          <t>NB-0020</t>
        </is>
      </c>
      <c r="D521" s="26" t="n">
        <v>45992</v>
      </c>
      <c r="E521" s="26" t="n">
        <v>46034</v>
      </c>
      <c r="F521" s="26" t="n">
        <v>46033</v>
      </c>
      <c r="G521" s="14" t="n">
        <v>36</v>
      </c>
      <c r="H521" s="14" t="n">
        <v>36</v>
      </c>
      <c r="I521" s="14" t="n">
        <v>0</v>
      </c>
      <c r="J521" s="58" t="n">
        <v>3178.44</v>
      </c>
      <c r="K521" s="59">
        <f>(F521-D521)/7</f>
        <v/>
      </c>
      <c r="L521" s="59">
        <f>K521^2</f>
        <v/>
      </c>
      <c r="M521" s="14">
        <f>IF(F521&lt;=E521,1,0)</f>
        <v/>
      </c>
      <c r="N521" s="14">
        <f>MAX(0,F521-E521)</f>
        <v/>
      </c>
    </row>
    <row r="522">
      <c r="A522" s="14" t="inlineStr">
        <is>
          <t>PO-00521</t>
        </is>
      </c>
      <c r="B522" s="14" t="inlineStr">
        <is>
          <t>S03</t>
        </is>
      </c>
      <c r="C522" s="14" t="inlineStr">
        <is>
          <t>NB-0021</t>
        </is>
      </c>
      <c r="D522" s="26" t="n">
        <v>45293</v>
      </c>
      <c r="E522" s="26" t="n">
        <v>45335</v>
      </c>
      <c r="F522" s="26" t="n">
        <v>45332</v>
      </c>
      <c r="G522" s="14" t="n">
        <v>203</v>
      </c>
      <c r="H522" s="14" t="n">
        <v>203</v>
      </c>
      <c r="I522" s="14" t="n">
        <v>0</v>
      </c>
      <c r="J522" s="58" t="n">
        <v>11987.15</v>
      </c>
      <c r="K522" s="59">
        <f>(F522-D522)/7</f>
        <v/>
      </c>
      <c r="L522" s="59">
        <f>K522^2</f>
        <v/>
      </c>
      <c r="M522" s="14">
        <f>IF(F522&lt;=E522,1,0)</f>
        <v/>
      </c>
      <c r="N522" s="14">
        <f>MAX(0,F522-E522)</f>
        <v/>
      </c>
    </row>
    <row r="523">
      <c r="A523" s="14" t="inlineStr">
        <is>
          <t>PO-00522</t>
        </is>
      </c>
      <c r="B523" s="14" t="inlineStr">
        <is>
          <t>S03</t>
        </is>
      </c>
      <c r="C523" s="14" t="inlineStr">
        <is>
          <t>NB-0021</t>
        </is>
      </c>
      <c r="D523" s="26" t="n">
        <v>45321</v>
      </c>
      <c r="E523" s="26" t="n">
        <v>45363</v>
      </c>
      <c r="F523" s="26" t="n">
        <v>45361</v>
      </c>
      <c r="G523" s="14" t="n">
        <v>199</v>
      </c>
      <c r="H523" s="14" t="n">
        <v>199</v>
      </c>
      <c r="I523" s="14" t="n">
        <v>1</v>
      </c>
      <c r="J523" s="58" t="n">
        <v>11750.95</v>
      </c>
      <c r="K523" s="59">
        <f>(F523-D523)/7</f>
        <v/>
      </c>
      <c r="L523" s="59">
        <f>K523^2</f>
        <v/>
      </c>
      <c r="M523" s="14">
        <f>IF(F523&lt;=E523,1,0)</f>
        <v/>
      </c>
      <c r="N523" s="14">
        <f>MAX(0,F523-E523)</f>
        <v/>
      </c>
    </row>
    <row r="524">
      <c r="A524" s="14" t="inlineStr">
        <is>
          <t>PO-00523</t>
        </is>
      </c>
      <c r="B524" s="14" t="inlineStr">
        <is>
          <t>S03</t>
        </is>
      </c>
      <c r="C524" s="14" t="inlineStr">
        <is>
          <t>NB-0021</t>
        </is>
      </c>
      <c r="D524" s="26" t="n">
        <v>45350</v>
      </c>
      <c r="E524" s="26" t="n">
        <v>45392</v>
      </c>
      <c r="F524" s="26" t="n">
        <v>45390</v>
      </c>
      <c r="G524" s="14" t="n">
        <v>230</v>
      </c>
      <c r="H524" s="14" t="n">
        <v>230</v>
      </c>
      <c r="I524" s="14" t="n">
        <v>0</v>
      </c>
      <c r="J524" s="58" t="n">
        <v>13581.5</v>
      </c>
      <c r="K524" s="59">
        <f>(F524-D524)/7</f>
        <v/>
      </c>
      <c r="L524" s="59">
        <f>K524^2</f>
        <v/>
      </c>
      <c r="M524" s="14">
        <f>IF(F524&lt;=E524,1,0)</f>
        <v/>
      </c>
      <c r="N524" s="14">
        <f>MAX(0,F524-E524)</f>
        <v/>
      </c>
    </row>
    <row r="525">
      <c r="A525" s="14" t="inlineStr">
        <is>
          <t>PO-00524</t>
        </is>
      </c>
      <c r="B525" s="14" t="inlineStr">
        <is>
          <t>S03</t>
        </is>
      </c>
      <c r="C525" s="14" t="inlineStr">
        <is>
          <t>NB-0021</t>
        </is>
      </c>
      <c r="D525" s="26" t="n">
        <v>45377</v>
      </c>
      <c r="E525" s="26" t="n">
        <v>45419</v>
      </c>
      <c r="F525" s="26" t="n">
        <v>45419</v>
      </c>
      <c r="G525" s="14" t="n">
        <v>190</v>
      </c>
      <c r="H525" s="14" t="n">
        <v>190</v>
      </c>
      <c r="I525" s="14" t="n">
        <v>0</v>
      </c>
      <c r="J525" s="58" t="n">
        <v>11219.5</v>
      </c>
      <c r="K525" s="59">
        <f>(F525-D525)/7</f>
        <v/>
      </c>
      <c r="L525" s="59">
        <f>K525^2</f>
        <v/>
      </c>
      <c r="M525" s="14">
        <f>IF(F525&lt;=E525,1,0)</f>
        <v/>
      </c>
      <c r="N525" s="14">
        <f>MAX(0,F525-E525)</f>
        <v/>
      </c>
    </row>
    <row r="526">
      <c r="A526" s="14" t="inlineStr">
        <is>
          <t>PO-00525</t>
        </is>
      </c>
      <c r="B526" s="14" t="inlineStr">
        <is>
          <t>S03</t>
        </is>
      </c>
      <c r="C526" s="14" t="inlineStr">
        <is>
          <t>NB-0021</t>
        </is>
      </c>
      <c r="D526" s="26" t="n">
        <v>45405</v>
      </c>
      <c r="E526" s="26" t="n">
        <v>45447</v>
      </c>
      <c r="F526" s="26" t="n">
        <v>45445</v>
      </c>
      <c r="G526" s="14" t="n">
        <v>209</v>
      </c>
      <c r="H526" s="14" t="n">
        <v>209</v>
      </c>
      <c r="I526" s="14" t="n">
        <v>0</v>
      </c>
      <c r="J526" s="58" t="n">
        <v>12341.45</v>
      </c>
      <c r="K526" s="59">
        <f>(F526-D526)/7</f>
        <v/>
      </c>
      <c r="L526" s="59">
        <f>K526^2</f>
        <v/>
      </c>
      <c r="M526" s="14">
        <f>IF(F526&lt;=E526,1,0)</f>
        <v/>
      </c>
      <c r="N526" s="14">
        <f>MAX(0,F526-E526)</f>
        <v/>
      </c>
    </row>
    <row r="527">
      <c r="A527" s="14" t="inlineStr">
        <is>
          <t>PO-00526</t>
        </is>
      </c>
      <c r="B527" s="14" t="inlineStr">
        <is>
          <t>S03</t>
        </is>
      </c>
      <c r="C527" s="14" t="inlineStr">
        <is>
          <t>NB-0021</t>
        </is>
      </c>
      <c r="D527" s="26" t="n">
        <v>45436</v>
      </c>
      <c r="E527" s="26" t="n">
        <v>45478</v>
      </c>
      <c r="F527" s="26" t="n">
        <v>45478</v>
      </c>
      <c r="G527" s="14" t="n">
        <v>229</v>
      </c>
      <c r="H527" s="14" t="n">
        <v>229</v>
      </c>
      <c r="I527" s="14" t="n">
        <v>0</v>
      </c>
      <c r="J527" s="58" t="n">
        <v>13522.45</v>
      </c>
      <c r="K527" s="59">
        <f>(F527-D527)/7</f>
        <v/>
      </c>
      <c r="L527" s="59">
        <f>K527^2</f>
        <v/>
      </c>
      <c r="M527" s="14">
        <f>IF(F527&lt;=E527,1,0)</f>
        <v/>
      </c>
      <c r="N527" s="14">
        <f>MAX(0,F527-E527)</f>
        <v/>
      </c>
    </row>
    <row r="528">
      <c r="A528" s="14" t="inlineStr">
        <is>
          <t>PO-00527</t>
        </is>
      </c>
      <c r="B528" s="14" t="inlineStr">
        <is>
          <t>S03</t>
        </is>
      </c>
      <c r="C528" s="14" t="inlineStr">
        <is>
          <t>NB-0021</t>
        </is>
      </c>
      <c r="D528" s="26" t="n">
        <v>45462</v>
      </c>
      <c r="E528" s="26" t="n">
        <v>45504</v>
      </c>
      <c r="F528" s="26" t="n">
        <v>45504</v>
      </c>
      <c r="G528" s="14" t="n">
        <v>224</v>
      </c>
      <c r="H528" s="14" t="n">
        <v>224</v>
      </c>
      <c r="I528" s="14" t="n">
        <v>0</v>
      </c>
      <c r="J528" s="58" t="n">
        <v>13227.2</v>
      </c>
      <c r="K528" s="59">
        <f>(F528-D528)/7</f>
        <v/>
      </c>
      <c r="L528" s="59">
        <f>K528^2</f>
        <v/>
      </c>
      <c r="M528" s="14">
        <f>IF(F528&lt;=E528,1,0)</f>
        <v/>
      </c>
      <c r="N528" s="14">
        <f>MAX(0,F528-E528)</f>
        <v/>
      </c>
    </row>
    <row r="529">
      <c r="A529" s="14" t="inlineStr">
        <is>
          <t>PO-00528</t>
        </is>
      </c>
      <c r="B529" s="14" t="inlineStr">
        <is>
          <t>S03</t>
        </is>
      </c>
      <c r="C529" s="14" t="inlineStr">
        <is>
          <t>NB-0021</t>
        </is>
      </c>
      <c r="D529" s="26" t="n">
        <v>45490</v>
      </c>
      <c r="E529" s="26" t="n">
        <v>45532</v>
      </c>
      <c r="F529" s="26" t="n">
        <v>45529</v>
      </c>
      <c r="G529" s="14" t="n">
        <v>181</v>
      </c>
      <c r="H529" s="14" t="n">
        <v>163</v>
      </c>
      <c r="I529" s="14" t="n">
        <v>2</v>
      </c>
      <c r="J529" s="58" t="n">
        <v>10688.05</v>
      </c>
      <c r="K529" s="59">
        <f>(F529-D529)/7</f>
        <v/>
      </c>
      <c r="L529" s="59">
        <f>K529^2</f>
        <v/>
      </c>
      <c r="M529" s="14">
        <f>IF(F529&lt;=E529,1,0)</f>
        <v/>
      </c>
      <c r="N529" s="14">
        <f>MAX(0,F529-E529)</f>
        <v/>
      </c>
    </row>
    <row r="530">
      <c r="A530" s="14" t="inlineStr">
        <is>
          <t>PO-00529</t>
        </is>
      </c>
      <c r="B530" s="14" t="inlineStr">
        <is>
          <t>S03</t>
        </is>
      </c>
      <c r="C530" s="14" t="inlineStr">
        <is>
          <t>NB-0021</t>
        </is>
      </c>
      <c r="D530" s="26" t="n">
        <v>45518</v>
      </c>
      <c r="E530" s="26" t="n">
        <v>45560</v>
      </c>
      <c r="F530" s="26" t="n">
        <v>45559</v>
      </c>
      <c r="G530" s="14" t="n">
        <v>189</v>
      </c>
      <c r="H530" s="14" t="n">
        <v>189</v>
      </c>
      <c r="I530" s="14" t="n">
        <v>1</v>
      </c>
      <c r="J530" s="58" t="n">
        <v>11160.45</v>
      </c>
      <c r="K530" s="59">
        <f>(F530-D530)/7</f>
        <v/>
      </c>
      <c r="L530" s="59">
        <f>K530^2</f>
        <v/>
      </c>
      <c r="M530" s="14">
        <f>IF(F530&lt;=E530,1,0)</f>
        <v/>
      </c>
      <c r="N530" s="14">
        <f>MAX(0,F530-E530)</f>
        <v/>
      </c>
    </row>
    <row r="531">
      <c r="A531" s="14" t="inlineStr">
        <is>
          <t>PO-00530</t>
        </is>
      </c>
      <c r="B531" s="14" t="inlineStr">
        <is>
          <t>S03</t>
        </is>
      </c>
      <c r="C531" s="14" t="inlineStr">
        <is>
          <t>NB-0021</t>
        </is>
      </c>
      <c r="D531" s="26" t="n">
        <v>45547</v>
      </c>
      <c r="E531" s="26" t="n">
        <v>45589</v>
      </c>
      <c r="F531" s="26" t="n">
        <v>45587</v>
      </c>
      <c r="G531" s="14" t="n">
        <v>221</v>
      </c>
      <c r="H531" s="14" t="n">
        <v>221</v>
      </c>
      <c r="I531" s="14" t="n">
        <v>1</v>
      </c>
      <c r="J531" s="58" t="n">
        <v>13050.05</v>
      </c>
      <c r="K531" s="59">
        <f>(F531-D531)/7</f>
        <v/>
      </c>
      <c r="L531" s="59">
        <f>K531^2</f>
        <v/>
      </c>
      <c r="M531" s="14">
        <f>IF(F531&lt;=E531,1,0)</f>
        <v/>
      </c>
      <c r="N531" s="14">
        <f>MAX(0,F531-E531)</f>
        <v/>
      </c>
    </row>
    <row r="532">
      <c r="A532" s="14" t="inlineStr">
        <is>
          <t>PO-00531</t>
        </is>
      </c>
      <c r="B532" s="14" t="inlineStr">
        <is>
          <t>S03</t>
        </is>
      </c>
      <c r="C532" s="14" t="inlineStr">
        <is>
          <t>NB-0021</t>
        </is>
      </c>
      <c r="D532" s="26" t="n">
        <v>45576</v>
      </c>
      <c r="E532" s="26" t="n">
        <v>45618</v>
      </c>
      <c r="F532" s="26" t="n">
        <v>45617</v>
      </c>
      <c r="G532" s="14" t="n">
        <v>206</v>
      </c>
      <c r="H532" s="14" t="n">
        <v>206</v>
      </c>
      <c r="I532" s="14" t="n">
        <v>0</v>
      </c>
      <c r="J532" s="58" t="n">
        <v>12164.3</v>
      </c>
      <c r="K532" s="59">
        <f>(F532-D532)/7</f>
        <v/>
      </c>
      <c r="L532" s="59">
        <f>K532^2</f>
        <v/>
      </c>
      <c r="M532" s="14">
        <f>IF(F532&lt;=E532,1,0)</f>
        <v/>
      </c>
      <c r="N532" s="14">
        <f>MAX(0,F532-E532)</f>
        <v/>
      </c>
    </row>
    <row r="533">
      <c r="A533" s="14" t="inlineStr">
        <is>
          <t>PO-00532</t>
        </is>
      </c>
      <c r="B533" s="14" t="inlineStr">
        <is>
          <t>S03</t>
        </is>
      </c>
      <c r="C533" s="14" t="inlineStr">
        <is>
          <t>NB-0021</t>
        </is>
      </c>
      <c r="D533" s="26" t="n">
        <v>45602</v>
      </c>
      <c r="E533" s="26" t="n">
        <v>45644</v>
      </c>
      <c r="F533" s="26" t="n">
        <v>45642</v>
      </c>
      <c r="G533" s="14" t="n">
        <v>230</v>
      </c>
      <c r="H533" s="14" t="n">
        <v>230</v>
      </c>
      <c r="I533" s="14" t="n">
        <v>0</v>
      </c>
      <c r="J533" s="58" t="n">
        <v>13581.5</v>
      </c>
      <c r="K533" s="59">
        <f>(F533-D533)/7</f>
        <v/>
      </c>
      <c r="L533" s="59">
        <f>K533^2</f>
        <v/>
      </c>
      <c r="M533" s="14">
        <f>IF(F533&lt;=E533,1,0)</f>
        <v/>
      </c>
      <c r="N533" s="14">
        <f>MAX(0,F533-E533)</f>
        <v/>
      </c>
    </row>
    <row r="534">
      <c r="A534" s="14" t="inlineStr">
        <is>
          <t>PO-00533</t>
        </is>
      </c>
      <c r="B534" s="14" t="inlineStr">
        <is>
          <t>S03</t>
        </is>
      </c>
      <c r="C534" s="14" t="inlineStr">
        <is>
          <t>NB-0021</t>
        </is>
      </c>
      <c r="D534" s="26" t="n">
        <v>45630</v>
      </c>
      <c r="E534" s="26" t="n">
        <v>45672</v>
      </c>
      <c r="F534" s="26" t="n">
        <v>45669</v>
      </c>
      <c r="G534" s="14" t="n">
        <v>191</v>
      </c>
      <c r="H534" s="14" t="n">
        <v>191</v>
      </c>
      <c r="I534" s="14" t="n">
        <v>0</v>
      </c>
      <c r="J534" s="58" t="n">
        <v>11278.55</v>
      </c>
      <c r="K534" s="59">
        <f>(F534-D534)/7</f>
        <v/>
      </c>
      <c r="L534" s="59">
        <f>K534^2</f>
        <v/>
      </c>
      <c r="M534" s="14">
        <f>IF(F534&lt;=E534,1,0)</f>
        <v/>
      </c>
      <c r="N534" s="14">
        <f>MAX(0,F534-E534)</f>
        <v/>
      </c>
    </row>
    <row r="535">
      <c r="A535" s="14" t="inlineStr">
        <is>
          <t>PO-00534</t>
        </is>
      </c>
      <c r="B535" s="14" t="inlineStr">
        <is>
          <t>S03</t>
        </is>
      </c>
      <c r="C535" s="14" t="inlineStr">
        <is>
          <t>NB-0021</t>
        </is>
      </c>
      <c r="D535" s="26" t="n">
        <v>45659</v>
      </c>
      <c r="E535" s="26" t="n">
        <v>45701</v>
      </c>
      <c r="F535" s="26" t="n">
        <v>45698</v>
      </c>
      <c r="G535" s="14" t="n">
        <v>230</v>
      </c>
      <c r="H535" s="14" t="n">
        <v>230</v>
      </c>
      <c r="I535" s="14" t="n">
        <v>0</v>
      </c>
      <c r="J535" s="58" t="n">
        <v>13581.5</v>
      </c>
      <c r="K535" s="59">
        <f>(F535-D535)/7</f>
        <v/>
      </c>
      <c r="L535" s="59">
        <f>K535^2</f>
        <v/>
      </c>
      <c r="M535" s="14">
        <f>IF(F535&lt;=E535,1,0)</f>
        <v/>
      </c>
      <c r="N535" s="14">
        <f>MAX(0,F535-E535)</f>
        <v/>
      </c>
    </row>
    <row r="536">
      <c r="A536" s="14" t="inlineStr">
        <is>
          <t>PO-00535</t>
        </is>
      </c>
      <c r="B536" s="14" t="inlineStr">
        <is>
          <t>S03</t>
        </is>
      </c>
      <c r="C536" s="14" t="inlineStr">
        <is>
          <t>NB-0021</t>
        </is>
      </c>
      <c r="D536" s="26" t="n">
        <v>45687</v>
      </c>
      <c r="E536" s="26" t="n">
        <v>45729</v>
      </c>
      <c r="F536" s="26" t="n">
        <v>45729</v>
      </c>
      <c r="G536" s="14" t="n">
        <v>222</v>
      </c>
      <c r="H536" s="14" t="n">
        <v>222</v>
      </c>
      <c r="I536" s="14" t="n">
        <v>0</v>
      </c>
      <c r="J536" s="58" t="n">
        <v>13109.1</v>
      </c>
      <c r="K536" s="59">
        <f>(F536-D536)/7</f>
        <v/>
      </c>
      <c r="L536" s="59">
        <f>K536^2</f>
        <v/>
      </c>
      <c r="M536" s="14">
        <f>IF(F536&lt;=E536,1,0)</f>
        <v/>
      </c>
      <c r="N536" s="14">
        <f>MAX(0,F536-E536)</f>
        <v/>
      </c>
    </row>
    <row r="537">
      <c r="A537" s="14" t="inlineStr">
        <is>
          <t>PO-00536</t>
        </is>
      </c>
      <c r="B537" s="14" t="inlineStr">
        <is>
          <t>S03</t>
        </is>
      </c>
      <c r="C537" s="14" t="inlineStr">
        <is>
          <t>NB-0021</t>
        </is>
      </c>
      <c r="D537" s="26" t="n">
        <v>45714</v>
      </c>
      <c r="E537" s="26" t="n">
        <v>45756</v>
      </c>
      <c r="F537" s="26" t="n">
        <v>45756</v>
      </c>
      <c r="G537" s="14" t="n">
        <v>217</v>
      </c>
      <c r="H537" s="14" t="n">
        <v>217</v>
      </c>
      <c r="I537" s="14" t="n">
        <v>0</v>
      </c>
      <c r="J537" s="58" t="n">
        <v>12813.85</v>
      </c>
      <c r="K537" s="59">
        <f>(F537-D537)/7</f>
        <v/>
      </c>
      <c r="L537" s="59">
        <f>K537^2</f>
        <v/>
      </c>
      <c r="M537" s="14">
        <f>IF(F537&lt;=E537,1,0)</f>
        <v/>
      </c>
      <c r="N537" s="14">
        <f>MAX(0,F537-E537)</f>
        <v/>
      </c>
    </row>
    <row r="538">
      <c r="A538" s="14" t="inlineStr">
        <is>
          <t>PO-00537</t>
        </is>
      </c>
      <c r="B538" s="14" t="inlineStr">
        <is>
          <t>S03</t>
        </is>
      </c>
      <c r="C538" s="14" t="inlineStr">
        <is>
          <t>NB-0021</t>
        </is>
      </c>
      <c r="D538" s="26" t="n">
        <v>45744</v>
      </c>
      <c r="E538" s="26" t="n">
        <v>45786</v>
      </c>
      <c r="F538" s="26" t="n">
        <v>45786</v>
      </c>
      <c r="G538" s="14" t="n">
        <v>211</v>
      </c>
      <c r="H538" s="14" t="n">
        <v>211</v>
      </c>
      <c r="I538" s="14" t="n">
        <v>0</v>
      </c>
      <c r="J538" s="58" t="n">
        <v>12459.55</v>
      </c>
      <c r="K538" s="59">
        <f>(F538-D538)/7</f>
        <v/>
      </c>
      <c r="L538" s="59">
        <f>K538^2</f>
        <v/>
      </c>
      <c r="M538" s="14">
        <f>IF(F538&lt;=E538,1,0)</f>
        <v/>
      </c>
      <c r="N538" s="14">
        <f>MAX(0,F538-E538)</f>
        <v/>
      </c>
    </row>
    <row r="539">
      <c r="A539" s="14" t="inlineStr">
        <is>
          <t>PO-00538</t>
        </is>
      </c>
      <c r="B539" s="14" t="inlineStr">
        <is>
          <t>S03</t>
        </is>
      </c>
      <c r="C539" s="14" t="inlineStr">
        <is>
          <t>NB-0021</t>
        </is>
      </c>
      <c r="D539" s="26" t="n">
        <v>45772</v>
      </c>
      <c r="E539" s="26" t="n">
        <v>45814</v>
      </c>
      <c r="F539" s="26" t="n">
        <v>45817</v>
      </c>
      <c r="G539" s="14" t="n">
        <v>178</v>
      </c>
      <c r="H539" s="14" t="n">
        <v>178</v>
      </c>
      <c r="I539" s="14" t="n">
        <v>0</v>
      </c>
      <c r="J539" s="58" t="n">
        <v>10510.9</v>
      </c>
      <c r="K539" s="59">
        <f>(F539-D539)/7</f>
        <v/>
      </c>
      <c r="L539" s="59">
        <f>K539^2</f>
        <v/>
      </c>
      <c r="M539" s="14">
        <f>IF(F539&lt;=E539,1,0)</f>
        <v/>
      </c>
      <c r="N539" s="14">
        <f>MAX(0,F539-E539)</f>
        <v/>
      </c>
    </row>
    <row r="540">
      <c r="A540" s="14" t="inlineStr">
        <is>
          <t>PO-00539</t>
        </is>
      </c>
      <c r="B540" s="14" t="inlineStr">
        <is>
          <t>S03</t>
        </is>
      </c>
      <c r="C540" s="14" t="inlineStr">
        <is>
          <t>NB-0021</t>
        </is>
      </c>
      <c r="D540" s="26" t="n">
        <v>45800</v>
      </c>
      <c r="E540" s="26" t="n">
        <v>45842</v>
      </c>
      <c r="F540" s="26" t="n">
        <v>45839</v>
      </c>
      <c r="G540" s="14" t="n">
        <v>199</v>
      </c>
      <c r="H540" s="14" t="n">
        <v>199</v>
      </c>
      <c r="I540" s="14" t="n">
        <v>0</v>
      </c>
      <c r="J540" s="58" t="n">
        <v>11750.95</v>
      </c>
      <c r="K540" s="59">
        <f>(F540-D540)/7</f>
        <v/>
      </c>
      <c r="L540" s="59">
        <f>K540^2</f>
        <v/>
      </c>
      <c r="M540" s="14">
        <f>IF(F540&lt;=E540,1,0)</f>
        <v/>
      </c>
      <c r="N540" s="14">
        <f>MAX(0,F540-E540)</f>
        <v/>
      </c>
    </row>
    <row r="541">
      <c r="A541" s="14" t="inlineStr">
        <is>
          <t>PO-00540</t>
        </is>
      </c>
      <c r="B541" s="14" t="inlineStr">
        <is>
          <t>S03</t>
        </is>
      </c>
      <c r="C541" s="14" t="inlineStr">
        <is>
          <t>NB-0021</t>
        </is>
      </c>
      <c r="D541" s="26" t="n">
        <v>45824</v>
      </c>
      <c r="E541" s="26" t="n">
        <v>45866</v>
      </c>
      <c r="F541" s="26" t="n">
        <v>45863</v>
      </c>
      <c r="G541" s="14" t="n">
        <v>231</v>
      </c>
      <c r="H541" s="14" t="n">
        <v>231</v>
      </c>
      <c r="I541" s="14" t="n">
        <v>0</v>
      </c>
      <c r="J541" s="58" t="n">
        <v>13640.55</v>
      </c>
      <c r="K541" s="59">
        <f>(F541-D541)/7</f>
        <v/>
      </c>
      <c r="L541" s="59">
        <f>K541^2</f>
        <v/>
      </c>
      <c r="M541" s="14">
        <f>IF(F541&lt;=E541,1,0)</f>
        <v/>
      </c>
      <c r="N541" s="14">
        <f>MAX(0,F541-E541)</f>
        <v/>
      </c>
    </row>
    <row r="542">
      <c r="A542" s="14" t="inlineStr">
        <is>
          <t>PO-00541</t>
        </is>
      </c>
      <c r="B542" s="14" t="inlineStr">
        <is>
          <t>S03</t>
        </is>
      </c>
      <c r="C542" s="14" t="inlineStr">
        <is>
          <t>NB-0021</t>
        </is>
      </c>
      <c r="D542" s="26" t="n">
        <v>45854</v>
      </c>
      <c r="E542" s="26" t="n">
        <v>45896</v>
      </c>
      <c r="F542" s="26" t="n">
        <v>45896</v>
      </c>
      <c r="G542" s="14" t="n">
        <v>169</v>
      </c>
      <c r="H542" s="14" t="n">
        <v>169</v>
      </c>
      <c r="I542" s="14" t="n">
        <v>0</v>
      </c>
      <c r="J542" s="58" t="n">
        <v>9979.450000000001</v>
      </c>
      <c r="K542" s="59">
        <f>(F542-D542)/7</f>
        <v/>
      </c>
      <c r="L542" s="59">
        <f>K542^2</f>
        <v/>
      </c>
      <c r="M542" s="14">
        <f>IF(F542&lt;=E542,1,0)</f>
        <v/>
      </c>
      <c r="N542" s="14">
        <f>MAX(0,F542-E542)</f>
        <v/>
      </c>
    </row>
    <row r="543">
      <c r="A543" s="14" t="inlineStr">
        <is>
          <t>PO-00542</t>
        </is>
      </c>
      <c r="B543" s="14" t="inlineStr">
        <is>
          <t>S03</t>
        </is>
      </c>
      <c r="C543" s="14" t="inlineStr">
        <is>
          <t>NB-0021</t>
        </is>
      </c>
      <c r="D543" s="26" t="n">
        <v>45880</v>
      </c>
      <c r="E543" s="26" t="n">
        <v>45922</v>
      </c>
      <c r="F543" s="26" t="n">
        <v>45922</v>
      </c>
      <c r="G543" s="14" t="n">
        <v>213</v>
      </c>
      <c r="H543" s="14" t="n">
        <v>213</v>
      </c>
      <c r="I543" s="14" t="n">
        <v>0</v>
      </c>
      <c r="J543" s="58" t="n">
        <v>12577.65</v>
      </c>
      <c r="K543" s="59">
        <f>(F543-D543)/7</f>
        <v/>
      </c>
      <c r="L543" s="59">
        <f>K543^2</f>
        <v/>
      </c>
      <c r="M543" s="14">
        <f>IF(F543&lt;=E543,1,0)</f>
        <v/>
      </c>
      <c r="N543" s="14">
        <f>MAX(0,F543-E543)</f>
        <v/>
      </c>
    </row>
    <row r="544">
      <c r="A544" s="14" t="inlineStr">
        <is>
          <t>PO-00543</t>
        </is>
      </c>
      <c r="B544" s="14" t="inlineStr">
        <is>
          <t>S03</t>
        </is>
      </c>
      <c r="C544" s="14" t="inlineStr">
        <is>
          <t>NB-0021</t>
        </is>
      </c>
      <c r="D544" s="26" t="n">
        <v>45910</v>
      </c>
      <c r="E544" s="26" t="n">
        <v>45952</v>
      </c>
      <c r="F544" s="26" t="n">
        <v>45949</v>
      </c>
      <c r="G544" s="14" t="n">
        <v>181</v>
      </c>
      <c r="H544" s="14" t="n">
        <v>181</v>
      </c>
      <c r="I544" s="14" t="n">
        <v>0</v>
      </c>
      <c r="J544" s="58" t="n">
        <v>10688.05</v>
      </c>
      <c r="K544" s="59">
        <f>(F544-D544)/7</f>
        <v/>
      </c>
      <c r="L544" s="59">
        <f>K544^2</f>
        <v/>
      </c>
      <c r="M544" s="14">
        <f>IF(F544&lt;=E544,1,0)</f>
        <v/>
      </c>
      <c r="N544" s="14">
        <f>MAX(0,F544-E544)</f>
        <v/>
      </c>
    </row>
    <row r="545">
      <c r="A545" s="14" t="inlineStr">
        <is>
          <t>PO-00544</t>
        </is>
      </c>
      <c r="B545" s="14" t="inlineStr">
        <is>
          <t>S03</t>
        </is>
      </c>
      <c r="C545" s="14" t="inlineStr">
        <is>
          <t>NB-0021</t>
        </is>
      </c>
      <c r="D545" s="26" t="n">
        <v>45936</v>
      </c>
      <c r="E545" s="26" t="n">
        <v>45978</v>
      </c>
      <c r="F545" s="26" t="n">
        <v>45985</v>
      </c>
      <c r="G545" s="14" t="n">
        <v>220</v>
      </c>
      <c r="H545" s="14" t="n">
        <v>220</v>
      </c>
      <c r="I545" s="14" t="n">
        <v>2</v>
      </c>
      <c r="J545" s="58" t="n">
        <v>12991</v>
      </c>
      <c r="K545" s="59">
        <f>(F545-D545)/7</f>
        <v/>
      </c>
      <c r="L545" s="59">
        <f>K545^2</f>
        <v/>
      </c>
      <c r="M545" s="14">
        <f>IF(F545&lt;=E545,1,0)</f>
        <v/>
      </c>
      <c r="N545" s="14">
        <f>MAX(0,F545-E545)</f>
        <v/>
      </c>
    </row>
    <row r="546">
      <c r="A546" s="14" t="inlineStr">
        <is>
          <t>PO-00545</t>
        </is>
      </c>
      <c r="B546" s="14" t="inlineStr">
        <is>
          <t>S03</t>
        </is>
      </c>
      <c r="C546" s="14" t="inlineStr">
        <is>
          <t>NB-0021</t>
        </is>
      </c>
      <c r="D546" s="26" t="n">
        <v>45964</v>
      </c>
      <c r="E546" s="26" t="n">
        <v>46006</v>
      </c>
      <c r="F546" s="26" t="n">
        <v>46003</v>
      </c>
      <c r="G546" s="14" t="n">
        <v>177</v>
      </c>
      <c r="H546" s="14" t="n">
        <v>177</v>
      </c>
      <c r="I546" s="14" t="n">
        <v>0</v>
      </c>
      <c r="J546" s="58" t="n">
        <v>10451.85</v>
      </c>
      <c r="K546" s="59">
        <f>(F546-D546)/7</f>
        <v/>
      </c>
      <c r="L546" s="59">
        <f>K546^2</f>
        <v/>
      </c>
      <c r="M546" s="14">
        <f>IF(F546&lt;=E546,1,0)</f>
        <v/>
      </c>
      <c r="N546" s="14">
        <f>MAX(0,F546-E546)</f>
        <v/>
      </c>
    </row>
    <row r="547">
      <c r="A547" s="14" t="inlineStr">
        <is>
          <t>PO-00546</t>
        </is>
      </c>
      <c r="B547" s="14" t="inlineStr">
        <is>
          <t>S03</t>
        </is>
      </c>
      <c r="C547" s="14" t="inlineStr">
        <is>
          <t>NB-0021</t>
        </is>
      </c>
      <c r="D547" s="26" t="n">
        <v>45993</v>
      </c>
      <c r="E547" s="26" t="n">
        <v>46035</v>
      </c>
      <c r="F547" s="26" t="n">
        <v>46032</v>
      </c>
      <c r="G547" s="14" t="n">
        <v>230</v>
      </c>
      <c r="H547" s="14" t="n">
        <v>230</v>
      </c>
      <c r="I547" s="14" t="n">
        <v>0</v>
      </c>
      <c r="J547" s="58" t="n">
        <v>13581.5</v>
      </c>
      <c r="K547" s="59">
        <f>(F547-D547)/7</f>
        <v/>
      </c>
      <c r="L547" s="59">
        <f>K547^2</f>
        <v/>
      </c>
      <c r="M547" s="14">
        <f>IF(F547&lt;=E547,1,0)</f>
        <v/>
      </c>
      <c r="N547" s="14">
        <f>MAX(0,F547-E547)</f>
        <v/>
      </c>
    </row>
    <row r="548">
      <c r="A548" s="14" t="inlineStr">
        <is>
          <t>PO-00547</t>
        </is>
      </c>
      <c r="B548" s="14" t="inlineStr">
        <is>
          <t>S08</t>
        </is>
      </c>
      <c r="C548" s="14" t="inlineStr">
        <is>
          <t>NB-0022</t>
        </is>
      </c>
      <c r="D548" s="26" t="n">
        <v>45293</v>
      </c>
      <c r="E548" s="26" t="n">
        <v>45363</v>
      </c>
      <c r="F548" s="26" t="n">
        <v>45375</v>
      </c>
      <c r="G548" s="14" t="n">
        <v>88</v>
      </c>
      <c r="H548" s="14" t="n">
        <v>88</v>
      </c>
      <c r="I548" s="14" t="n">
        <v>2</v>
      </c>
      <c r="J548" s="58" t="n">
        <v>8179.6</v>
      </c>
      <c r="K548" s="59">
        <f>(F548-D548)/7</f>
        <v/>
      </c>
      <c r="L548" s="59">
        <f>K548^2</f>
        <v/>
      </c>
      <c r="M548" s="14">
        <f>IF(F548&lt;=E548,1,0)</f>
        <v/>
      </c>
      <c r="N548" s="14">
        <f>MAX(0,F548-E548)</f>
        <v/>
      </c>
    </row>
    <row r="549">
      <c r="A549" s="14" t="inlineStr">
        <is>
          <t>PO-00548</t>
        </is>
      </c>
      <c r="B549" s="14" t="inlineStr">
        <is>
          <t>S08</t>
        </is>
      </c>
      <c r="C549" s="14" t="inlineStr">
        <is>
          <t>NB-0022</t>
        </is>
      </c>
      <c r="D549" s="26" t="n">
        <v>45322</v>
      </c>
      <c r="E549" s="26" t="n">
        <v>45392</v>
      </c>
      <c r="F549" s="26" t="n">
        <v>45391</v>
      </c>
      <c r="G549" s="14" t="n">
        <v>81</v>
      </c>
      <c r="H549" s="14" t="n">
        <v>81</v>
      </c>
      <c r="I549" s="14" t="n">
        <v>2</v>
      </c>
      <c r="J549" s="58" t="n">
        <v>7528.95</v>
      </c>
      <c r="K549" s="59">
        <f>(F549-D549)/7</f>
        <v/>
      </c>
      <c r="L549" s="59">
        <f>K549^2</f>
        <v/>
      </c>
      <c r="M549" s="14">
        <f>IF(F549&lt;=E549,1,0)</f>
        <v/>
      </c>
      <c r="N549" s="14">
        <f>MAX(0,F549-E549)</f>
        <v/>
      </c>
    </row>
    <row r="550">
      <c r="A550" s="14" t="inlineStr">
        <is>
          <t>PO-00549</t>
        </is>
      </c>
      <c r="B550" s="14" t="inlineStr">
        <is>
          <t>S08</t>
        </is>
      </c>
      <c r="C550" s="14" t="inlineStr">
        <is>
          <t>NB-0022</t>
        </is>
      </c>
      <c r="D550" s="26" t="n">
        <v>45349</v>
      </c>
      <c r="E550" s="26" t="n">
        <v>45419</v>
      </c>
      <c r="F550" s="26" t="n">
        <v>45416</v>
      </c>
      <c r="G550" s="14" t="n">
        <v>77</v>
      </c>
      <c r="H550" s="14" t="n">
        <v>77</v>
      </c>
      <c r="I550" s="14" t="n">
        <v>4</v>
      </c>
      <c r="J550" s="58" t="n">
        <v>7157.15</v>
      </c>
      <c r="K550" s="59">
        <f>(F550-D550)/7</f>
        <v/>
      </c>
      <c r="L550" s="59">
        <f>K550^2</f>
        <v/>
      </c>
      <c r="M550" s="14">
        <f>IF(F550&lt;=E550,1,0)</f>
        <v/>
      </c>
      <c r="N550" s="14">
        <f>MAX(0,F550-E550)</f>
        <v/>
      </c>
    </row>
    <row r="551">
      <c r="A551" s="14" t="inlineStr">
        <is>
          <t>PO-00550</t>
        </is>
      </c>
      <c r="B551" s="14" t="inlineStr">
        <is>
          <t>S08</t>
        </is>
      </c>
      <c r="C551" s="14" t="inlineStr">
        <is>
          <t>NB-0022</t>
        </is>
      </c>
      <c r="D551" s="26" t="n">
        <v>45376</v>
      </c>
      <c r="E551" s="26" t="n">
        <v>45446</v>
      </c>
      <c r="F551" s="26" t="n">
        <v>45461</v>
      </c>
      <c r="G551" s="14" t="n">
        <v>67</v>
      </c>
      <c r="H551" s="14" t="n">
        <v>67</v>
      </c>
      <c r="I551" s="14" t="n">
        <v>1</v>
      </c>
      <c r="J551" s="58" t="n">
        <v>6227.65</v>
      </c>
      <c r="K551" s="59">
        <f>(F551-D551)/7</f>
        <v/>
      </c>
      <c r="L551" s="59">
        <f>K551^2</f>
        <v/>
      </c>
      <c r="M551" s="14">
        <f>IF(F551&lt;=E551,1,0)</f>
        <v/>
      </c>
      <c r="N551" s="14">
        <f>MAX(0,F551-E551)</f>
        <v/>
      </c>
    </row>
    <row r="552">
      <c r="A552" s="14" t="inlineStr">
        <is>
          <t>PO-00551</t>
        </is>
      </c>
      <c r="B552" s="14" t="inlineStr">
        <is>
          <t>S08</t>
        </is>
      </c>
      <c r="C552" s="14" t="inlineStr">
        <is>
          <t>NB-0022</t>
        </is>
      </c>
      <c r="D552" s="26" t="n">
        <v>45406</v>
      </c>
      <c r="E552" s="26" t="n">
        <v>45476</v>
      </c>
      <c r="F552" s="26" t="n">
        <v>45473</v>
      </c>
      <c r="G552" s="14" t="n">
        <v>67</v>
      </c>
      <c r="H552" s="14" t="n">
        <v>67</v>
      </c>
      <c r="I552" s="14" t="n">
        <v>1</v>
      </c>
      <c r="J552" s="58" t="n">
        <v>6227.65</v>
      </c>
      <c r="K552" s="59">
        <f>(F552-D552)/7</f>
        <v/>
      </c>
      <c r="L552" s="59">
        <f>K552^2</f>
        <v/>
      </c>
      <c r="M552" s="14">
        <f>IF(F552&lt;=E552,1,0)</f>
        <v/>
      </c>
      <c r="N552" s="14">
        <f>MAX(0,F552-E552)</f>
        <v/>
      </c>
    </row>
    <row r="553">
      <c r="A553" s="14" t="inlineStr">
        <is>
          <t>PO-00552</t>
        </is>
      </c>
      <c r="B553" s="14" t="inlineStr">
        <is>
          <t>S08</t>
        </is>
      </c>
      <c r="C553" s="14" t="inlineStr">
        <is>
          <t>NB-0022</t>
        </is>
      </c>
      <c r="D553" s="26" t="n">
        <v>45435</v>
      </c>
      <c r="E553" s="26" t="n">
        <v>45505</v>
      </c>
      <c r="F553" s="26" t="n">
        <v>45511</v>
      </c>
      <c r="G553" s="14" t="n">
        <v>80</v>
      </c>
      <c r="H553" s="14" t="n">
        <v>80</v>
      </c>
      <c r="I553" s="14" t="n">
        <v>2</v>
      </c>
      <c r="J553" s="58" t="n">
        <v>7436</v>
      </c>
      <c r="K553" s="59">
        <f>(F553-D553)/7</f>
        <v/>
      </c>
      <c r="L553" s="59">
        <f>K553^2</f>
        <v/>
      </c>
      <c r="M553" s="14">
        <f>IF(F553&lt;=E553,1,0)</f>
        <v/>
      </c>
      <c r="N553" s="14">
        <f>MAX(0,F553-E553)</f>
        <v/>
      </c>
    </row>
    <row r="554">
      <c r="A554" s="14" t="inlineStr">
        <is>
          <t>PO-00553</t>
        </is>
      </c>
      <c r="B554" s="14" t="inlineStr">
        <is>
          <t>S08</t>
        </is>
      </c>
      <c r="C554" s="14" t="inlineStr">
        <is>
          <t>NB-0022</t>
        </is>
      </c>
      <c r="D554" s="26" t="n">
        <v>45463</v>
      </c>
      <c r="E554" s="26" t="n">
        <v>45533</v>
      </c>
      <c r="F554" s="26" t="n">
        <v>45560</v>
      </c>
      <c r="G554" s="14" t="n">
        <v>94</v>
      </c>
      <c r="H554" s="14" t="n">
        <v>83</v>
      </c>
      <c r="I554" s="14" t="n">
        <v>1</v>
      </c>
      <c r="J554" s="58" t="n">
        <v>8737.299999999999</v>
      </c>
      <c r="K554" s="59">
        <f>(F554-D554)/7</f>
        <v/>
      </c>
      <c r="L554" s="59">
        <f>K554^2</f>
        <v/>
      </c>
      <c r="M554" s="14">
        <f>IF(F554&lt;=E554,1,0)</f>
        <v/>
      </c>
      <c r="N554" s="14">
        <f>MAX(0,F554-E554)</f>
        <v/>
      </c>
    </row>
    <row r="555">
      <c r="A555" s="14" t="inlineStr">
        <is>
          <t>PO-00554</t>
        </is>
      </c>
      <c r="B555" s="14" t="inlineStr">
        <is>
          <t>S08</t>
        </is>
      </c>
      <c r="C555" s="14" t="inlineStr">
        <is>
          <t>NB-0022</t>
        </is>
      </c>
      <c r="D555" s="26" t="n">
        <v>45489</v>
      </c>
      <c r="E555" s="26" t="n">
        <v>45559</v>
      </c>
      <c r="F555" s="26" t="n">
        <v>45570</v>
      </c>
      <c r="G555" s="14" t="n">
        <v>82</v>
      </c>
      <c r="H555" s="14" t="n">
        <v>82</v>
      </c>
      <c r="I555" s="14" t="n">
        <v>2</v>
      </c>
      <c r="J555" s="58" t="n">
        <v>7621.9</v>
      </c>
      <c r="K555" s="59">
        <f>(F555-D555)/7</f>
        <v/>
      </c>
      <c r="L555" s="59">
        <f>K555^2</f>
        <v/>
      </c>
      <c r="M555" s="14">
        <f>IF(F555&lt;=E555,1,0)</f>
        <v/>
      </c>
      <c r="N555" s="14">
        <f>MAX(0,F555-E555)</f>
        <v/>
      </c>
    </row>
    <row r="556">
      <c r="A556" s="14" t="inlineStr">
        <is>
          <t>PO-00555</t>
        </is>
      </c>
      <c r="B556" s="14" t="inlineStr">
        <is>
          <t>S08</t>
        </is>
      </c>
      <c r="C556" s="14" t="inlineStr">
        <is>
          <t>NB-0022</t>
        </is>
      </c>
      <c r="D556" s="26" t="n">
        <v>45520</v>
      </c>
      <c r="E556" s="26" t="n">
        <v>45590</v>
      </c>
      <c r="F556" s="26" t="n">
        <v>45590</v>
      </c>
      <c r="G556" s="14" t="n">
        <v>82</v>
      </c>
      <c r="H556" s="14" t="n">
        <v>82</v>
      </c>
      <c r="I556" s="14" t="n">
        <v>4</v>
      </c>
      <c r="J556" s="58" t="n">
        <v>7621.9</v>
      </c>
      <c r="K556" s="59">
        <f>(F556-D556)/7</f>
        <v/>
      </c>
      <c r="L556" s="59">
        <f>K556^2</f>
        <v/>
      </c>
      <c r="M556" s="14">
        <f>IF(F556&lt;=E556,1,0)</f>
        <v/>
      </c>
      <c r="N556" s="14">
        <f>MAX(0,F556-E556)</f>
        <v/>
      </c>
    </row>
    <row r="557">
      <c r="A557" s="14" t="inlineStr">
        <is>
          <t>PO-00556</t>
        </is>
      </c>
      <c r="B557" s="14" t="inlineStr">
        <is>
          <t>S08</t>
        </is>
      </c>
      <c r="C557" s="14" t="inlineStr">
        <is>
          <t>NB-0022</t>
        </is>
      </c>
      <c r="D557" s="26" t="n">
        <v>45547</v>
      </c>
      <c r="E557" s="26" t="n">
        <v>45617</v>
      </c>
      <c r="F557" s="26" t="n">
        <v>45617</v>
      </c>
      <c r="G557" s="14" t="n">
        <v>86</v>
      </c>
      <c r="H557" s="14" t="n">
        <v>86</v>
      </c>
      <c r="I557" s="14" t="n">
        <v>2</v>
      </c>
      <c r="J557" s="58" t="n">
        <v>7993.7</v>
      </c>
      <c r="K557" s="59">
        <f>(F557-D557)/7</f>
        <v/>
      </c>
      <c r="L557" s="59">
        <f>K557^2</f>
        <v/>
      </c>
      <c r="M557" s="14">
        <f>IF(F557&lt;=E557,1,0)</f>
        <v/>
      </c>
      <c r="N557" s="14">
        <f>MAX(0,F557-E557)</f>
        <v/>
      </c>
    </row>
    <row r="558">
      <c r="A558" s="14" t="inlineStr">
        <is>
          <t>PO-00557</t>
        </is>
      </c>
      <c r="B558" s="14" t="inlineStr">
        <is>
          <t>S08</t>
        </is>
      </c>
      <c r="C558" s="14" t="inlineStr">
        <is>
          <t>NB-0022</t>
        </is>
      </c>
      <c r="D558" s="26" t="n">
        <v>45573</v>
      </c>
      <c r="E558" s="26" t="n">
        <v>45643</v>
      </c>
      <c r="F558" s="26" t="n">
        <v>45643</v>
      </c>
      <c r="G558" s="14" t="n">
        <v>85</v>
      </c>
      <c r="H558" s="14" t="n">
        <v>85</v>
      </c>
      <c r="I558" s="14" t="n">
        <v>1</v>
      </c>
      <c r="J558" s="58" t="n">
        <v>7900.75</v>
      </c>
      <c r="K558" s="59">
        <f>(F558-D558)/7</f>
        <v/>
      </c>
      <c r="L558" s="59">
        <f>K558^2</f>
        <v/>
      </c>
      <c r="M558" s="14">
        <f>IF(F558&lt;=E558,1,0)</f>
        <v/>
      </c>
      <c r="N558" s="14">
        <f>MAX(0,F558-E558)</f>
        <v/>
      </c>
    </row>
    <row r="559">
      <c r="A559" s="14" t="inlineStr">
        <is>
          <t>PO-00558</t>
        </is>
      </c>
      <c r="B559" s="14" t="inlineStr">
        <is>
          <t>S08</t>
        </is>
      </c>
      <c r="C559" s="14" t="inlineStr">
        <is>
          <t>NB-0022</t>
        </is>
      </c>
      <c r="D559" s="26" t="n">
        <v>45601</v>
      </c>
      <c r="E559" s="26" t="n">
        <v>45671</v>
      </c>
      <c r="F559" s="26" t="n">
        <v>45669</v>
      </c>
      <c r="G559" s="14" t="n">
        <v>90</v>
      </c>
      <c r="H559" s="14" t="n">
        <v>90</v>
      </c>
      <c r="I559" s="14" t="n">
        <v>3</v>
      </c>
      <c r="J559" s="58" t="n">
        <v>8365.5</v>
      </c>
      <c r="K559" s="59">
        <f>(F559-D559)/7</f>
        <v/>
      </c>
      <c r="L559" s="59">
        <f>K559^2</f>
        <v/>
      </c>
      <c r="M559" s="14">
        <f>IF(F559&lt;=E559,1,0)</f>
        <v/>
      </c>
      <c r="N559" s="14">
        <f>MAX(0,F559-E559)</f>
        <v/>
      </c>
    </row>
    <row r="560">
      <c r="A560" s="14" t="inlineStr">
        <is>
          <t>PO-00559</t>
        </is>
      </c>
      <c r="B560" s="14" t="inlineStr">
        <is>
          <t>S08</t>
        </is>
      </c>
      <c r="C560" s="14" t="inlineStr">
        <is>
          <t>NB-0022</t>
        </is>
      </c>
      <c r="D560" s="26" t="n">
        <v>45630</v>
      </c>
      <c r="E560" s="26" t="n">
        <v>45700</v>
      </c>
      <c r="F560" s="26" t="n">
        <v>45700</v>
      </c>
      <c r="G560" s="14" t="n">
        <v>83</v>
      </c>
      <c r="H560" s="14" t="n">
        <v>83</v>
      </c>
      <c r="I560" s="14" t="n">
        <v>3</v>
      </c>
      <c r="J560" s="58" t="n">
        <v>7714.85</v>
      </c>
      <c r="K560" s="59">
        <f>(F560-D560)/7</f>
        <v/>
      </c>
      <c r="L560" s="59">
        <f>K560^2</f>
        <v/>
      </c>
      <c r="M560" s="14">
        <f>IF(F560&lt;=E560,1,0)</f>
        <v/>
      </c>
      <c r="N560" s="14">
        <f>MAX(0,F560-E560)</f>
        <v/>
      </c>
    </row>
    <row r="561">
      <c r="A561" s="14" t="inlineStr">
        <is>
          <t>PO-00560</t>
        </is>
      </c>
      <c r="B561" s="14" t="inlineStr">
        <is>
          <t>S08</t>
        </is>
      </c>
      <c r="C561" s="14" t="inlineStr">
        <is>
          <t>NB-0022</t>
        </is>
      </c>
      <c r="D561" s="26" t="n">
        <v>45657</v>
      </c>
      <c r="E561" s="26" t="n">
        <v>45727</v>
      </c>
      <c r="F561" s="26" t="n">
        <v>45725</v>
      </c>
      <c r="G561" s="14" t="n">
        <v>84</v>
      </c>
      <c r="H561" s="14" t="n">
        <v>71</v>
      </c>
      <c r="I561" s="14" t="n">
        <v>4</v>
      </c>
      <c r="J561" s="58" t="n">
        <v>7807.8</v>
      </c>
      <c r="K561" s="59">
        <f>(F561-D561)/7</f>
        <v/>
      </c>
      <c r="L561" s="59">
        <f>K561^2</f>
        <v/>
      </c>
      <c r="M561" s="14">
        <f>IF(F561&lt;=E561,1,0)</f>
        <v/>
      </c>
      <c r="N561" s="14">
        <f>MAX(0,F561-E561)</f>
        <v/>
      </c>
    </row>
    <row r="562">
      <c r="A562" s="14" t="inlineStr">
        <is>
          <t>PO-00561</t>
        </is>
      </c>
      <c r="B562" s="14" t="inlineStr">
        <is>
          <t>S08</t>
        </is>
      </c>
      <c r="C562" s="14" t="inlineStr">
        <is>
          <t>NB-0022</t>
        </is>
      </c>
      <c r="D562" s="26" t="n">
        <v>45686</v>
      </c>
      <c r="E562" s="26" t="n">
        <v>45756</v>
      </c>
      <c r="F562" s="26" t="n">
        <v>45753</v>
      </c>
      <c r="G562" s="14" t="n">
        <v>89</v>
      </c>
      <c r="H562" s="14" t="n">
        <v>89</v>
      </c>
      <c r="I562" s="14" t="n">
        <v>3</v>
      </c>
      <c r="J562" s="58" t="n">
        <v>8272.549999999999</v>
      </c>
      <c r="K562" s="59">
        <f>(F562-D562)/7</f>
        <v/>
      </c>
      <c r="L562" s="59">
        <f>K562^2</f>
        <v/>
      </c>
      <c r="M562" s="14">
        <f>IF(F562&lt;=E562,1,0)</f>
        <v/>
      </c>
      <c r="N562" s="14">
        <f>MAX(0,F562-E562)</f>
        <v/>
      </c>
    </row>
    <row r="563">
      <c r="A563" s="14" t="inlineStr">
        <is>
          <t>PO-00562</t>
        </is>
      </c>
      <c r="B563" s="14" t="inlineStr">
        <is>
          <t>S08</t>
        </is>
      </c>
      <c r="C563" s="14" t="inlineStr">
        <is>
          <t>NB-0022</t>
        </is>
      </c>
      <c r="D563" s="26" t="n">
        <v>45712</v>
      </c>
      <c r="E563" s="26" t="n">
        <v>45782</v>
      </c>
      <c r="F563" s="26" t="n">
        <v>45807</v>
      </c>
      <c r="G563" s="14" t="n">
        <v>70</v>
      </c>
      <c r="H563" s="14" t="n">
        <v>70</v>
      </c>
      <c r="I563" s="14" t="n">
        <v>3</v>
      </c>
      <c r="J563" s="58" t="n">
        <v>6506.5</v>
      </c>
      <c r="K563" s="59">
        <f>(F563-D563)/7</f>
        <v/>
      </c>
      <c r="L563" s="59">
        <f>K563^2</f>
        <v/>
      </c>
      <c r="M563" s="14">
        <f>IF(F563&lt;=E563,1,0)</f>
        <v/>
      </c>
      <c r="N563" s="14">
        <f>MAX(0,F563-E563)</f>
        <v/>
      </c>
    </row>
    <row r="564">
      <c r="A564" s="14" t="inlineStr">
        <is>
          <t>PO-00563</t>
        </is>
      </c>
      <c r="B564" s="14" t="inlineStr">
        <is>
          <t>S08</t>
        </is>
      </c>
      <c r="C564" s="14" t="inlineStr">
        <is>
          <t>NB-0022</t>
        </is>
      </c>
      <c r="D564" s="26" t="n">
        <v>45743</v>
      </c>
      <c r="E564" s="26" t="n">
        <v>45813</v>
      </c>
      <c r="F564" s="26" t="n">
        <v>45812</v>
      </c>
      <c r="G564" s="14" t="n">
        <v>81</v>
      </c>
      <c r="H564" s="14" t="n">
        <v>81</v>
      </c>
      <c r="I564" s="14" t="n">
        <v>0</v>
      </c>
      <c r="J564" s="58" t="n">
        <v>7528.95</v>
      </c>
      <c r="K564" s="59">
        <f>(F564-D564)/7</f>
        <v/>
      </c>
      <c r="L564" s="59">
        <f>K564^2</f>
        <v/>
      </c>
      <c r="M564" s="14">
        <f>IF(F564&lt;=E564,1,0)</f>
        <v/>
      </c>
      <c r="N564" s="14">
        <f>MAX(0,F564-E564)</f>
        <v/>
      </c>
    </row>
    <row r="565">
      <c r="A565" s="14" t="inlineStr">
        <is>
          <t>PO-00564</t>
        </is>
      </c>
      <c r="B565" s="14" t="inlineStr">
        <is>
          <t>S08</t>
        </is>
      </c>
      <c r="C565" s="14" t="inlineStr">
        <is>
          <t>NB-0022</t>
        </is>
      </c>
      <c r="D565" s="26" t="n">
        <v>45770</v>
      </c>
      <c r="E565" s="26" t="n">
        <v>45840</v>
      </c>
      <c r="F565" s="26" t="n">
        <v>45839</v>
      </c>
      <c r="G565" s="14" t="n">
        <v>88</v>
      </c>
      <c r="H565" s="14" t="n">
        <v>88</v>
      </c>
      <c r="I565" s="14" t="n">
        <v>2</v>
      </c>
      <c r="J565" s="58" t="n">
        <v>8179.6</v>
      </c>
      <c r="K565" s="59">
        <f>(F565-D565)/7</f>
        <v/>
      </c>
      <c r="L565" s="59">
        <f>K565^2</f>
        <v/>
      </c>
      <c r="M565" s="14">
        <f>IF(F565&lt;=E565,1,0)</f>
        <v/>
      </c>
      <c r="N565" s="14">
        <f>MAX(0,F565-E565)</f>
        <v/>
      </c>
    </row>
    <row r="566">
      <c r="A566" s="14" t="inlineStr">
        <is>
          <t>PO-00565</t>
        </is>
      </c>
      <c r="B566" s="14" t="inlineStr">
        <is>
          <t>S08</t>
        </is>
      </c>
      <c r="C566" s="14" t="inlineStr">
        <is>
          <t>NB-0022</t>
        </is>
      </c>
      <c r="D566" s="26" t="n">
        <v>45796</v>
      </c>
      <c r="E566" s="26" t="n">
        <v>45866</v>
      </c>
      <c r="F566" s="26" t="n">
        <v>45865</v>
      </c>
      <c r="G566" s="14" t="n">
        <v>73</v>
      </c>
      <c r="H566" s="14" t="n">
        <v>73</v>
      </c>
      <c r="I566" s="14" t="n">
        <v>2</v>
      </c>
      <c r="J566" s="58" t="n">
        <v>6785.35</v>
      </c>
      <c r="K566" s="59">
        <f>(F566-D566)/7</f>
        <v/>
      </c>
      <c r="L566" s="59">
        <f>K566^2</f>
        <v/>
      </c>
      <c r="M566" s="14">
        <f>IF(F566&lt;=E566,1,0)</f>
        <v/>
      </c>
      <c r="N566" s="14">
        <f>MAX(0,F566-E566)</f>
        <v/>
      </c>
    </row>
    <row r="567">
      <c r="A567" s="14" t="inlineStr">
        <is>
          <t>PO-00566</t>
        </is>
      </c>
      <c r="B567" s="14" t="inlineStr">
        <is>
          <t>S08</t>
        </is>
      </c>
      <c r="C567" s="14" t="inlineStr">
        <is>
          <t>NB-0022</t>
        </is>
      </c>
      <c r="D567" s="26" t="n">
        <v>45827</v>
      </c>
      <c r="E567" s="26" t="n">
        <v>45897</v>
      </c>
      <c r="F567" s="26" t="n">
        <v>45896</v>
      </c>
      <c r="G567" s="14" t="n">
        <v>90</v>
      </c>
      <c r="H567" s="14" t="n">
        <v>90</v>
      </c>
      <c r="I567" s="14" t="n">
        <v>2</v>
      </c>
      <c r="J567" s="58" t="n">
        <v>8365.5</v>
      </c>
      <c r="K567" s="59">
        <f>(F567-D567)/7</f>
        <v/>
      </c>
      <c r="L567" s="59">
        <f>K567^2</f>
        <v/>
      </c>
      <c r="M567" s="14">
        <f>IF(F567&lt;=E567,1,0)</f>
        <v/>
      </c>
      <c r="N567" s="14">
        <f>MAX(0,F567-E567)</f>
        <v/>
      </c>
    </row>
    <row r="568">
      <c r="A568" s="14" t="inlineStr">
        <is>
          <t>PO-00567</t>
        </is>
      </c>
      <c r="B568" s="14" t="inlineStr">
        <is>
          <t>S08</t>
        </is>
      </c>
      <c r="C568" s="14" t="inlineStr">
        <is>
          <t>NB-0022</t>
        </is>
      </c>
      <c r="D568" s="26" t="n">
        <v>45854</v>
      </c>
      <c r="E568" s="26" t="n">
        <v>45924</v>
      </c>
      <c r="F568" s="26" t="n">
        <v>45922</v>
      </c>
      <c r="G568" s="14" t="n">
        <v>70</v>
      </c>
      <c r="H568" s="14" t="n">
        <v>70</v>
      </c>
      <c r="I568" s="14" t="n">
        <v>5</v>
      </c>
      <c r="J568" s="58" t="n">
        <v>6506.5</v>
      </c>
      <c r="K568" s="59">
        <f>(F568-D568)/7</f>
        <v/>
      </c>
      <c r="L568" s="59">
        <f>K568^2</f>
        <v/>
      </c>
      <c r="M568" s="14">
        <f>IF(F568&lt;=E568,1,0)</f>
        <v/>
      </c>
      <c r="N568" s="14">
        <f>MAX(0,F568-E568)</f>
        <v/>
      </c>
    </row>
    <row r="569">
      <c r="A569" s="14" t="inlineStr">
        <is>
          <t>PO-00568</t>
        </is>
      </c>
      <c r="B569" s="14" t="inlineStr">
        <is>
          <t>S08</t>
        </is>
      </c>
      <c r="C569" s="14" t="inlineStr">
        <is>
          <t>NB-0022</t>
        </is>
      </c>
      <c r="D569" s="26" t="n">
        <v>45880</v>
      </c>
      <c r="E569" s="26" t="n">
        <v>45950</v>
      </c>
      <c r="F569" s="26" t="n">
        <v>45948</v>
      </c>
      <c r="G569" s="14" t="n">
        <v>83</v>
      </c>
      <c r="H569" s="14" t="n">
        <v>83</v>
      </c>
      <c r="I569" s="14" t="n">
        <v>2</v>
      </c>
      <c r="J569" s="58" t="n">
        <v>7714.85</v>
      </c>
      <c r="K569" s="59">
        <f>(F569-D569)/7</f>
        <v/>
      </c>
      <c r="L569" s="59">
        <f>K569^2</f>
        <v/>
      </c>
      <c r="M569" s="14">
        <f>IF(F569&lt;=E569,1,0)</f>
        <v/>
      </c>
      <c r="N569" s="14">
        <f>MAX(0,F569-E569)</f>
        <v/>
      </c>
    </row>
    <row r="570">
      <c r="A570" s="14" t="inlineStr">
        <is>
          <t>PO-00569</t>
        </is>
      </c>
      <c r="B570" s="14" t="inlineStr">
        <is>
          <t>S08</t>
        </is>
      </c>
      <c r="C570" s="14" t="inlineStr">
        <is>
          <t>NB-0022</t>
        </is>
      </c>
      <c r="D570" s="26" t="n">
        <v>45910</v>
      </c>
      <c r="E570" s="26" t="n">
        <v>45980</v>
      </c>
      <c r="F570" s="26" t="n">
        <v>45996</v>
      </c>
      <c r="G570" s="14" t="n">
        <v>79</v>
      </c>
      <c r="H570" s="14" t="n">
        <v>79</v>
      </c>
      <c r="I570" s="14" t="n">
        <v>2</v>
      </c>
      <c r="J570" s="58" t="n">
        <v>7343.05</v>
      </c>
      <c r="K570" s="59">
        <f>(F570-D570)/7</f>
        <v/>
      </c>
      <c r="L570" s="59">
        <f>K570^2</f>
        <v/>
      </c>
      <c r="M570" s="14">
        <f>IF(F570&lt;=E570,1,0)</f>
        <v/>
      </c>
      <c r="N570" s="14">
        <f>MAX(0,F570-E570)</f>
        <v/>
      </c>
    </row>
    <row r="571">
      <c r="A571" s="14" t="inlineStr">
        <is>
          <t>PO-00570</t>
        </is>
      </c>
      <c r="B571" s="14" t="inlineStr">
        <is>
          <t>S08</t>
        </is>
      </c>
      <c r="C571" s="14" t="inlineStr">
        <is>
          <t>NB-0022</t>
        </is>
      </c>
      <c r="D571" s="26" t="n">
        <v>45939</v>
      </c>
      <c r="E571" s="26" t="n">
        <v>46009</v>
      </c>
      <c r="F571" s="26" t="n">
        <v>46030</v>
      </c>
      <c r="G571" s="14" t="n">
        <v>94</v>
      </c>
      <c r="H571" s="14" t="n">
        <v>94</v>
      </c>
      <c r="I571" s="14" t="n">
        <v>3</v>
      </c>
      <c r="J571" s="58" t="n">
        <v>8737.299999999999</v>
      </c>
      <c r="K571" s="59">
        <f>(F571-D571)/7</f>
        <v/>
      </c>
      <c r="L571" s="59">
        <f>K571^2</f>
        <v/>
      </c>
      <c r="M571" s="14">
        <f>IF(F571&lt;=E571,1,0)</f>
        <v/>
      </c>
      <c r="N571" s="14">
        <f>MAX(0,F571-E571)</f>
        <v/>
      </c>
    </row>
    <row r="572">
      <c r="A572" s="14" t="inlineStr">
        <is>
          <t>PO-00571</t>
        </is>
      </c>
      <c r="B572" s="14" t="inlineStr">
        <is>
          <t>S08</t>
        </is>
      </c>
      <c r="C572" s="14" t="inlineStr">
        <is>
          <t>NB-0022</t>
        </is>
      </c>
      <c r="D572" s="26" t="n">
        <v>45967</v>
      </c>
      <c r="E572" s="26" t="n">
        <v>46037</v>
      </c>
      <c r="F572" s="26" t="n">
        <v>46069</v>
      </c>
      <c r="G572" s="14" t="n">
        <v>90</v>
      </c>
      <c r="H572" s="14" t="n">
        <v>90</v>
      </c>
      <c r="I572" s="14" t="n">
        <v>3</v>
      </c>
      <c r="J572" s="58" t="n">
        <v>8365.5</v>
      </c>
      <c r="K572" s="59">
        <f>(F572-D572)/7</f>
        <v/>
      </c>
      <c r="L572" s="59">
        <f>K572^2</f>
        <v/>
      </c>
      <c r="M572" s="14">
        <f>IF(F572&lt;=E572,1,0)</f>
        <v/>
      </c>
      <c r="N572" s="14">
        <f>MAX(0,F572-E572)</f>
        <v/>
      </c>
    </row>
    <row r="573">
      <c r="A573" s="14" t="inlineStr">
        <is>
          <t>PO-00572</t>
        </is>
      </c>
      <c r="B573" s="14" t="inlineStr">
        <is>
          <t>S08</t>
        </is>
      </c>
      <c r="C573" s="14" t="inlineStr">
        <is>
          <t>NB-0022</t>
        </is>
      </c>
      <c r="D573" s="26" t="n">
        <v>45996</v>
      </c>
      <c r="E573" s="26" t="n">
        <v>46066</v>
      </c>
      <c r="F573" s="26" t="n">
        <v>46087</v>
      </c>
      <c r="G573" s="14" t="n">
        <v>86</v>
      </c>
      <c r="H573" s="14" t="n">
        <v>86</v>
      </c>
      <c r="I573" s="14" t="n">
        <v>1</v>
      </c>
      <c r="J573" s="58" t="n">
        <v>7993.7</v>
      </c>
      <c r="K573" s="59">
        <f>(F573-D573)/7</f>
        <v/>
      </c>
      <c r="L573" s="59">
        <f>K573^2</f>
        <v/>
      </c>
      <c r="M573" s="14">
        <f>IF(F573&lt;=E573,1,0)</f>
        <v/>
      </c>
      <c r="N573" s="14">
        <f>MAX(0,F573-E573)</f>
        <v/>
      </c>
    </row>
    <row r="574">
      <c r="A574" s="14" t="inlineStr">
        <is>
          <t>PO-00573</t>
        </is>
      </c>
      <c r="B574" s="14" t="inlineStr">
        <is>
          <t>S02</t>
        </is>
      </c>
      <c r="C574" s="14" t="inlineStr">
        <is>
          <t>NB-0023</t>
        </is>
      </c>
      <c r="D574" s="26" t="n">
        <v>45296</v>
      </c>
      <c r="E574" s="26" t="n">
        <v>45317</v>
      </c>
      <c r="F574" s="26" t="n">
        <v>45315</v>
      </c>
      <c r="G574" s="14" t="n">
        <v>159</v>
      </c>
      <c r="H574" s="14" t="n">
        <v>159</v>
      </c>
      <c r="I574" s="14" t="n">
        <v>0</v>
      </c>
      <c r="J574" s="58" t="n">
        <v>12844.02</v>
      </c>
      <c r="K574" s="59">
        <f>(F574-D574)/7</f>
        <v/>
      </c>
      <c r="L574" s="59">
        <f>K574^2</f>
        <v/>
      </c>
      <c r="M574" s="14">
        <f>IF(F574&lt;=E574,1,0)</f>
        <v/>
      </c>
      <c r="N574" s="14">
        <f>MAX(0,F574-E574)</f>
        <v/>
      </c>
    </row>
    <row r="575">
      <c r="A575" s="14" t="inlineStr">
        <is>
          <t>PO-00574</t>
        </is>
      </c>
      <c r="B575" s="14" t="inlineStr">
        <is>
          <t>S02</t>
        </is>
      </c>
      <c r="C575" s="14" t="inlineStr">
        <is>
          <t>NB-0023</t>
        </is>
      </c>
      <c r="D575" s="26" t="n">
        <v>45324</v>
      </c>
      <c r="E575" s="26" t="n">
        <v>45345</v>
      </c>
      <c r="F575" s="26" t="n">
        <v>45345</v>
      </c>
      <c r="G575" s="14" t="n">
        <v>159</v>
      </c>
      <c r="H575" s="14" t="n">
        <v>159</v>
      </c>
      <c r="I575" s="14" t="n">
        <v>3</v>
      </c>
      <c r="J575" s="58" t="n">
        <v>12844.02</v>
      </c>
      <c r="K575" s="59">
        <f>(F575-D575)/7</f>
        <v/>
      </c>
      <c r="L575" s="59">
        <f>K575^2</f>
        <v/>
      </c>
      <c r="M575" s="14">
        <f>IF(F575&lt;=E575,1,0)</f>
        <v/>
      </c>
      <c r="N575" s="14">
        <f>MAX(0,F575-E575)</f>
        <v/>
      </c>
    </row>
    <row r="576">
      <c r="A576" s="14" t="inlineStr">
        <is>
          <t>PO-00575</t>
        </is>
      </c>
      <c r="B576" s="14" t="inlineStr">
        <is>
          <t>S02</t>
        </is>
      </c>
      <c r="C576" s="14" t="inlineStr">
        <is>
          <t>NB-0023</t>
        </is>
      </c>
      <c r="D576" s="26" t="n">
        <v>45352</v>
      </c>
      <c r="E576" s="26" t="n">
        <v>45373</v>
      </c>
      <c r="F576" s="26" t="n">
        <v>45371</v>
      </c>
      <c r="G576" s="14" t="n">
        <v>175</v>
      </c>
      <c r="H576" s="14" t="n">
        <v>175</v>
      </c>
      <c r="I576" s="14" t="n">
        <v>3</v>
      </c>
      <c r="J576" s="58" t="n">
        <v>14136.5</v>
      </c>
      <c r="K576" s="59">
        <f>(F576-D576)/7</f>
        <v/>
      </c>
      <c r="L576" s="59">
        <f>K576^2</f>
        <v/>
      </c>
      <c r="M576" s="14">
        <f>IF(F576&lt;=E576,1,0)</f>
        <v/>
      </c>
      <c r="N576" s="14">
        <f>MAX(0,F576-E576)</f>
        <v/>
      </c>
    </row>
    <row r="577">
      <c r="A577" s="14" t="inlineStr">
        <is>
          <t>PO-00576</t>
        </is>
      </c>
      <c r="B577" s="14" t="inlineStr">
        <is>
          <t>S02</t>
        </is>
      </c>
      <c r="C577" s="14" t="inlineStr">
        <is>
          <t>NB-0023</t>
        </is>
      </c>
      <c r="D577" s="26" t="n">
        <v>45379</v>
      </c>
      <c r="E577" s="26" t="n">
        <v>45400</v>
      </c>
      <c r="F577" s="26" t="n">
        <v>45400</v>
      </c>
      <c r="G577" s="14" t="n">
        <v>190</v>
      </c>
      <c r="H577" s="14" t="n">
        <v>190</v>
      </c>
      <c r="I577" s="14" t="n">
        <v>1</v>
      </c>
      <c r="J577" s="58" t="n">
        <v>15348.2</v>
      </c>
      <c r="K577" s="59">
        <f>(F577-D577)/7</f>
        <v/>
      </c>
      <c r="L577" s="59">
        <f>K577^2</f>
        <v/>
      </c>
      <c r="M577" s="14">
        <f>IF(F577&lt;=E577,1,0)</f>
        <v/>
      </c>
      <c r="N577" s="14">
        <f>MAX(0,F577-E577)</f>
        <v/>
      </c>
    </row>
    <row r="578">
      <c r="A578" s="14" t="inlineStr">
        <is>
          <t>PO-00577</t>
        </is>
      </c>
      <c r="B578" s="14" t="inlineStr">
        <is>
          <t>S02</t>
        </is>
      </c>
      <c r="C578" s="14" t="inlineStr">
        <is>
          <t>NB-0023</t>
        </is>
      </c>
      <c r="D578" s="26" t="n">
        <v>45404</v>
      </c>
      <c r="E578" s="26" t="n">
        <v>45425</v>
      </c>
      <c r="F578" s="26" t="n">
        <v>45424</v>
      </c>
      <c r="G578" s="14" t="n">
        <v>201</v>
      </c>
      <c r="H578" s="14" t="n">
        <v>201</v>
      </c>
      <c r="I578" s="14" t="n">
        <v>3</v>
      </c>
      <c r="J578" s="58" t="n">
        <v>16236.78</v>
      </c>
      <c r="K578" s="59">
        <f>(F578-D578)/7</f>
        <v/>
      </c>
      <c r="L578" s="59">
        <f>K578^2</f>
        <v/>
      </c>
      <c r="M578" s="14">
        <f>IF(F578&lt;=E578,1,0)</f>
        <v/>
      </c>
      <c r="N578" s="14">
        <f>MAX(0,F578-E578)</f>
        <v/>
      </c>
    </row>
    <row r="579">
      <c r="A579" s="14" t="inlineStr">
        <is>
          <t>PO-00578</t>
        </is>
      </c>
      <c r="B579" s="14" t="inlineStr">
        <is>
          <t>S02</t>
        </is>
      </c>
      <c r="C579" s="14" t="inlineStr">
        <is>
          <t>NB-0023</t>
        </is>
      </c>
      <c r="D579" s="26" t="n">
        <v>45434</v>
      </c>
      <c r="E579" s="26" t="n">
        <v>45455</v>
      </c>
      <c r="F579" s="26" t="n">
        <v>45453</v>
      </c>
      <c r="G579" s="14" t="n">
        <v>164</v>
      </c>
      <c r="H579" s="14" t="n">
        <v>164</v>
      </c>
      <c r="I579" s="14" t="n">
        <v>1</v>
      </c>
      <c r="J579" s="58" t="n">
        <v>13247.92</v>
      </c>
      <c r="K579" s="59">
        <f>(F579-D579)/7</f>
        <v/>
      </c>
      <c r="L579" s="59">
        <f>K579^2</f>
        <v/>
      </c>
      <c r="M579" s="14">
        <f>IF(F579&lt;=E579,1,0)</f>
        <v/>
      </c>
      <c r="N579" s="14">
        <f>MAX(0,F579-E579)</f>
        <v/>
      </c>
    </row>
    <row r="580">
      <c r="A580" s="14" t="inlineStr">
        <is>
          <t>PO-00579</t>
        </is>
      </c>
      <c r="B580" s="14" t="inlineStr">
        <is>
          <t>S02</t>
        </is>
      </c>
      <c r="C580" s="14" t="inlineStr">
        <is>
          <t>NB-0023</t>
        </is>
      </c>
      <c r="D580" s="26" t="n">
        <v>45461</v>
      </c>
      <c r="E580" s="26" t="n">
        <v>45482</v>
      </c>
      <c r="F580" s="26" t="n">
        <v>45482</v>
      </c>
      <c r="G580" s="14" t="n">
        <v>208</v>
      </c>
      <c r="H580" s="14" t="n">
        <v>208</v>
      </c>
      <c r="I580" s="14" t="n">
        <v>0</v>
      </c>
      <c r="J580" s="58" t="n">
        <v>16802.24</v>
      </c>
      <c r="K580" s="59">
        <f>(F580-D580)/7</f>
        <v/>
      </c>
      <c r="L580" s="59">
        <f>K580^2</f>
        <v/>
      </c>
      <c r="M580" s="14">
        <f>IF(F580&lt;=E580,1,0)</f>
        <v/>
      </c>
      <c r="N580" s="14">
        <f>MAX(0,F580-E580)</f>
        <v/>
      </c>
    </row>
    <row r="581">
      <c r="A581" s="14" t="inlineStr">
        <is>
          <t>PO-00580</t>
        </is>
      </c>
      <c r="B581" s="14" t="inlineStr">
        <is>
          <t>S02</t>
        </is>
      </c>
      <c r="C581" s="14" t="inlineStr">
        <is>
          <t>NB-0023</t>
        </is>
      </c>
      <c r="D581" s="26" t="n">
        <v>45490</v>
      </c>
      <c r="E581" s="26" t="n">
        <v>45511</v>
      </c>
      <c r="F581" s="26" t="n">
        <v>45517</v>
      </c>
      <c r="G581" s="14" t="n">
        <v>203</v>
      </c>
      <c r="H581" s="14" t="n">
        <v>203</v>
      </c>
      <c r="I581" s="14" t="n">
        <v>4</v>
      </c>
      <c r="J581" s="58" t="n">
        <v>16398.34</v>
      </c>
      <c r="K581" s="59">
        <f>(F581-D581)/7</f>
        <v/>
      </c>
      <c r="L581" s="59">
        <f>K581^2</f>
        <v/>
      </c>
      <c r="M581" s="14">
        <f>IF(F581&lt;=E581,1,0)</f>
        <v/>
      </c>
      <c r="N581" s="14">
        <f>MAX(0,F581-E581)</f>
        <v/>
      </c>
    </row>
    <row r="582">
      <c r="A582" s="14" t="inlineStr">
        <is>
          <t>PO-00581</t>
        </is>
      </c>
      <c r="B582" s="14" t="inlineStr">
        <is>
          <t>S02</t>
        </is>
      </c>
      <c r="C582" s="14" t="inlineStr">
        <is>
          <t>NB-0023</t>
        </is>
      </c>
      <c r="D582" s="26" t="n">
        <v>45518</v>
      </c>
      <c r="E582" s="26" t="n">
        <v>45539</v>
      </c>
      <c r="F582" s="26" t="n">
        <v>45543</v>
      </c>
      <c r="G582" s="14" t="n">
        <v>158</v>
      </c>
      <c r="H582" s="14" t="n">
        <v>158</v>
      </c>
      <c r="I582" s="14" t="n">
        <v>1</v>
      </c>
      <c r="J582" s="58" t="n">
        <v>12763.24</v>
      </c>
      <c r="K582" s="59">
        <f>(F582-D582)/7</f>
        <v/>
      </c>
      <c r="L582" s="59">
        <f>K582^2</f>
        <v/>
      </c>
      <c r="M582" s="14">
        <f>IF(F582&lt;=E582,1,0)</f>
        <v/>
      </c>
      <c r="N582" s="14">
        <f>MAX(0,F582-E582)</f>
        <v/>
      </c>
    </row>
    <row r="583">
      <c r="A583" s="14" t="inlineStr">
        <is>
          <t>PO-00582</t>
        </is>
      </c>
      <c r="B583" s="14" t="inlineStr">
        <is>
          <t>S02</t>
        </is>
      </c>
      <c r="C583" s="14" t="inlineStr">
        <is>
          <t>NB-0023</t>
        </is>
      </c>
      <c r="D583" s="26" t="n">
        <v>45544</v>
      </c>
      <c r="E583" s="26" t="n">
        <v>45565</v>
      </c>
      <c r="F583" s="26" t="n">
        <v>45563</v>
      </c>
      <c r="G583" s="14" t="n">
        <v>211</v>
      </c>
      <c r="H583" s="14" t="n">
        <v>211</v>
      </c>
      <c r="I583" s="14" t="n">
        <v>2</v>
      </c>
      <c r="J583" s="58" t="n">
        <v>17044.58</v>
      </c>
      <c r="K583" s="59">
        <f>(F583-D583)/7</f>
        <v/>
      </c>
      <c r="L583" s="59">
        <f>K583^2</f>
        <v/>
      </c>
      <c r="M583" s="14">
        <f>IF(F583&lt;=E583,1,0)</f>
        <v/>
      </c>
      <c r="N583" s="14">
        <f>MAX(0,F583-E583)</f>
        <v/>
      </c>
    </row>
    <row r="584">
      <c r="A584" s="14" t="inlineStr">
        <is>
          <t>PO-00583</t>
        </is>
      </c>
      <c r="B584" s="14" t="inlineStr">
        <is>
          <t>S02</t>
        </is>
      </c>
      <c r="C584" s="14" t="inlineStr">
        <is>
          <t>NB-0023</t>
        </is>
      </c>
      <c r="D584" s="26" t="n">
        <v>45575</v>
      </c>
      <c r="E584" s="26" t="n">
        <v>45596</v>
      </c>
      <c r="F584" s="26" t="n">
        <v>45596</v>
      </c>
      <c r="G584" s="14" t="n">
        <v>185</v>
      </c>
      <c r="H584" s="14" t="n">
        <v>185</v>
      </c>
      <c r="I584" s="14" t="n">
        <v>1</v>
      </c>
      <c r="J584" s="58" t="n">
        <v>14944.3</v>
      </c>
      <c r="K584" s="59">
        <f>(F584-D584)/7</f>
        <v/>
      </c>
      <c r="L584" s="59">
        <f>K584^2</f>
        <v/>
      </c>
      <c r="M584" s="14">
        <f>IF(F584&lt;=E584,1,0)</f>
        <v/>
      </c>
      <c r="N584" s="14">
        <f>MAX(0,F584-E584)</f>
        <v/>
      </c>
    </row>
    <row r="585">
      <c r="A585" s="14" t="inlineStr">
        <is>
          <t>PO-00584</t>
        </is>
      </c>
      <c r="B585" s="14" t="inlineStr">
        <is>
          <t>S02</t>
        </is>
      </c>
      <c r="C585" s="14" t="inlineStr">
        <is>
          <t>NB-0023</t>
        </is>
      </c>
      <c r="D585" s="26" t="n">
        <v>45602</v>
      </c>
      <c r="E585" s="26" t="n">
        <v>45623</v>
      </c>
      <c r="F585" s="26" t="n">
        <v>45620</v>
      </c>
      <c r="G585" s="14" t="n">
        <v>181</v>
      </c>
      <c r="H585" s="14" t="n">
        <v>160</v>
      </c>
      <c r="I585" s="14" t="n">
        <v>0</v>
      </c>
      <c r="J585" s="58" t="n">
        <v>14621.18</v>
      </c>
      <c r="K585" s="59">
        <f>(F585-D585)/7</f>
        <v/>
      </c>
      <c r="L585" s="59">
        <f>K585^2</f>
        <v/>
      </c>
      <c r="M585" s="14">
        <f>IF(F585&lt;=E585,1,0)</f>
        <v/>
      </c>
      <c r="N585" s="14">
        <f>MAX(0,F585-E585)</f>
        <v/>
      </c>
    </row>
    <row r="586">
      <c r="A586" s="14" t="inlineStr">
        <is>
          <t>PO-00585</t>
        </is>
      </c>
      <c r="B586" s="14" t="inlineStr">
        <is>
          <t>S02</t>
        </is>
      </c>
      <c r="C586" s="14" t="inlineStr">
        <is>
          <t>NB-0023</t>
        </is>
      </c>
      <c r="D586" s="26" t="n">
        <v>45630</v>
      </c>
      <c r="E586" s="26" t="n">
        <v>45651</v>
      </c>
      <c r="F586" s="26" t="n">
        <v>45651</v>
      </c>
      <c r="G586" s="14" t="n">
        <v>203</v>
      </c>
      <c r="H586" s="14" t="n">
        <v>203</v>
      </c>
      <c r="I586" s="14" t="n">
        <v>0</v>
      </c>
      <c r="J586" s="58" t="n">
        <v>16398.34</v>
      </c>
      <c r="K586" s="59">
        <f>(F586-D586)/7</f>
        <v/>
      </c>
      <c r="L586" s="59">
        <f>K586^2</f>
        <v/>
      </c>
      <c r="M586" s="14">
        <f>IF(F586&lt;=E586,1,0)</f>
        <v/>
      </c>
      <c r="N586" s="14">
        <f>MAX(0,F586-E586)</f>
        <v/>
      </c>
    </row>
    <row r="587">
      <c r="A587" s="14" t="inlineStr">
        <is>
          <t>PO-00586</t>
        </is>
      </c>
      <c r="B587" s="14" t="inlineStr">
        <is>
          <t>S02</t>
        </is>
      </c>
      <c r="C587" s="14" t="inlineStr">
        <is>
          <t>NB-0023</t>
        </is>
      </c>
      <c r="D587" s="26" t="n">
        <v>45657</v>
      </c>
      <c r="E587" s="26" t="n">
        <v>45678</v>
      </c>
      <c r="F587" s="26" t="n">
        <v>45675</v>
      </c>
      <c r="G587" s="14" t="n">
        <v>164</v>
      </c>
      <c r="H587" s="14" t="n">
        <v>164</v>
      </c>
      <c r="I587" s="14" t="n">
        <v>2</v>
      </c>
      <c r="J587" s="58" t="n">
        <v>13247.92</v>
      </c>
      <c r="K587" s="59">
        <f>(F587-D587)/7</f>
        <v/>
      </c>
      <c r="L587" s="59">
        <f>K587^2</f>
        <v/>
      </c>
      <c r="M587" s="14">
        <f>IF(F587&lt;=E587,1,0)</f>
        <v/>
      </c>
      <c r="N587" s="14">
        <f>MAX(0,F587-E587)</f>
        <v/>
      </c>
    </row>
    <row r="588">
      <c r="A588" s="14" t="inlineStr">
        <is>
          <t>PO-00587</t>
        </is>
      </c>
      <c r="B588" s="14" t="inlineStr">
        <is>
          <t>S02</t>
        </is>
      </c>
      <c r="C588" s="14" t="inlineStr">
        <is>
          <t>NB-0023</t>
        </is>
      </c>
      <c r="D588" s="26" t="n">
        <v>45686</v>
      </c>
      <c r="E588" s="26" t="n">
        <v>45707</v>
      </c>
      <c r="F588" s="26" t="n">
        <v>45706</v>
      </c>
      <c r="G588" s="14" t="n">
        <v>213</v>
      </c>
      <c r="H588" s="14" t="n">
        <v>213</v>
      </c>
      <c r="I588" s="14" t="n">
        <v>0</v>
      </c>
      <c r="J588" s="58" t="n">
        <v>17206.14</v>
      </c>
      <c r="K588" s="59">
        <f>(F588-D588)/7</f>
        <v/>
      </c>
      <c r="L588" s="59">
        <f>K588^2</f>
        <v/>
      </c>
      <c r="M588" s="14">
        <f>IF(F588&lt;=E588,1,0)</f>
        <v/>
      </c>
      <c r="N588" s="14">
        <f>MAX(0,F588-E588)</f>
        <v/>
      </c>
    </row>
    <row r="589">
      <c r="A589" s="14" t="inlineStr">
        <is>
          <t>PO-00588</t>
        </is>
      </c>
      <c r="B589" s="14" t="inlineStr">
        <is>
          <t>S02</t>
        </is>
      </c>
      <c r="C589" s="14" t="inlineStr">
        <is>
          <t>NB-0023</t>
        </is>
      </c>
      <c r="D589" s="26" t="n">
        <v>45715</v>
      </c>
      <c r="E589" s="26" t="n">
        <v>45736</v>
      </c>
      <c r="F589" s="26" t="n">
        <v>45736</v>
      </c>
      <c r="G589" s="14" t="n">
        <v>212</v>
      </c>
      <c r="H589" s="14" t="n">
        <v>212</v>
      </c>
      <c r="I589" s="14" t="n">
        <v>1</v>
      </c>
      <c r="J589" s="58" t="n">
        <v>17125.36</v>
      </c>
      <c r="K589" s="59">
        <f>(F589-D589)/7</f>
        <v/>
      </c>
      <c r="L589" s="59">
        <f>K589^2</f>
        <v/>
      </c>
      <c r="M589" s="14">
        <f>IF(F589&lt;=E589,1,0)</f>
        <v/>
      </c>
      <c r="N589" s="14">
        <f>MAX(0,F589-E589)</f>
        <v/>
      </c>
    </row>
    <row r="590">
      <c r="A590" s="14" t="inlineStr">
        <is>
          <t>PO-00589</t>
        </is>
      </c>
      <c r="B590" s="14" t="inlineStr">
        <is>
          <t>S02</t>
        </is>
      </c>
      <c r="C590" s="14" t="inlineStr">
        <is>
          <t>NB-0023</t>
        </is>
      </c>
      <c r="D590" s="26" t="n">
        <v>45744</v>
      </c>
      <c r="E590" s="26" t="n">
        <v>45765</v>
      </c>
      <c r="F590" s="26" t="n">
        <v>45765</v>
      </c>
      <c r="G590" s="14" t="n">
        <v>163</v>
      </c>
      <c r="H590" s="14" t="n">
        <v>138</v>
      </c>
      <c r="I590" s="14" t="n">
        <v>1</v>
      </c>
      <c r="J590" s="58" t="n">
        <v>13167.14</v>
      </c>
      <c r="K590" s="59">
        <f>(F590-D590)/7</f>
        <v/>
      </c>
      <c r="L590" s="59">
        <f>K590^2</f>
        <v/>
      </c>
      <c r="M590" s="14">
        <f>IF(F590&lt;=E590,1,0)</f>
        <v/>
      </c>
      <c r="N590" s="14">
        <f>MAX(0,F590-E590)</f>
        <v/>
      </c>
    </row>
    <row r="591">
      <c r="A591" s="14" t="inlineStr">
        <is>
          <t>PO-00590</t>
        </is>
      </c>
      <c r="B591" s="14" t="inlineStr">
        <is>
          <t>S02</t>
        </is>
      </c>
      <c r="C591" s="14" t="inlineStr">
        <is>
          <t>NB-0023</t>
        </is>
      </c>
      <c r="D591" s="26" t="n">
        <v>45770</v>
      </c>
      <c r="E591" s="26" t="n">
        <v>45791</v>
      </c>
      <c r="F591" s="26" t="n">
        <v>45790</v>
      </c>
      <c r="G591" s="14" t="n">
        <v>163</v>
      </c>
      <c r="H591" s="14" t="n">
        <v>163</v>
      </c>
      <c r="I591" s="14" t="n">
        <v>1</v>
      </c>
      <c r="J591" s="58" t="n">
        <v>13167.14</v>
      </c>
      <c r="K591" s="59">
        <f>(F591-D591)/7</f>
        <v/>
      </c>
      <c r="L591" s="59">
        <f>K591^2</f>
        <v/>
      </c>
      <c r="M591" s="14">
        <f>IF(F591&lt;=E591,1,0)</f>
        <v/>
      </c>
      <c r="N591" s="14">
        <f>MAX(0,F591-E591)</f>
        <v/>
      </c>
    </row>
    <row r="592">
      <c r="A592" s="14" t="inlineStr">
        <is>
          <t>PO-00591</t>
        </is>
      </c>
      <c r="B592" s="14" t="inlineStr">
        <is>
          <t>S02</t>
        </is>
      </c>
      <c r="C592" s="14" t="inlineStr">
        <is>
          <t>NB-0023</t>
        </is>
      </c>
      <c r="D592" s="26" t="n">
        <v>45799</v>
      </c>
      <c r="E592" s="26" t="n">
        <v>45820</v>
      </c>
      <c r="F592" s="26" t="n">
        <v>45822</v>
      </c>
      <c r="G592" s="14" t="n">
        <v>168</v>
      </c>
      <c r="H592" s="14" t="n">
        <v>168</v>
      </c>
      <c r="I592" s="14" t="n">
        <v>1</v>
      </c>
      <c r="J592" s="58" t="n">
        <v>13571.04</v>
      </c>
      <c r="K592" s="59">
        <f>(F592-D592)/7</f>
        <v/>
      </c>
      <c r="L592" s="59">
        <f>K592^2</f>
        <v/>
      </c>
      <c r="M592" s="14">
        <f>IF(F592&lt;=E592,1,0)</f>
        <v/>
      </c>
      <c r="N592" s="14">
        <f>MAX(0,F592-E592)</f>
        <v/>
      </c>
    </row>
    <row r="593">
      <c r="A593" s="14" t="inlineStr">
        <is>
          <t>PO-00592</t>
        </is>
      </c>
      <c r="B593" s="14" t="inlineStr">
        <is>
          <t>S02</t>
        </is>
      </c>
      <c r="C593" s="14" t="inlineStr">
        <is>
          <t>NB-0023</t>
        </is>
      </c>
      <c r="D593" s="26" t="n">
        <v>45827</v>
      </c>
      <c r="E593" s="26" t="n">
        <v>45848</v>
      </c>
      <c r="F593" s="26" t="n">
        <v>45846</v>
      </c>
      <c r="G593" s="14" t="n">
        <v>214</v>
      </c>
      <c r="H593" s="14" t="n">
        <v>214</v>
      </c>
      <c r="I593" s="14" t="n">
        <v>3</v>
      </c>
      <c r="J593" s="58" t="n">
        <v>17286.92</v>
      </c>
      <c r="K593" s="59">
        <f>(F593-D593)/7</f>
        <v/>
      </c>
      <c r="L593" s="59">
        <f>K593^2</f>
        <v/>
      </c>
      <c r="M593" s="14">
        <f>IF(F593&lt;=E593,1,0)</f>
        <v/>
      </c>
      <c r="N593" s="14">
        <f>MAX(0,F593-E593)</f>
        <v/>
      </c>
    </row>
    <row r="594">
      <c r="A594" s="14" t="inlineStr">
        <is>
          <t>PO-00593</t>
        </is>
      </c>
      <c r="B594" s="14" t="inlineStr">
        <is>
          <t>S02</t>
        </is>
      </c>
      <c r="C594" s="14" t="inlineStr">
        <is>
          <t>NB-0023</t>
        </is>
      </c>
      <c r="D594" s="26" t="n">
        <v>45853</v>
      </c>
      <c r="E594" s="26" t="n">
        <v>45874</v>
      </c>
      <c r="F594" s="26" t="n">
        <v>45874</v>
      </c>
      <c r="G594" s="14" t="n">
        <v>188</v>
      </c>
      <c r="H594" s="14" t="n">
        <v>188</v>
      </c>
      <c r="I594" s="14" t="n">
        <v>1</v>
      </c>
      <c r="J594" s="58" t="n">
        <v>15186.64</v>
      </c>
      <c r="K594" s="59">
        <f>(F594-D594)/7</f>
        <v/>
      </c>
      <c r="L594" s="59">
        <f>K594^2</f>
        <v/>
      </c>
      <c r="M594" s="14">
        <f>IF(F594&lt;=E594,1,0)</f>
        <v/>
      </c>
      <c r="N594" s="14">
        <f>MAX(0,F594-E594)</f>
        <v/>
      </c>
    </row>
    <row r="595">
      <c r="A595" s="14" t="inlineStr">
        <is>
          <t>PO-00594</t>
        </is>
      </c>
      <c r="B595" s="14" t="inlineStr">
        <is>
          <t>S02</t>
        </is>
      </c>
      <c r="C595" s="14" t="inlineStr">
        <is>
          <t>NB-0023</t>
        </is>
      </c>
      <c r="D595" s="26" t="n">
        <v>45883</v>
      </c>
      <c r="E595" s="26" t="n">
        <v>45904</v>
      </c>
      <c r="F595" s="26" t="n">
        <v>45901</v>
      </c>
      <c r="G595" s="14" t="n">
        <v>179</v>
      </c>
      <c r="H595" s="14" t="n">
        <v>179</v>
      </c>
      <c r="I595" s="14" t="n">
        <v>2</v>
      </c>
      <c r="J595" s="58" t="n">
        <v>14459.62</v>
      </c>
      <c r="K595" s="59">
        <f>(F595-D595)/7</f>
        <v/>
      </c>
      <c r="L595" s="59">
        <f>K595^2</f>
        <v/>
      </c>
      <c r="M595" s="14">
        <f>IF(F595&lt;=E595,1,0)</f>
        <v/>
      </c>
      <c r="N595" s="14">
        <f>MAX(0,F595-E595)</f>
        <v/>
      </c>
    </row>
    <row r="596">
      <c r="A596" s="14" t="inlineStr">
        <is>
          <t>PO-00595</t>
        </is>
      </c>
      <c r="B596" s="14" t="inlineStr">
        <is>
          <t>S02</t>
        </is>
      </c>
      <c r="C596" s="14" t="inlineStr">
        <is>
          <t>NB-0023</t>
        </is>
      </c>
      <c r="D596" s="26" t="n">
        <v>45909</v>
      </c>
      <c r="E596" s="26" t="n">
        <v>45930</v>
      </c>
      <c r="F596" s="26" t="n">
        <v>45928</v>
      </c>
      <c r="G596" s="14" t="n">
        <v>200</v>
      </c>
      <c r="H596" s="14" t="n">
        <v>200</v>
      </c>
      <c r="I596" s="14" t="n">
        <v>0</v>
      </c>
      <c r="J596" s="58" t="n">
        <v>16156</v>
      </c>
      <c r="K596" s="59">
        <f>(F596-D596)/7</f>
        <v/>
      </c>
      <c r="L596" s="59">
        <f>K596^2</f>
        <v/>
      </c>
      <c r="M596" s="14">
        <f>IF(F596&lt;=E596,1,0)</f>
        <v/>
      </c>
      <c r="N596" s="14">
        <f>MAX(0,F596-E596)</f>
        <v/>
      </c>
    </row>
    <row r="597">
      <c r="A597" s="14" t="inlineStr">
        <is>
          <t>PO-00596</t>
        </is>
      </c>
      <c r="B597" s="14" t="inlineStr">
        <is>
          <t>S02</t>
        </is>
      </c>
      <c r="C597" s="14" t="inlineStr">
        <is>
          <t>NB-0023</t>
        </is>
      </c>
      <c r="D597" s="26" t="n">
        <v>45940</v>
      </c>
      <c r="E597" s="26" t="n">
        <v>45961</v>
      </c>
      <c r="F597" s="26" t="n">
        <v>45961</v>
      </c>
      <c r="G597" s="14" t="n">
        <v>212</v>
      </c>
      <c r="H597" s="14" t="n">
        <v>212</v>
      </c>
      <c r="I597" s="14" t="n">
        <v>0</v>
      </c>
      <c r="J597" s="58" t="n">
        <v>17125.36</v>
      </c>
      <c r="K597" s="59">
        <f>(F597-D597)/7</f>
        <v/>
      </c>
      <c r="L597" s="59">
        <f>K597^2</f>
        <v/>
      </c>
      <c r="M597" s="14">
        <f>IF(F597&lt;=E597,1,0)</f>
        <v/>
      </c>
      <c r="N597" s="14">
        <f>MAX(0,F597-E597)</f>
        <v/>
      </c>
    </row>
    <row r="598">
      <c r="A598" s="14" t="inlineStr">
        <is>
          <t>PO-00597</t>
        </is>
      </c>
      <c r="B598" s="14" t="inlineStr">
        <is>
          <t>S02</t>
        </is>
      </c>
      <c r="C598" s="14" t="inlineStr">
        <is>
          <t>NB-0023</t>
        </is>
      </c>
      <c r="D598" s="26" t="n">
        <v>45965</v>
      </c>
      <c r="E598" s="26" t="n">
        <v>45986</v>
      </c>
      <c r="F598" s="26" t="n">
        <v>45983</v>
      </c>
      <c r="G598" s="14" t="n">
        <v>160</v>
      </c>
      <c r="H598" s="14" t="n">
        <v>160</v>
      </c>
      <c r="I598" s="14" t="n">
        <v>0</v>
      </c>
      <c r="J598" s="58" t="n">
        <v>12924.8</v>
      </c>
      <c r="K598" s="59">
        <f>(F598-D598)/7</f>
        <v/>
      </c>
      <c r="L598" s="59">
        <f>K598^2</f>
        <v/>
      </c>
      <c r="M598" s="14">
        <f>IF(F598&lt;=E598,1,0)</f>
        <v/>
      </c>
      <c r="N598" s="14">
        <f>MAX(0,F598-E598)</f>
        <v/>
      </c>
    </row>
    <row r="599">
      <c r="A599" s="14" t="inlineStr">
        <is>
          <t>PO-00598</t>
        </is>
      </c>
      <c r="B599" s="14" t="inlineStr">
        <is>
          <t>S02</t>
        </is>
      </c>
      <c r="C599" s="14" t="inlineStr">
        <is>
          <t>NB-0023</t>
        </is>
      </c>
      <c r="D599" s="26" t="n">
        <v>45993</v>
      </c>
      <c r="E599" s="26" t="n">
        <v>46014</v>
      </c>
      <c r="F599" s="26" t="n">
        <v>46013</v>
      </c>
      <c r="G599" s="14" t="n">
        <v>215</v>
      </c>
      <c r="H599" s="14" t="n">
        <v>215</v>
      </c>
      <c r="I599" s="14" t="n">
        <v>2</v>
      </c>
      <c r="J599" s="58" t="n">
        <v>17367.7</v>
      </c>
      <c r="K599" s="59">
        <f>(F599-D599)/7</f>
        <v/>
      </c>
      <c r="L599" s="59">
        <f>K599^2</f>
        <v/>
      </c>
      <c r="M599" s="14">
        <f>IF(F599&lt;=E599,1,0)</f>
        <v/>
      </c>
      <c r="N599" s="14">
        <f>MAX(0,F599-E599)</f>
        <v/>
      </c>
    </row>
    <row r="600">
      <c r="A600" s="14" t="inlineStr">
        <is>
          <t>PO-00599</t>
        </is>
      </c>
      <c r="B600" s="14" t="inlineStr">
        <is>
          <t>S08</t>
        </is>
      </c>
      <c r="C600" s="14" t="inlineStr">
        <is>
          <t>NB-0024</t>
        </is>
      </c>
      <c r="D600" s="26" t="n">
        <v>45296</v>
      </c>
      <c r="E600" s="26" t="n">
        <v>45366</v>
      </c>
      <c r="F600" s="26" t="n">
        <v>45364</v>
      </c>
      <c r="G600" s="14" t="n">
        <v>862</v>
      </c>
      <c r="H600" s="14" t="n">
        <v>862</v>
      </c>
      <c r="I600" s="14" t="n">
        <v>23</v>
      </c>
      <c r="J600" s="58" t="n">
        <v>20851.78</v>
      </c>
      <c r="K600" s="59">
        <f>(F600-D600)/7</f>
        <v/>
      </c>
      <c r="L600" s="59">
        <f>K600^2</f>
        <v/>
      </c>
      <c r="M600" s="14">
        <f>IF(F600&lt;=E600,1,0)</f>
        <v/>
      </c>
      <c r="N600" s="14">
        <f>MAX(0,F600-E600)</f>
        <v/>
      </c>
    </row>
    <row r="601">
      <c r="A601" s="14" t="inlineStr">
        <is>
          <t>PO-00600</t>
        </is>
      </c>
      <c r="B601" s="14" t="inlineStr">
        <is>
          <t>S08</t>
        </is>
      </c>
      <c r="C601" s="14" t="inlineStr">
        <is>
          <t>NB-0024</t>
        </is>
      </c>
      <c r="D601" s="26" t="n">
        <v>45321</v>
      </c>
      <c r="E601" s="26" t="n">
        <v>45391</v>
      </c>
      <c r="F601" s="26" t="n">
        <v>45409</v>
      </c>
      <c r="G601" s="14" t="n">
        <v>853</v>
      </c>
      <c r="H601" s="14" t="n">
        <v>853</v>
      </c>
      <c r="I601" s="14" t="n">
        <v>24</v>
      </c>
      <c r="J601" s="58" t="n">
        <v>20634.07</v>
      </c>
      <c r="K601" s="59">
        <f>(F601-D601)/7</f>
        <v/>
      </c>
      <c r="L601" s="59">
        <f>K601^2</f>
        <v/>
      </c>
      <c r="M601" s="14">
        <f>IF(F601&lt;=E601,1,0)</f>
        <v/>
      </c>
      <c r="N601" s="14">
        <f>MAX(0,F601-E601)</f>
        <v/>
      </c>
    </row>
    <row r="602">
      <c r="A602" s="14" t="inlineStr">
        <is>
          <t>PO-00601</t>
        </is>
      </c>
      <c r="B602" s="14" t="inlineStr">
        <is>
          <t>S08</t>
        </is>
      </c>
      <c r="C602" s="14" t="inlineStr">
        <is>
          <t>NB-0024</t>
        </is>
      </c>
      <c r="D602" s="26" t="n">
        <v>45351</v>
      </c>
      <c r="E602" s="26" t="n">
        <v>45421</v>
      </c>
      <c r="F602" s="26" t="n">
        <v>45457</v>
      </c>
      <c r="G602" s="14" t="n">
        <v>741</v>
      </c>
      <c r="H602" s="14" t="n">
        <v>741</v>
      </c>
      <c r="I602" s="14" t="n">
        <v>23</v>
      </c>
      <c r="J602" s="58" t="n">
        <v>17924.79</v>
      </c>
      <c r="K602" s="59">
        <f>(F602-D602)/7</f>
        <v/>
      </c>
      <c r="L602" s="59">
        <f>K602^2</f>
        <v/>
      </c>
      <c r="M602" s="14">
        <f>IF(F602&lt;=E602,1,0)</f>
        <v/>
      </c>
      <c r="N602" s="14">
        <f>MAX(0,F602-E602)</f>
        <v/>
      </c>
    </row>
    <row r="603">
      <c r="A603" s="14" t="inlineStr">
        <is>
          <t>PO-00602</t>
        </is>
      </c>
      <c r="B603" s="14" t="inlineStr">
        <is>
          <t>S08</t>
        </is>
      </c>
      <c r="C603" s="14" t="inlineStr">
        <is>
          <t>NB-0024</t>
        </is>
      </c>
      <c r="D603" s="26" t="n">
        <v>45376</v>
      </c>
      <c r="E603" s="26" t="n">
        <v>45446</v>
      </c>
      <c r="F603" s="26" t="n">
        <v>45446</v>
      </c>
      <c r="G603" s="14" t="n">
        <v>773</v>
      </c>
      <c r="H603" s="14" t="n">
        <v>773</v>
      </c>
      <c r="I603" s="14" t="n">
        <v>19</v>
      </c>
      <c r="J603" s="58" t="n">
        <v>18698.87</v>
      </c>
      <c r="K603" s="59">
        <f>(F603-D603)/7</f>
        <v/>
      </c>
      <c r="L603" s="59">
        <f>K603^2</f>
        <v/>
      </c>
      <c r="M603" s="14">
        <f>IF(F603&lt;=E603,1,0)</f>
        <v/>
      </c>
      <c r="N603" s="14">
        <f>MAX(0,F603-E603)</f>
        <v/>
      </c>
    </row>
    <row r="604">
      <c r="A604" s="14" t="inlineStr">
        <is>
          <t>PO-00603</t>
        </is>
      </c>
      <c r="B604" s="14" t="inlineStr">
        <is>
          <t>S08</t>
        </is>
      </c>
      <c r="C604" s="14" t="inlineStr">
        <is>
          <t>NB-0024</t>
        </is>
      </c>
      <c r="D604" s="26" t="n">
        <v>45408</v>
      </c>
      <c r="E604" s="26" t="n">
        <v>45478</v>
      </c>
      <c r="F604" s="26" t="n">
        <v>45476</v>
      </c>
      <c r="G604" s="14" t="n">
        <v>876</v>
      </c>
      <c r="H604" s="14" t="n">
        <v>876</v>
      </c>
      <c r="I604" s="14" t="n">
        <v>26</v>
      </c>
      <c r="J604" s="58" t="n">
        <v>21190.44</v>
      </c>
      <c r="K604" s="59">
        <f>(F604-D604)/7</f>
        <v/>
      </c>
      <c r="L604" s="59">
        <f>K604^2</f>
        <v/>
      </c>
      <c r="M604" s="14">
        <f>IF(F604&lt;=E604,1,0)</f>
        <v/>
      </c>
      <c r="N604" s="14">
        <f>MAX(0,F604-E604)</f>
        <v/>
      </c>
    </row>
    <row r="605">
      <c r="A605" s="14" t="inlineStr">
        <is>
          <t>PO-00604</t>
        </is>
      </c>
      <c r="B605" s="14" t="inlineStr">
        <is>
          <t>S08</t>
        </is>
      </c>
      <c r="C605" s="14" t="inlineStr">
        <is>
          <t>NB-0024</t>
        </is>
      </c>
      <c r="D605" s="26" t="n">
        <v>45434</v>
      </c>
      <c r="E605" s="26" t="n">
        <v>45504</v>
      </c>
      <c r="F605" s="26" t="n">
        <v>45503</v>
      </c>
      <c r="G605" s="14" t="n">
        <v>918</v>
      </c>
      <c r="H605" s="14" t="n">
        <v>811</v>
      </c>
      <c r="I605" s="14" t="n">
        <v>22</v>
      </c>
      <c r="J605" s="58" t="n">
        <v>22206.42</v>
      </c>
      <c r="K605" s="59">
        <f>(F605-D605)/7</f>
        <v/>
      </c>
      <c r="L605" s="59">
        <f>K605^2</f>
        <v/>
      </c>
      <c r="M605" s="14">
        <f>IF(F605&lt;=E605,1,0)</f>
        <v/>
      </c>
      <c r="N605" s="14">
        <f>MAX(0,F605-E605)</f>
        <v/>
      </c>
    </row>
    <row r="606">
      <c r="A606" s="14" t="inlineStr">
        <is>
          <t>PO-00605</t>
        </is>
      </c>
      <c r="B606" s="14" t="inlineStr">
        <is>
          <t>S08</t>
        </is>
      </c>
      <c r="C606" s="14" t="inlineStr">
        <is>
          <t>NB-0024</t>
        </is>
      </c>
      <c r="D606" s="26" t="n">
        <v>45460</v>
      </c>
      <c r="E606" s="26" t="n">
        <v>45530</v>
      </c>
      <c r="F606" s="26" t="n">
        <v>45530</v>
      </c>
      <c r="G606" s="14" t="n">
        <v>819</v>
      </c>
      <c r="H606" s="14" t="n">
        <v>819</v>
      </c>
      <c r="I606" s="14" t="n">
        <v>9</v>
      </c>
      <c r="J606" s="58" t="n">
        <v>19811.61</v>
      </c>
      <c r="K606" s="59">
        <f>(F606-D606)/7</f>
        <v/>
      </c>
      <c r="L606" s="59">
        <f>K606^2</f>
        <v/>
      </c>
      <c r="M606" s="14">
        <f>IF(F606&lt;=E606,1,0)</f>
        <v/>
      </c>
      <c r="N606" s="14">
        <f>MAX(0,F606-E606)</f>
        <v/>
      </c>
    </row>
    <row r="607">
      <c r="A607" s="14" t="inlineStr">
        <is>
          <t>PO-00606</t>
        </is>
      </c>
      <c r="B607" s="14" t="inlineStr">
        <is>
          <t>S08</t>
        </is>
      </c>
      <c r="C607" s="14" t="inlineStr">
        <is>
          <t>NB-0024</t>
        </is>
      </c>
      <c r="D607" s="26" t="n">
        <v>45490</v>
      </c>
      <c r="E607" s="26" t="n">
        <v>45560</v>
      </c>
      <c r="F607" s="26" t="n">
        <v>45557</v>
      </c>
      <c r="G607" s="14" t="n">
        <v>758</v>
      </c>
      <c r="H607" s="14" t="n">
        <v>758</v>
      </c>
      <c r="I607" s="14" t="n">
        <v>19</v>
      </c>
      <c r="J607" s="58" t="n">
        <v>18336.02</v>
      </c>
      <c r="K607" s="59">
        <f>(F607-D607)/7</f>
        <v/>
      </c>
      <c r="L607" s="59">
        <f>K607^2</f>
        <v/>
      </c>
      <c r="M607" s="14">
        <f>IF(F607&lt;=E607,1,0)</f>
        <v/>
      </c>
      <c r="N607" s="14">
        <f>MAX(0,F607-E607)</f>
        <v/>
      </c>
    </row>
    <row r="608">
      <c r="A608" s="14" t="inlineStr">
        <is>
          <t>PO-00607</t>
        </is>
      </c>
      <c r="B608" s="14" t="inlineStr">
        <is>
          <t>S08</t>
        </is>
      </c>
      <c r="C608" s="14" t="inlineStr">
        <is>
          <t>NB-0024</t>
        </is>
      </c>
      <c r="D608" s="26" t="n">
        <v>45520</v>
      </c>
      <c r="E608" s="26" t="n">
        <v>45590</v>
      </c>
      <c r="F608" s="26" t="n">
        <v>45588</v>
      </c>
      <c r="G608" s="14" t="n">
        <v>802</v>
      </c>
      <c r="H608" s="14" t="n">
        <v>802</v>
      </c>
      <c r="I608" s="14" t="n">
        <v>19</v>
      </c>
      <c r="J608" s="58" t="n">
        <v>19400.38</v>
      </c>
      <c r="K608" s="59">
        <f>(F608-D608)/7</f>
        <v/>
      </c>
      <c r="L608" s="59">
        <f>K608^2</f>
        <v/>
      </c>
      <c r="M608" s="14">
        <f>IF(F608&lt;=E608,1,0)</f>
        <v/>
      </c>
      <c r="N608" s="14">
        <f>MAX(0,F608-E608)</f>
        <v/>
      </c>
    </row>
    <row r="609">
      <c r="A609" s="14" t="inlineStr">
        <is>
          <t>PO-00608</t>
        </is>
      </c>
      <c r="B609" s="14" t="inlineStr">
        <is>
          <t>S08</t>
        </is>
      </c>
      <c r="C609" s="14" t="inlineStr">
        <is>
          <t>NB-0024</t>
        </is>
      </c>
      <c r="D609" s="26" t="n">
        <v>45545</v>
      </c>
      <c r="E609" s="26" t="n">
        <v>45615</v>
      </c>
      <c r="F609" s="26" t="n">
        <v>45615</v>
      </c>
      <c r="G609" s="14" t="n">
        <v>870</v>
      </c>
      <c r="H609" s="14" t="n">
        <v>870</v>
      </c>
      <c r="I609" s="14" t="n">
        <v>21</v>
      </c>
      <c r="J609" s="58" t="n">
        <v>21045.3</v>
      </c>
      <c r="K609" s="59">
        <f>(F609-D609)/7</f>
        <v/>
      </c>
      <c r="L609" s="59">
        <f>K609^2</f>
        <v/>
      </c>
      <c r="M609" s="14">
        <f>IF(F609&lt;=E609,1,0)</f>
        <v/>
      </c>
      <c r="N609" s="14">
        <f>MAX(0,F609-E609)</f>
        <v/>
      </c>
    </row>
    <row r="610">
      <c r="A610" s="14" t="inlineStr">
        <is>
          <t>PO-00609</t>
        </is>
      </c>
      <c r="B610" s="14" t="inlineStr">
        <is>
          <t>S08</t>
        </is>
      </c>
      <c r="C610" s="14" t="inlineStr">
        <is>
          <t>NB-0024</t>
        </is>
      </c>
      <c r="D610" s="26" t="n">
        <v>45572</v>
      </c>
      <c r="E610" s="26" t="n">
        <v>45642</v>
      </c>
      <c r="F610" s="26" t="n">
        <v>45641</v>
      </c>
      <c r="G610" s="14" t="n">
        <v>806</v>
      </c>
      <c r="H610" s="14" t="n">
        <v>806</v>
      </c>
      <c r="I610" s="14" t="n">
        <v>31</v>
      </c>
      <c r="J610" s="58" t="n">
        <v>19497.14</v>
      </c>
      <c r="K610" s="59">
        <f>(F610-D610)/7</f>
        <v/>
      </c>
      <c r="L610" s="59">
        <f>K610^2</f>
        <v/>
      </c>
      <c r="M610" s="14">
        <f>IF(F610&lt;=E610,1,0)</f>
        <v/>
      </c>
      <c r="N610" s="14">
        <f>MAX(0,F610-E610)</f>
        <v/>
      </c>
    </row>
    <row r="611">
      <c r="A611" s="14" t="inlineStr">
        <is>
          <t>PO-00610</t>
        </is>
      </c>
      <c r="B611" s="14" t="inlineStr">
        <is>
          <t>S08</t>
        </is>
      </c>
      <c r="C611" s="14" t="inlineStr">
        <is>
          <t>NB-0024</t>
        </is>
      </c>
      <c r="D611" s="26" t="n">
        <v>45602</v>
      </c>
      <c r="E611" s="26" t="n">
        <v>45672</v>
      </c>
      <c r="F611" s="26" t="n">
        <v>45670</v>
      </c>
      <c r="G611" s="14" t="n">
        <v>774</v>
      </c>
      <c r="H611" s="14" t="n">
        <v>774</v>
      </c>
      <c r="I611" s="14" t="n">
        <v>16</v>
      </c>
      <c r="J611" s="58" t="n">
        <v>18723.06</v>
      </c>
      <c r="K611" s="59">
        <f>(F611-D611)/7</f>
        <v/>
      </c>
      <c r="L611" s="59">
        <f>K611^2</f>
        <v/>
      </c>
      <c r="M611" s="14">
        <f>IF(F611&lt;=E611,1,0)</f>
        <v/>
      </c>
      <c r="N611" s="14">
        <f>MAX(0,F611-E611)</f>
        <v/>
      </c>
    </row>
    <row r="612">
      <c r="A612" s="14" t="inlineStr">
        <is>
          <t>PO-00611</t>
        </is>
      </c>
      <c r="B612" s="14" t="inlineStr">
        <is>
          <t>S08</t>
        </is>
      </c>
      <c r="C612" s="14" t="inlineStr">
        <is>
          <t>NB-0024</t>
        </is>
      </c>
      <c r="D612" s="26" t="n">
        <v>45632</v>
      </c>
      <c r="E612" s="26" t="n">
        <v>45702</v>
      </c>
      <c r="F612" s="26" t="n">
        <v>45724</v>
      </c>
      <c r="G612" s="14" t="n">
        <v>702</v>
      </c>
      <c r="H612" s="14" t="n">
        <v>702</v>
      </c>
      <c r="I612" s="14" t="n">
        <v>13</v>
      </c>
      <c r="J612" s="58" t="n">
        <v>16981.38</v>
      </c>
      <c r="K612" s="59">
        <f>(F612-D612)/7</f>
        <v/>
      </c>
      <c r="L612" s="59">
        <f>K612^2</f>
        <v/>
      </c>
      <c r="M612" s="14">
        <f>IF(F612&lt;=E612,1,0)</f>
        <v/>
      </c>
      <c r="N612" s="14">
        <f>MAX(0,F612-E612)</f>
        <v/>
      </c>
    </row>
    <row r="613">
      <c r="A613" s="14" t="inlineStr">
        <is>
          <t>PO-00612</t>
        </is>
      </c>
      <c r="B613" s="14" t="inlineStr">
        <is>
          <t>S08</t>
        </is>
      </c>
      <c r="C613" s="14" t="inlineStr">
        <is>
          <t>NB-0024</t>
        </is>
      </c>
      <c r="D613" s="26" t="n">
        <v>45656</v>
      </c>
      <c r="E613" s="26" t="n">
        <v>45726</v>
      </c>
      <c r="F613" s="26" t="n">
        <v>45725</v>
      </c>
      <c r="G613" s="14" t="n">
        <v>832</v>
      </c>
      <c r="H613" s="14" t="n">
        <v>832</v>
      </c>
      <c r="I613" s="14" t="n">
        <v>23</v>
      </c>
      <c r="J613" s="58" t="n">
        <v>20126.08</v>
      </c>
      <c r="K613" s="59">
        <f>(F613-D613)/7</f>
        <v/>
      </c>
      <c r="L613" s="59">
        <f>K613^2</f>
        <v/>
      </c>
      <c r="M613" s="14">
        <f>IF(F613&lt;=E613,1,0)</f>
        <v/>
      </c>
      <c r="N613" s="14">
        <f>MAX(0,F613-E613)</f>
        <v/>
      </c>
    </row>
    <row r="614">
      <c r="A614" s="14" t="inlineStr">
        <is>
          <t>PO-00613</t>
        </is>
      </c>
      <c r="B614" s="14" t="inlineStr">
        <is>
          <t>S08</t>
        </is>
      </c>
      <c r="C614" s="14" t="inlineStr">
        <is>
          <t>NB-0024</t>
        </is>
      </c>
      <c r="D614" s="26" t="n">
        <v>45687</v>
      </c>
      <c r="E614" s="26" t="n">
        <v>45757</v>
      </c>
      <c r="F614" s="26" t="n">
        <v>45757</v>
      </c>
      <c r="G614" s="14" t="n">
        <v>914</v>
      </c>
      <c r="H614" s="14" t="n">
        <v>914</v>
      </c>
      <c r="I614" s="14" t="n">
        <v>21</v>
      </c>
      <c r="J614" s="58" t="n">
        <v>22109.66</v>
      </c>
      <c r="K614" s="59">
        <f>(F614-D614)/7</f>
        <v/>
      </c>
      <c r="L614" s="59">
        <f>K614^2</f>
        <v/>
      </c>
      <c r="M614" s="14">
        <f>IF(F614&lt;=E614,1,0)</f>
        <v/>
      </c>
      <c r="N614" s="14">
        <f>MAX(0,F614-E614)</f>
        <v/>
      </c>
    </row>
    <row r="615">
      <c r="A615" s="14" t="inlineStr">
        <is>
          <t>PO-00614</t>
        </is>
      </c>
      <c r="B615" s="14" t="inlineStr">
        <is>
          <t>S08</t>
        </is>
      </c>
      <c r="C615" s="14" t="inlineStr">
        <is>
          <t>NB-0024</t>
        </is>
      </c>
      <c r="D615" s="26" t="n">
        <v>45712</v>
      </c>
      <c r="E615" s="26" t="n">
        <v>45782</v>
      </c>
      <c r="F615" s="26" t="n">
        <v>45780</v>
      </c>
      <c r="G615" s="14" t="n">
        <v>673</v>
      </c>
      <c r="H615" s="14" t="n">
        <v>673</v>
      </c>
      <c r="I615" s="14" t="n">
        <v>21</v>
      </c>
      <c r="J615" s="58" t="n">
        <v>16279.87</v>
      </c>
      <c r="K615" s="59">
        <f>(F615-D615)/7</f>
        <v/>
      </c>
      <c r="L615" s="59">
        <f>K615^2</f>
        <v/>
      </c>
      <c r="M615" s="14">
        <f>IF(F615&lt;=E615,1,0)</f>
        <v/>
      </c>
      <c r="N615" s="14">
        <f>MAX(0,F615-E615)</f>
        <v/>
      </c>
    </row>
    <row r="616">
      <c r="A616" s="14" t="inlineStr">
        <is>
          <t>PO-00615</t>
        </is>
      </c>
      <c r="B616" s="14" t="inlineStr">
        <is>
          <t>S08</t>
        </is>
      </c>
      <c r="C616" s="14" t="inlineStr">
        <is>
          <t>NB-0024</t>
        </is>
      </c>
      <c r="D616" s="26" t="n">
        <v>45744</v>
      </c>
      <c r="E616" s="26" t="n">
        <v>45814</v>
      </c>
      <c r="F616" s="26" t="n">
        <v>45813</v>
      </c>
      <c r="G616" s="14" t="n">
        <v>798</v>
      </c>
      <c r="H616" s="14" t="n">
        <v>798</v>
      </c>
      <c r="I616" s="14" t="n">
        <v>15</v>
      </c>
      <c r="J616" s="58" t="n">
        <v>19303.62</v>
      </c>
      <c r="K616" s="59">
        <f>(F616-D616)/7</f>
        <v/>
      </c>
      <c r="L616" s="59">
        <f>K616^2</f>
        <v/>
      </c>
      <c r="M616" s="14">
        <f>IF(F616&lt;=E616,1,0)</f>
        <v/>
      </c>
      <c r="N616" s="14">
        <f>MAX(0,F616-E616)</f>
        <v/>
      </c>
    </row>
    <row r="617">
      <c r="A617" s="14" t="inlineStr">
        <is>
          <t>PO-00616</t>
        </is>
      </c>
      <c r="B617" s="14" t="inlineStr">
        <is>
          <t>S08</t>
        </is>
      </c>
      <c r="C617" s="14" t="inlineStr">
        <is>
          <t>NB-0024</t>
        </is>
      </c>
      <c r="D617" s="26" t="n">
        <v>45768</v>
      </c>
      <c r="E617" s="26" t="n">
        <v>45838</v>
      </c>
      <c r="F617" s="26" t="n">
        <v>45836</v>
      </c>
      <c r="G617" s="14" t="n">
        <v>790</v>
      </c>
      <c r="H617" s="14" t="n">
        <v>790</v>
      </c>
      <c r="I617" s="14" t="n">
        <v>11</v>
      </c>
      <c r="J617" s="58" t="n">
        <v>19110.1</v>
      </c>
      <c r="K617" s="59">
        <f>(F617-D617)/7</f>
        <v/>
      </c>
      <c r="L617" s="59">
        <f>K617^2</f>
        <v/>
      </c>
      <c r="M617" s="14">
        <f>IF(F617&lt;=E617,1,0)</f>
        <v/>
      </c>
      <c r="N617" s="14">
        <f>MAX(0,F617-E617)</f>
        <v/>
      </c>
    </row>
    <row r="618">
      <c r="A618" s="14" t="inlineStr">
        <is>
          <t>PO-00617</t>
        </is>
      </c>
      <c r="B618" s="14" t="inlineStr">
        <is>
          <t>S08</t>
        </is>
      </c>
      <c r="C618" s="14" t="inlineStr">
        <is>
          <t>NB-0024</t>
        </is>
      </c>
      <c r="D618" s="26" t="n">
        <v>45797</v>
      </c>
      <c r="E618" s="26" t="n">
        <v>45867</v>
      </c>
      <c r="F618" s="26" t="n">
        <v>45894</v>
      </c>
      <c r="G618" s="14" t="n">
        <v>737</v>
      </c>
      <c r="H618" s="14" t="n">
        <v>737</v>
      </c>
      <c r="I618" s="14" t="n">
        <v>16</v>
      </c>
      <c r="J618" s="58" t="n">
        <v>17828.03</v>
      </c>
      <c r="K618" s="59">
        <f>(F618-D618)/7</f>
        <v/>
      </c>
      <c r="L618" s="59">
        <f>K618^2</f>
        <v/>
      </c>
      <c r="M618" s="14">
        <f>IF(F618&lt;=E618,1,0)</f>
        <v/>
      </c>
      <c r="N618" s="14">
        <f>MAX(0,F618-E618)</f>
        <v/>
      </c>
    </row>
    <row r="619">
      <c r="A619" s="14" t="inlineStr">
        <is>
          <t>PO-00618</t>
        </is>
      </c>
      <c r="B619" s="14" t="inlineStr">
        <is>
          <t>S08</t>
        </is>
      </c>
      <c r="C619" s="14" t="inlineStr">
        <is>
          <t>NB-0024</t>
        </is>
      </c>
      <c r="D619" s="26" t="n">
        <v>45828</v>
      </c>
      <c r="E619" s="26" t="n">
        <v>45898</v>
      </c>
      <c r="F619" s="26" t="n">
        <v>45897</v>
      </c>
      <c r="G619" s="14" t="n">
        <v>846</v>
      </c>
      <c r="H619" s="14" t="n">
        <v>846</v>
      </c>
      <c r="I619" s="14" t="n">
        <v>23</v>
      </c>
      <c r="J619" s="58" t="n">
        <v>20464.74</v>
      </c>
      <c r="K619" s="59">
        <f>(F619-D619)/7</f>
        <v/>
      </c>
      <c r="L619" s="59">
        <f>K619^2</f>
        <v/>
      </c>
      <c r="M619" s="14">
        <f>IF(F619&lt;=E619,1,0)</f>
        <v/>
      </c>
      <c r="N619" s="14">
        <f>MAX(0,F619-E619)</f>
        <v/>
      </c>
    </row>
    <row r="620">
      <c r="A620" s="14" t="inlineStr">
        <is>
          <t>PO-00619</t>
        </is>
      </c>
      <c r="B620" s="14" t="inlineStr">
        <is>
          <t>S08</t>
        </is>
      </c>
      <c r="C620" s="14" t="inlineStr">
        <is>
          <t>NB-0024</t>
        </is>
      </c>
      <c r="D620" s="26" t="n">
        <v>45853</v>
      </c>
      <c r="E620" s="26" t="n">
        <v>45923</v>
      </c>
      <c r="F620" s="26" t="n">
        <v>45950</v>
      </c>
      <c r="G620" s="14" t="n">
        <v>918</v>
      </c>
      <c r="H620" s="14" t="n">
        <v>918</v>
      </c>
      <c r="I620" s="14" t="n">
        <v>19</v>
      </c>
      <c r="J620" s="58" t="n">
        <v>22206.42</v>
      </c>
      <c r="K620" s="59">
        <f>(F620-D620)/7</f>
        <v/>
      </c>
      <c r="L620" s="59">
        <f>K620^2</f>
        <v/>
      </c>
      <c r="M620" s="14">
        <f>IF(F620&lt;=E620,1,0)</f>
        <v/>
      </c>
      <c r="N620" s="14">
        <f>MAX(0,F620-E620)</f>
        <v/>
      </c>
    </row>
    <row r="621">
      <c r="A621" s="14" t="inlineStr">
        <is>
          <t>PO-00620</t>
        </is>
      </c>
      <c r="B621" s="14" t="inlineStr">
        <is>
          <t>S08</t>
        </is>
      </c>
      <c r="C621" s="14" t="inlineStr">
        <is>
          <t>NB-0024</t>
        </is>
      </c>
      <c r="D621" s="26" t="n">
        <v>45881</v>
      </c>
      <c r="E621" s="26" t="n">
        <v>45951</v>
      </c>
      <c r="F621" s="26" t="n">
        <v>45951</v>
      </c>
      <c r="G621" s="14" t="n">
        <v>711</v>
      </c>
      <c r="H621" s="14" t="n">
        <v>711</v>
      </c>
      <c r="I621" s="14" t="n">
        <v>15</v>
      </c>
      <c r="J621" s="58" t="n">
        <v>17199.09</v>
      </c>
      <c r="K621" s="59">
        <f>(F621-D621)/7</f>
        <v/>
      </c>
      <c r="L621" s="59">
        <f>K621^2</f>
        <v/>
      </c>
      <c r="M621" s="14">
        <f>IF(F621&lt;=E621,1,0)</f>
        <v/>
      </c>
      <c r="N621" s="14">
        <f>MAX(0,F621-E621)</f>
        <v/>
      </c>
    </row>
    <row r="622">
      <c r="A622" s="14" t="inlineStr">
        <is>
          <t>PO-00621</t>
        </is>
      </c>
      <c r="B622" s="14" t="inlineStr">
        <is>
          <t>S08</t>
        </is>
      </c>
      <c r="C622" s="14" t="inlineStr">
        <is>
          <t>NB-0024</t>
        </is>
      </c>
      <c r="D622" s="26" t="n">
        <v>45910</v>
      </c>
      <c r="E622" s="26" t="n">
        <v>45980</v>
      </c>
      <c r="F622" s="26" t="n">
        <v>45996</v>
      </c>
      <c r="G622" s="14" t="n">
        <v>736</v>
      </c>
      <c r="H622" s="14" t="n">
        <v>736</v>
      </c>
      <c r="I622" s="14" t="n">
        <v>20</v>
      </c>
      <c r="J622" s="58" t="n">
        <v>17803.84</v>
      </c>
      <c r="K622" s="59">
        <f>(F622-D622)/7</f>
        <v/>
      </c>
      <c r="L622" s="59">
        <f>K622^2</f>
        <v/>
      </c>
      <c r="M622" s="14">
        <f>IF(F622&lt;=E622,1,0)</f>
        <v/>
      </c>
      <c r="N622" s="14">
        <f>MAX(0,F622-E622)</f>
        <v/>
      </c>
    </row>
    <row r="623">
      <c r="A623" s="14" t="inlineStr">
        <is>
          <t>PO-00622</t>
        </is>
      </c>
      <c r="B623" s="14" t="inlineStr">
        <is>
          <t>S08</t>
        </is>
      </c>
      <c r="C623" s="14" t="inlineStr">
        <is>
          <t>NB-0024</t>
        </is>
      </c>
      <c r="D623" s="26" t="n">
        <v>45938</v>
      </c>
      <c r="E623" s="26" t="n">
        <v>46008</v>
      </c>
      <c r="F623" s="26" t="n">
        <v>46007</v>
      </c>
      <c r="G623" s="14" t="n">
        <v>847</v>
      </c>
      <c r="H623" s="14" t="n">
        <v>847</v>
      </c>
      <c r="I623" s="14" t="n">
        <v>15</v>
      </c>
      <c r="J623" s="58" t="n">
        <v>20488.93</v>
      </c>
      <c r="K623" s="59">
        <f>(F623-D623)/7</f>
        <v/>
      </c>
      <c r="L623" s="59">
        <f>K623^2</f>
        <v/>
      </c>
      <c r="M623" s="14">
        <f>IF(F623&lt;=E623,1,0)</f>
        <v/>
      </c>
      <c r="N623" s="14">
        <f>MAX(0,F623-E623)</f>
        <v/>
      </c>
    </row>
    <row r="624">
      <c r="A624" s="14" t="inlineStr">
        <is>
          <t>PO-00623</t>
        </is>
      </c>
      <c r="B624" s="14" t="inlineStr">
        <is>
          <t>S08</t>
        </is>
      </c>
      <c r="C624" s="14" t="inlineStr">
        <is>
          <t>NB-0024</t>
        </is>
      </c>
      <c r="D624" s="26" t="n">
        <v>45964</v>
      </c>
      <c r="E624" s="26" t="n">
        <v>46034</v>
      </c>
      <c r="F624" s="26" t="n">
        <v>46033</v>
      </c>
      <c r="G624" s="14" t="n">
        <v>928</v>
      </c>
      <c r="H624" s="14" t="n">
        <v>928</v>
      </c>
      <c r="I624" s="14" t="n">
        <v>26</v>
      </c>
      <c r="J624" s="58" t="n">
        <v>22448.32</v>
      </c>
      <c r="K624" s="59">
        <f>(F624-D624)/7</f>
        <v/>
      </c>
      <c r="L624" s="59">
        <f>K624^2</f>
        <v/>
      </c>
      <c r="M624" s="14">
        <f>IF(F624&lt;=E624,1,0)</f>
        <v/>
      </c>
      <c r="N624" s="14">
        <f>MAX(0,F624-E624)</f>
        <v/>
      </c>
    </row>
    <row r="625">
      <c r="A625" s="14" t="inlineStr">
        <is>
          <t>PO-00624</t>
        </is>
      </c>
      <c r="B625" s="14" t="inlineStr">
        <is>
          <t>S08</t>
        </is>
      </c>
      <c r="C625" s="14" t="inlineStr">
        <is>
          <t>NB-0024</t>
        </is>
      </c>
      <c r="D625" s="26" t="n">
        <v>45992</v>
      </c>
      <c r="E625" s="26" t="n">
        <v>46062</v>
      </c>
      <c r="F625" s="26" t="n">
        <v>46096</v>
      </c>
      <c r="G625" s="14" t="n">
        <v>843</v>
      </c>
      <c r="H625" s="14" t="n">
        <v>843</v>
      </c>
      <c r="I625" s="14" t="n">
        <v>22</v>
      </c>
      <c r="J625" s="58" t="n">
        <v>20392.17</v>
      </c>
      <c r="K625" s="59">
        <f>(F625-D625)/7</f>
        <v/>
      </c>
      <c r="L625" s="59">
        <f>K625^2</f>
        <v/>
      </c>
      <c r="M625" s="14">
        <f>IF(F625&lt;=E625,1,0)</f>
        <v/>
      </c>
      <c r="N625" s="14">
        <f>MAX(0,F625-E625)</f>
        <v/>
      </c>
    </row>
    <row r="626">
      <c r="A626" s="14" t="inlineStr">
        <is>
          <t>PO-00625</t>
        </is>
      </c>
      <c r="B626" s="14" t="inlineStr">
        <is>
          <t>S02</t>
        </is>
      </c>
      <c r="C626" s="14" t="inlineStr">
        <is>
          <t>NB-0025</t>
        </is>
      </c>
      <c r="D626" s="26" t="n">
        <v>45295</v>
      </c>
      <c r="E626" s="26" t="n">
        <v>45316</v>
      </c>
      <c r="F626" s="26" t="n">
        <v>45315</v>
      </c>
      <c r="G626" s="14" t="n">
        <v>301</v>
      </c>
      <c r="H626" s="14" t="n">
        <v>301</v>
      </c>
      <c r="I626" s="14" t="n">
        <v>3</v>
      </c>
      <c r="J626" s="58" t="n">
        <v>21997.08</v>
      </c>
      <c r="K626" s="59">
        <f>(F626-D626)/7</f>
        <v/>
      </c>
      <c r="L626" s="59">
        <f>K626^2</f>
        <v/>
      </c>
      <c r="M626" s="14">
        <f>IF(F626&lt;=E626,1,0)</f>
        <v/>
      </c>
      <c r="N626" s="14">
        <f>MAX(0,F626-E626)</f>
        <v/>
      </c>
    </row>
    <row r="627">
      <c r="A627" s="14" t="inlineStr">
        <is>
          <t>PO-00626</t>
        </is>
      </c>
      <c r="B627" s="14" t="inlineStr">
        <is>
          <t>S02</t>
        </is>
      </c>
      <c r="C627" s="14" t="inlineStr">
        <is>
          <t>NB-0025</t>
        </is>
      </c>
      <c r="D627" s="26" t="n">
        <v>45321</v>
      </c>
      <c r="E627" s="26" t="n">
        <v>45342</v>
      </c>
      <c r="F627" s="26" t="n">
        <v>45342</v>
      </c>
      <c r="G627" s="14" t="n">
        <v>252</v>
      </c>
      <c r="H627" s="14" t="n">
        <v>252</v>
      </c>
      <c r="I627" s="14" t="n">
        <v>1</v>
      </c>
      <c r="J627" s="58" t="n">
        <v>18416.16</v>
      </c>
      <c r="K627" s="59">
        <f>(F627-D627)/7</f>
        <v/>
      </c>
      <c r="L627" s="59">
        <f>K627^2</f>
        <v/>
      </c>
      <c r="M627" s="14">
        <f>IF(F627&lt;=E627,1,0)</f>
        <v/>
      </c>
      <c r="N627" s="14">
        <f>MAX(0,F627-E627)</f>
        <v/>
      </c>
    </row>
    <row r="628">
      <c r="A628" s="14" t="inlineStr">
        <is>
          <t>PO-00627</t>
        </is>
      </c>
      <c r="B628" s="14" t="inlineStr">
        <is>
          <t>S02</t>
        </is>
      </c>
      <c r="C628" s="14" t="inlineStr">
        <is>
          <t>NB-0025</t>
        </is>
      </c>
      <c r="D628" s="26" t="n">
        <v>45352</v>
      </c>
      <c r="E628" s="26" t="n">
        <v>45373</v>
      </c>
      <c r="F628" s="26" t="n">
        <v>45373</v>
      </c>
      <c r="G628" s="14" t="n">
        <v>229</v>
      </c>
      <c r="H628" s="14" t="n">
        <v>229</v>
      </c>
      <c r="I628" s="14" t="n">
        <v>0</v>
      </c>
      <c r="J628" s="58" t="n">
        <v>16735.32</v>
      </c>
      <c r="K628" s="59">
        <f>(F628-D628)/7</f>
        <v/>
      </c>
      <c r="L628" s="59">
        <f>K628^2</f>
        <v/>
      </c>
      <c r="M628" s="14">
        <f>IF(F628&lt;=E628,1,0)</f>
        <v/>
      </c>
      <c r="N628" s="14">
        <f>MAX(0,F628-E628)</f>
        <v/>
      </c>
    </row>
    <row r="629">
      <c r="A629" s="14" t="inlineStr">
        <is>
          <t>PO-00628</t>
        </is>
      </c>
      <c r="B629" s="14" t="inlineStr">
        <is>
          <t>S02</t>
        </is>
      </c>
      <c r="C629" s="14" t="inlineStr">
        <is>
          <t>NB-0025</t>
        </is>
      </c>
      <c r="D629" s="26" t="n">
        <v>45379</v>
      </c>
      <c r="E629" s="26" t="n">
        <v>45400</v>
      </c>
      <c r="F629" s="26" t="n">
        <v>45400</v>
      </c>
      <c r="G629" s="14" t="n">
        <v>262</v>
      </c>
      <c r="H629" s="14" t="n">
        <v>262</v>
      </c>
      <c r="I629" s="14" t="n">
        <v>2</v>
      </c>
      <c r="J629" s="58" t="n">
        <v>19146.96</v>
      </c>
      <c r="K629" s="59">
        <f>(F629-D629)/7</f>
        <v/>
      </c>
      <c r="L629" s="59">
        <f>K629^2</f>
        <v/>
      </c>
      <c r="M629" s="14">
        <f>IF(F629&lt;=E629,1,0)</f>
        <v/>
      </c>
      <c r="N629" s="14">
        <f>MAX(0,F629-E629)</f>
        <v/>
      </c>
    </row>
    <row r="630">
      <c r="A630" s="14" t="inlineStr">
        <is>
          <t>PO-00629</t>
        </is>
      </c>
      <c r="B630" s="14" t="inlineStr">
        <is>
          <t>S02</t>
        </is>
      </c>
      <c r="C630" s="14" t="inlineStr">
        <is>
          <t>NB-0025</t>
        </is>
      </c>
      <c r="D630" s="26" t="n">
        <v>45404</v>
      </c>
      <c r="E630" s="26" t="n">
        <v>45425</v>
      </c>
      <c r="F630" s="26" t="n">
        <v>45424</v>
      </c>
      <c r="G630" s="14" t="n">
        <v>248</v>
      </c>
      <c r="H630" s="14" t="n">
        <v>248</v>
      </c>
      <c r="I630" s="14" t="n">
        <v>0</v>
      </c>
      <c r="J630" s="58" t="n">
        <v>18123.84</v>
      </c>
      <c r="K630" s="59">
        <f>(F630-D630)/7</f>
        <v/>
      </c>
      <c r="L630" s="59">
        <f>K630^2</f>
        <v/>
      </c>
      <c r="M630" s="14">
        <f>IF(F630&lt;=E630,1,0)</f>
        <v/>
      </c>
      <c r="N630" s="14">
        <f>MAX(0,F630-E630)</f>
        <v/>
      </c>
    </row>
    <row r="631">
      <c r="A631" s="14" t="inlineStr">
        <is>
          <t>PO-00630</t>
        </is>
      </c>
      <c r="B631" s="14" t="inlineStr">
        <is>
          <t>S02</t>
        </is>
      </c>
      <c r="C631" s="14" t="inlineStr">
        <is>
          <t>NB-0025</t>
        </is>
      </c>
      <c r="D631" s="26" t="n">
        <v>45434</v>
      </c>
      <c r="E631" s="26" t="n">
        <v>45455</v>
      </c>
      <c r="F631" s="26" t="n">
        <v>45455</v>
      </c>
      <c r="G631" s="14" t="n">
        <v>232</v>
      </c>
      <c r="H631" s="14" t="n">
        <v>232</v>
      </c>
      <c r="I631" s="14" t="n">
        <v>0</v>
      </c>
      <c r="J631" s="58" t="n">
        <v>16954.56</v>
      </c>
      <c r="K631" s="59">
        <f>(F631-D631)/7</f>
        <v/>
      </c>
      <c r="L631" s="59">
        <f>K631^2</f>
        <v/>
      </c>
      <c r="M631" s="14">
        <f>IF(F631&lt;=E631,1,0)</f>
        <v/>
      </c>
      <c r="N631" s="14">
        <f>MAX(0,F631-E631)</f>
        <v/>
      </c>
    </row>
    <row r="632">
      <c r="A632" s="14" t="inlineStr">
        <is>
          <t>PO-00631</t>
        </is>
      </c>
      <c r="B632" s="14" t="inlineStr">
        <is>
          <t>S02</t>
        </is>
      </c>
      <c r="C632" s="14" t="inlineStr">
        <is>
          <t>NB-0025</t>
        </is>
      </c>
      <c r="D632" s="26" t="n">
        <v>45461</v>
      </c>
      <c r="E632" s="26" t="n">
        <v>45482</v>
      </c>
      <c r="F632" s="26" t="n">
        <v>45481</v>
      </c>
      <c r="G632" s="14" t="n">
        <v>302</v>
      </c>
      <c r="H632" s="14" t="n">
        <v>264</v>
      </c>
      <c r="I632" s="14" t="n">
        <v>0</v>
      </c>
      <c r="J632" s="58" t="n">
        <v>22070.16</v>
      </c>
      <c r="K632" s="59">
        <f>(F632-D632)/7</f>
        <v/>
      </c>
      <c r="L632" s="59">
        <f>K632^2</f>
        <v/>
      </c>
      <c r="M632" s="14">
        <f>IF(F632&lt;=E632,1,0)</f>
        <v/>
      </c>
      <c r="N632" s="14">
        <f>MAX(0,F632-E632)</f>
        <v/>
      </c>
    </row>
    <row r="633">
      <c r="A633" s="14" t="inlineStr">
        <is>
          <t>PO-00632</t>
        </is>
      </c>
      <c r="B633" s="14" t="inlineStr">
        <is>
          <t>S02</t>
        </is>
      </c>
      <c r="C633" s="14" t="inlineStr">
        <is>
          <t>NB-0025</t>
        </is>
      </c>
      <c r="D633" s="26" t="n">
        <v>45488</v>
      </c>
      <c r="E633" s="26" t="n">
        <v>45509</v>
      </c>
      <c r="F633" s="26" t="n">
        <v>45508</v>
      </c>
      <c r="G633" s="14" t="n">
        <v>278</v>
      </c>
      <c r="H633" s="14" t="n">
        <v>278</v>
      </c>
      <c r="I633" s="14" t="n">
        <v>2</v>
      </c>
      <c r="J633" s="58" t="n">
        <v>20316.24</v>
      </c>
      <c r="K633" s="59">
        <f>(F633-D633)/7</f>
        <v/>
      </c>
      <c r="L633" s="59">
        <f>K633^2</f>
        <v/>
      </c>
      <c r="M633" s="14">
        <f>IF(F633&lt;=E633,1,0)</f>
        <v/>
      </c>
      <c r="N633" s="14">
        <f>MAX(0,F633-E633)</f>
        <v/>
      </c>
    </row>
    <row r="634">
      <c r="A634" s="14" t="inlineStr">
        <is>
          <t>PO-00633</t>
        </is>
      </c>
      <c r="B634" s="14" t="inlineStr">
        <is>
          <t>S02</t>
        </is>
      </c>
      <c r="C634" s="14" t="inlineStr">
        <is>
          <t>NB-0025</t>
        </is>
      </c>
      <c r="D634" s="26" t="n">
        <v>45520</v>
      </c>
      <c r="E634" s="26" t="n">
        <v>45541</v>
      </c>
      <c r="F634" s="26" t="n">
        <v>45540</v>
      </c>
      <c r="G634" s="14" t="n">
        <v>299</v>
      </c>
      <c r="H634" s="14" t="n">
        <v>299</v>
      </c>
      <c r="I634" s="14" t="n">
        <v>1</v>
      </c>
      <c r="J634" s="58" t="n">
        <v>21850.92</v>
      </c>
      <c r="K634" s="59">
        <f>(F634-D634)/7</f>
        <v/>
      </c>
      <c r="L634" s="59">
        <f>K634^2</f>
        <v/>
      </c>
      <c r="M634" s="14">
        <f>IF(F634&lt;=E634,1,0)</f>
        <v/>
      </c>
      <c r="N634" s="14">
        <f>MAX(0,F634-E634)</f>
        <v/>
      </c>
    </row>
    <row r="635">
      <c r="A635" s="14" t="inlineStr">
        <is>
          <t>PO-00634</t>
        </is>
      </c>
      <c r="B635" s="14" t="inlineStr">
        <is>
          <t>S02</t>
        </is>
      </c>
      <c r="C635" s="14" t="inlineStr">
        <is>
          <t>NB-0025</t>
        </is>
      </c>
      <c r="D635" s="26" t="n">
        <v>45548</v>
      </c>
      <c r="E635" s="26" t="n">
        <v>45569</v>
      </c>
      <c r="F635" s="26" t="n">
        <v>45569</v>
      </c>
      <c r="G635" s="14" t="n">
        <v>240</v>
      </c>
      <c r="H635" s="14" t="n">
        <v>240</v>
      </c>
      <c r="I635" s="14" t="n">
        <v>1</v>
      </c>
      <c r="J635" s="58" t="n">
        <v>17539.2</v>
      </c>
      <c r="K635" s="59">
        <f>(F635-D635)/7</f>
        <v/>
      </c>
      <c r="L635" s="59">
        <f>K635^2</f>
        <v/>
      </c>
      <c r="M635" s="14">
        <f>IF(F635&lt;=E635,1,0)</f>
        <v/>
      </c>
      <c r="N635" s="14">
        <f>MAX(0,F635-E635)</f>
        <v/>
      </c>
    </row>
    <row r="636">
      <c r="A636" s="14" t="inlineStr">
        <is>
          <t>PO-00635</t>
        </is>
      </c>
      <c r="B636" s="14" t="inlineStr">
        <is>
          <t>S02</t>
        </is>
      </c>
      <c r="C636" s="14" t="inlineStr">
        <is>
          <t>NB-0025</t>
        </is>
      </c>
      <c r="D636" s="26" t="n">
        <v>45573</v>
      </c>
      <c r="E636" s="26" t="n">
        <v>45594</v>
      </c>
      <c r="F636" s="26" t="n">
        <v>45594</v>
      </c>
      <c r="G636" s="14" t="n">
        <v>273</v>
      </c>
      <c r="H636" s="14" t="n">
        <v>273</v>
      </c>
      <c r="I636" s="14" t="n">
        <v>1</v>
      </c>
      <c r="J636" s="58" t="n">
        <v>19950.84</v>
      </c>
      <c r="K636" s="59">
        <f>(F636-D636)/7</f>
        <v/>
      </c>
      <c r="L636" s="59">
        <f>K636^2</f>
        <v/>
      </c>
      <c r="M636" s="14">
        <f>IF(F636&lt;=E636,1,0)</f>
        <v/>
      </c>
      <c r="N636" s="14">
        <f>MAX(0,F636-E636)</f>
        <v/>
      </c>
    </row>
    <row r="637">
      <c r="A637" s="14" t="inlineStr">
        <is>
          <t>PO-00636</t>
        </is>
      </c>
      <c r="B637" s="14" t="inlineStr">
        <is>
          <t>S02</t>
        </is>
      </c>
      <c r="C637" s="14" t="inlineStr">
        <is>
          <t>NB-0025</t>
        </is>
      </c>
      <c r="D637" s="26" t="n">
        <v>45601</v>
      </c>
      <c r="E637" s="26" t="n">
        <v>45622</v>
      </c>
      <c r="F637" s="26" t="n">
        <v>45621</v>
      </c>
      <c r="G637" s="14" t="n">
        <v>302</v>
      </c>
      <c r="H637" s="14" t="n">
        <v>302</v>
      </c>
      <c r="I637" s="14" t="n">
        <v>1</v>
      </c>
      <c r="J637" s="58" t="n">
        <v>22070.16</v>
      </c>
      <c r="K637" s="59">
        <f>(F637-D637)/7</f>
        <v/>
      </c>
      <c r="L637" s="59">
        <f>K637^2</f>
        <v/>
      </c>
      <c r="M637" s="14">
        <f>IF(F637&lt;=E637,1,0)</f>
        <v/>
      </c>
      <c r="N637" s="14">
        <f>MAX(0,F637-E637)</f>
        <v/>
      </c>
    </row>
    <row r="638">
      <c r="A638" s="14" t="inlineStr">
        <is>
          <t>PO-00637</t>
        </is>
      </c>
      <c r="B638" s="14" t="inlineStr">
        <is>
          <t>S02</t>
        </is>
      </c>
      <c r="C638" s="14" t="inlineStr">
        <is>
          <t>NB-0025</t>
        </is>
      </c>
      <c r="D638" s="26" t="n">
        <v>45628</v>
      </c>
      <c r="E638" s="26" t="n">
        <v>45649</v>
      </c>
      <c r="F638" s="26" t="n">
        <v>45647</v>
      </c>
      <c r="G638" s="14" t="n">
        <v>296</v>
      </c>
      <c r="H638" s="14" t="n">
        <v>296</v>
      </c>
      <c r="I638" s="14" t="n">
        <v>3</v>
      </c>
      <c r="J638" s="58" t="n">
        <v>21631.68</v>
      </c>
      <c r="K638" s="59">
        <f>(F638-D638)/7</f>
        <v/>
      </c>
      <c r="L638" s="59">
        <f>K638^2</f>
        <v/>
      </c>
      <c r="M638" s="14">
        <f>IF(F638&lt;=E638,1,0)</f>
        <v/>
      </c>
      <c r="N638" s="14">
        <f>MAX(0,F638-E638)</f>
        <v/>
      </c>
    </row>
    <row r="639">
      <c r="A639" s="14" t="inlineStr">
        <is>
          <t>PO-00638</t>
        </is>
      </c>
      <c r="B639" s="14" t="inlineStr">
        <is>
          <t>S02</t>
        </is>
      </c>
      <c r="C639" s="14" t="inlineStr">
        <is>
          <t>NB-0025</t>
        </is>
      </c>
      <c r="D639" s="26" t="n">
        <v>45658</v>
      </c>
      <c r="E639" s="26" t="n">
        <v>45679</v>
      </c>
      <c r="F639" s="26" t="n">
        <v>45677</v>
      </c>
      <c r="G639" s="14" t="n">
        <v>301</v>
      </c>
      <c r="H639" s="14" t="n">
        <v>301</v>
      </c>
      <c r="I639" s="14" t="n">
        <v>3</v>
      </c>
      <c r="J639" s="58" t="n">
        <v>21997.08</v>
      </c>
      <c r="K639" s="59">
        <f>(F639-D639)/7</f>
        <v/>
      </c>
      <c r="L639" s="59">
        <f>K639^2</f>
        <v/>
      </c>
      <c r="M639" s="14">
        <f>IF(F639&lt;=E639,1,0)</f>
        <v/>
      </c>
      <c r="N639" s="14">
        <f>MAX(0,F639-E639)</f>
        <v/>
      </c>
    </row>
    <row r="640">
      <c r="A640" s="14" t="inlineStr">
        <is>
          <t>PO-00639</t>
        </is>
      </c>
      <c r="B640" s="14" t="inlineStr">
        <is>
          <t>S02</t>
        </is>
      </c>
      <c r="C640" s="14" t="inlineStr">
        <is>
          <t>NB-0025</t>
        </is>
      </c>
      <c r="D640" s="26" t="n">
        <v>45687</v>
      </c>
      <c r="E640" s="26" t="n">
        <v>45708</v>
      </c>
      <c r="F640" s="26" t="n">
        <v>45705</v>
      </c>
      <c r="G640" s="14" t="n">
        <v>306</v>
      </c>
      <c r="H640" s="14" t="n">
        <v>306</v>
      </c>
      <c r="I640" s="14" t="n">
        <v>1</v>
      </c>
      <c r="J640" s="58" t="n">
        <v>22362.48</v>
      </c>
      <c r="K640" s="59">
        <f>(F640-D640)/7</f>
        <v/>
      </c>
      <c r="L640" s="59">
        <f>K640^2</f>
        <v/>
      </c>
      <c r="M640" s="14">
        <f>IF(F640&lt;=E640,1,0)</f>
        <v/>
      </c>
      <c r="N640" s="14">
        <f>MAX(0,F640-E640)</f>
        <v/>
      </c>
    </row>
    <row r="641">
      <c r="A641" s="14" t="inlineStr">
        <is>
          <t>PO-00640</t>
        </is>
      </c>
      <c r="B641" s="14" t="inlineStr">
        <is>
          <t>S02</t>
        </is>
      </c>
      <c r="C641" s="14" t="inlineStr">
        <is>
          <t>NB-0025</t>
        </is>
      </c>
      <c r="D641" s="26" t="n">
        <v>45713</v>
      </c>
      <c r="E641" s="26" t="n">
        <v>45734</v>
      </c>
      <c r="F641" s="26" t="n">
        <v>45731</v>
      </c>
      <c r="G641" s="14" t="n">
        <v>265</v>
      </c>
      <c r="H641" s="14" t="n">
        <v>265</v>
      </c>
      <c r="I641" s="14" t="n">
        <v>1</v>
      </c>
      <c r="J641" s="58" t="n">
        <v>19366.2</v>
      </c>
      <c r="K641" s="59">
        <f>(F641-D641)/7</f>
        <v/>
      </c>
      <c r="L641" s="59">
        <f>K641^2</f>
        <v/>
      </c>
      <c r="M641" s="14">
        <f>IF(F641&lt;=E641,1,0)</f>
        <v/>
      </c>
      <c r="N641" s="14">
        <f>MAX(0,F641-E641)</f>
        <v/>
      </c>
    </row>
    <row r="642">
      <c r="A642" s="14" t="inlineStr">
        <is>
          <t>PO-00641</t>
        </is>
      </c>
      <c r="B642" s="14" t="inlineStr">
        <is>
          <t>S02</t>
        </is>
      </c>
      <c r="C642" s="14" t="inlineStr">
        <is>
          <t>NB-0025</t>
        </is>
      </c>
      <c r="D642" s="26" t="n">
        <v>45742</v>
      </c>
      <c r="E642" s="26" t="n">
        <v>45763</v>
      </c>
      <c r="F642" s="26" t="n">
        <v>45761</v>
      </c>
      <c r="G642" s="14" t="n">
        <v>291</v>
      </c>
      <c r="H642" s="14" t="n">
        <v>291</v>
      </c>
      <c r="I642" s="14" t="n">
        <v>5</v>
      </c>
      <c r="J642" s="58" t="n">
        <v>21266.28</v>
      </c>
      <c r="K642" s="59">
        <f>(F642-D642)/7</f>
        <v/>
      </c>
      <c r="L642" s="59">
        <f>K642^2</f>
        <v/>
      </c>
      <c r="M642" s="14">
        <f>IF(F642&lt;=E642,1,0)</f>
        <v/>
      </c>
      <c r="N642" s="14">
        <f>MAX(0,F642-E642)</f>
        <v/>
      </c>
    </row>
    <row r="643">
      <c r="A643" s="14" t="inlineStr">
        <is>
          <t>PO-00642</t>
        </is>
      </c>
      <c r="B643" s="14" t="inlineStr">
        <is>
          <t>S02</t>
        </is>
      </c>
      <c r="C643" s="14" t="inlineStr">
        <is>
          <t>NB-0025</t>
        </is>
      </c>
      <c r="D643" s="26" t="n">
        <v>45770</v>
      </c>
      <c r="E643" s="26" t="n">
        <v>45791</v>
      </c>
      <c r="F643" s="26" t="n">
        <v>45788</v>
      </c>
      <c r="G643" s="14" t="n">
        <v>281</v>
      </c>
      <c r="H643" s="14" t="n">
        <v>281</v>
      </c>
      <c r="I643" s="14" t="n">
        <v>2</v>
      </c>
      <c r="J643" s="58" t="n">
        <v>20535.48</v>
      </c>
      <c r="K643" s="59">
        <f>(F643-D643)/7</f>
        <v/>
      </c>
      <c r="L643" s="59">
        <f>K643^2</f>
        <v/>
      </c>
      <c r="M643" s="14">
        <f>IF(F643&lt;=E643,1,0)</f>
        <v/>
      </c>
      <c r="N643" s="14">
        <f>MAX(0,F643-E643)</f>
        <v/>
      </c>
    </row>
    <row r="644">
      <c r="A644" s="14" t="inlineStr">
        <is>
          <t>PO-00643</t>
        </is>
      </c>
      <c r="B644" s="14" t="inlineStr">
        <is>
          <t>S02</t>
        </is>
      </c>
      <c r="C644" s="14" t="inlineStr">
        <is>
          <t>NB-0025</t>
        </is>
      </c>
      <c r="D644" s="26" t="n">
        <v>45796</v>
      </c>
      <c r="E644" s="26" t="n">
        <v>45817</v>
      </c>
      <c r="F644" s="26" t="n">
        <v>45817</v>
      </c>
      <c r="G644" s="14" t="n">
        <v>299</v>
      </c>
      <c r="H644" s="14" t="n">
        <v>299</v>
      </c>
      <c r="I644" s="14" t="n">
        <v>3</v>
      </c>
      <c r="J644" s="58" t="n">
        <v>21850.92</v>
      </c>
      <c r="K644" s="59">
        <f>(F644-D644)/7</f>
        <v/>
      </c>
      <c r="L644" s="59">
        <f>K644^2</f>
        <v/>
      </c>
      <c r="M644" s="14">
        <f>IF(F644&lt;=E644,1,0)</f>
        <v/>
      </c>
      <c r="N644" s="14">
        <f>MAX(0,F644-E644)</f>
        <v/>
      </c>
    </row>
    <row r="645">
      <c r="A645" s="14" t="inlineStr">
        <is>
          <t>PO-00644</t>
        </is>
      </c>
      <c r="B645" s="14" t="inlineStr">
        <is>
          <t>S02</t>
        </is>
      </c>
      <c r="C645" s="14" t="inlineStr">
        <is>
          <t>NB-0025</t>
        </is>
      </c>
      <c r="D645" s="26" t="n">
        <v>45824</v>
      </c>
      <c r="E645" s="26" t="n">
        <v>45845</v>
      </c>
      <c r="F645" s="26" t="n">
        <v>45844</v>
      </c>
      <c r="G645" s="14" t="n">
        <v>309</v>
      </c>
      <c r="H645" s="14" t="n">
        <v>309</v>
      </c>
      <c r="I645" s="14" t="n">
        <v>4</v>
      </c>
      <c r="J645" s="58" t="n">
        <v>22581.72</v>
      </c>
      <c r="K645" s="59">
        <f>(F645-D645)/7</f>
        <v/>
      </c>
      <c r="L645" s="59">
        <f>K645^2</f>
        <v/>
      </c>
      <c r="M645" s="14">
        <f>IF(F645&lt;=E645,1,0)</f>
        <v/>
      </c>
      <c r="N645" s="14">
        <f>MAX(0,F645-E645)</f>
        <v/>
      </c>
    </row>
    <row r="646">
      <c r="A646" s="14" t="inlineStr">
        <is>
          <t>PO-00645</t>
        </is>
      </c>
      <c r="B646" s="14" t="inlineStr">
        <is>
          <t>S02</t>
        </is>
      </c>
      <c r="C646" s="14" t="inlineStr">
        <is>
          <t>NB-0025</t>
        </is>
      </c>
      <c r="D646" s="26" t="n">
        <v>45854</v>
      </c>
      <c r="E646" s="26" t="n">
        <v>45875</v>
      </c>
      <c r="F646" s="26" t="n">
        <v>45875</v>
      </c>
      <c r="G646" s="14" t="n">
        <v>252</v>
      </c>
      <c r="H646" s="14" t="n">
        <v>252</v>
      </c>
      <c r="I646" s="14" t="n">
        <v>2</v>
      </c>
      <c r="J646" s="58" t="n">
        <v>18416.16</v>
      </c>
      <c r="K646" s="59">
        <f>(F646-D646)/7</f>
        <v/>
      </c>
      <c r="L646" s="59">
        <f>K646^2</f>
        <v/>
      </c>
      <c r="M646" s="14">
        <f>IF(F646&lt;=E646,1,0)</f>
        <v/>
      </c>
      <c r="N646" s="14">
        <f>MAX(0,F646-E646)</f>
        <v/>
      </c>
    </row>
    <row r="647">
      <c r="A647" s="14" t="inlineStr">
        <is>
          <t>PO-00646</t>
        </is>
      </c>
      <c r="B647" s="14" t="inlineStr">
        <is>
          <t>S02</t>
        </is>
      </c>
      <c r="C647" s="14" t="inlineStr">
        <is>
          <t>NB-0025</t>
        </is>
      </c>
      <c r="D647" s="26" t="n">
        <v>45881</v>
      </c>
      <c r="E647" s="26" t="n">
        <v>45902</v>
      </c>
      <c r="F647" s="26" t="n">
        <v>45899</v>
      </c>
      <c r="G647" s="14" t="n">
        <v>259</v>
      </c>
      <c r="H647" s="14" t="n">
        <v>259</v>
      </c>
      <c r="I647" s="14" t="n">
        <v>1</v>
      </c>
      <c r="J647" s="58" t="n">
        <v>18927.72</v>
      </c>
      <c r="K647" s="59">
        <f>(F647-D647)/7</f>
        <v/>
      </c>
      <c r="L647" s="59">
        <f>K647^2</f>
        <v/>
      </c>
      <c r="M647" s="14">
        <f>IF(F647&lt;=E647,1,0)</f>
        <v/>
      </c>
      <c r="N647" s="14">
        <f>MAX(0,F647-E647)</f>
        <v/>
      </c>
    </row>
    <row r="648">
      <c r="A648" s="14" t="inlineStr">
        <is>
          <t>PO-00647</t>
        </is>
      </c>
      <c r="B648" s="14" t="inlineStr">
        <is>
          <t>S02</t>
        </is>
      </c>
      <c r="C648" s="14" t="inlineStr">
        <is>
          <t>NB-0025</t>
        </is>
      </c>
      <c r="D648" s="26" t="n">
        <v>45912</v>
      </c>
      <c r="E648" s="26" t="n">
        <v>45933</v>
      </c>
      <c r="F648" s="26" t="n">
        <v>45932</v>
      </c>
      <c r="G648" s="14" t="n">
        <v>298</v>
      </c>
      <c r="H648" s="14" t="n">
        <v>298</v>
      </c>
      <c r="I648" s="14" t="n">
        <v>2</v>
      </c>
      <c r="J648" s="58" t="n">
        <v>21777.84</v>
      </c>
      <c r="K648" s="59">
        <f>(F648-D648)/7</f>
        <v/>
      </c>
      <c r="L648" s="59">
        <f>K648^2</f>
        <v/>
      </c>
      <c r="M648" s="14">
        <f>IF(F648&lt;=E648,1,0)</f>
        <v/>
      </c>
      <c r="N648" s="14">
        <f>MAX(0,F648-E648)</f>
        <v/>
      </c>
    </row>
    <row r="649">
      <c r="A649" s="14" t="inlineStr">
        <is>
          <t>PO-00648</t>
        </is>
      </c>
      <c r="B649" s="14" t="inlineStr">
        <is>
          <t>S02</t>
        </is>
      </c>
      <c r="C649" s="14" t="inlineStr">
        <is>
          <t>NB-0025</t>
        </is>
      </c>
      <c r="D649" s="26" t="n">
        <v>45938</v>
      </c>
      <c r="E649" s="26" t="n">
        <v>45959</v>
      </c>
      <c r="F649" s="26" t="n">
        <v>45959</v>
      </c>
      <c r="G649" s="14" t="n">
        <v>241</v>
      </c>
      <c r="H649" s="14" t="n">
        <v>241</v>
      </c>
      <c r="I649" s="14" t="n">
        <v>0</v>
      </c>
      <c r="J649" s="58" t="n">
        <v>17612.28</v>
      </c>
      <c r="K649" s="59">
        <f>(F649-D649)/7</f>
        <v/>
      </c>
      <c r="L649" s="59">
        <f>K649^2</f>
        <v/>
      </c>
      <c r="M649" s="14">
        <f>IF(F649&lt;=E649,1,0)</f>
        <v/>
      </c>
      <c r="N649" s="14">
        <f>MAX(0,F649-E649)</f>
        <v/>
      </c>
    </row>
    <row r="650">
      <c r="A650" s="14" t="inlineStr">
        <is>
          <t>PO-00649</t>
        </is>
      </c>
      <c r="B650" s="14" t="inlineStr">
        <is>
          <t>S02</t>
        </is>
      </c>
      <c r="C650" s="14" t="inlineStr">
        <is>
          <t>NB-0025</t>
        </is>
      </c>
      <c r="D650" s="26" t="n">
        <v>45964</v>
      </c>
      <c r="E650" s="26" t="n">
        <v>45985</v>
      </c>
      <c r="F650" s="26" t="n">
        <v>45985</v>
      </c>
      <c r="G650" s="14" t="n">
        <v>248</v>
      </c>
      <c r="H650" s="14" t="n">
        <v>236</v>
      </c>
      <c r="I650" s="14" t="n">
        <v>3</v>
      </c>
      <c r="J650" s="58" t="n">
        <v>18123.84</v>
      </c>
      <c r="K650" s="59">
        <f>(F650-D650)/7</f>
        <v/>
      </c>
      <c r="L650" s="59">
        <f>K650^2</f>
        <v/>
      </c>
      <c r="M650" s="14">
        <f>IF(F650&lt;=E650,1,0)</f>
        <v/>
      </c>
      <c r="N650" s="14">
        <f>MAX(0,F650-E650)</f>
        <v/>
      </c>
    </row>
    <row r="651">
      <c r="A651" s="14" t="inlineStr">
        <is>
          <t>PO-00650</t>
        </is>
      </c>
      <c r="B651" s="14" t="inlineStr">
        <is>
          <t>S02</t>
        </is>
      </c>
      <c r="C651" s="14" t="inlineStr">
        <is>
          <t>NB-0025</t>
        </is>
      </c>
      <c r="D651" s="26" t="n">
        <v>45994</v>
      </c>
      <c r="E651" s="26" t="n">
        <v>46015</v>
      </c>
      <c r="F651" s="26" t="n">
        <v>46014</v>
      </c>
      <c r="G651" s="14" t="n">
        <v>311</v>
      </c>
      <c r="H651" s="14" t="n">
        <v>311</v>
      </c>
      <c r="I651" s="14" t="n">
        <v>5</v>
      </c>
      <c r="J651" s="58" t="n">
        <v>22727.88</v>
      </c>
      <c r="K651" s="59">
        <f>(F651-D651)/7</f>
        <v/>
      </c>
      <c r="L651" s="59">
        <f>K651^2</f>
        <v/>
      </c>
      <c r="M651" s="14">
        <f>IF(F651&lt;=E651,1,0)</f>
        <v/>
      </c>
      <c r="N651" s="14">
        <f>MAX(0,F651-E651)</f>
        <v/>
      </c>
    </row>
    <row r="652">
      <c r="A652" s="14" t="inlineStr">
        <is>
          <t>PO-00651</t>
        </is>
      </c>
      <c r="B652" s="14" t="inlineStr">
        <is>
          <t>S02</t>
        </is>
      </c>
      <c r="C652" s="14" t="inlineStr">
        <is>
          <t>NB-0026</t>
        </is>
      </c>
      <c r="D652" s="26" t="n">
        <v>45296</v>
      </c>
      <c r="E652" s="26" t="n">
        <v>45317</v>
      </c>
      <c r="F652" s="26" t="n">
        <v>45315</v>
      </c>
      <c r="G652" s="14" t="n">
        <v>463</v>
      </c>
      <c r="H652" s="14" t="n">
        <v>463</v>
      </c>
      <c r="I652" s="14" t="n">
        <v>4</v>
      </c>
      <c r="J652" s="58" t="n">
        <v>44295.21</v>
      </c>
      <c r="K652" s="59">
        <f>(F652-D652)/7</f>
        <v/>
      </c>
      <c r="L652" s="59">
        <f>K652^2</f>
        <v/>
      </c>
      <c r="M652" s="14">
        <f>IF(F652&lt;=E652,1,0)</f>
        <v/>
      </c>
      <c r="N652" s="14">
        <f>MAX(0,F652-E652)</f>
        <v/>
      </c>
    </row>
    <row r="653">
      <c r="A653" s="14" t="inlineStr">
        <is>
          <t>PO-00652</t>
        </is>
      </c>
      <c r="B653" s="14" t="inlineStr">
        <is>
          <t>S02</t>
        </is>
      </c>
      <c r="C653" s="14" t="inlineStr">
        <is>
          <t>NB-0026</t>
        </is>
      </c>
      <c r="D653" s="26" t="n">
        <v>45324</v>
      </c>
      <c r="E653" s="26" t="n">
        <v>45345</v>
      </c>
      <c r="F653" s="26" t="n">
        <v>45345</v>
      </c>
      <c r="G653" s="14" t="n">
        <v>456</v>
      </c>
      <c r="H653" s="14" t="n">
        <v>456</v>
      </c>
      <c r="I653" s="14" t="n">
        <v>4</v>
      </c>
      <c r="J653" s="58" t="n">
        <v>43625.52</v>
      </c>
      <c r="K653" s="59">
        <f>(F653-D653)/7</f>
        <v/>
      </c>
      <c r="L653" s="59">
        <f>K653^2</f>
        <v/>
      </c>
      <c r="M653" s="14">
        <f>IF(F653&lt;=E653,1,0)</f>
        <v/>
      </c>
      <c r="N653" s="14">
        <f>MAX(0,F653-E653)</f>
        <v/>
      </c>
    </row>
    <row r="654">
      <c r="A654" s="14" t="inlineStr">
        <is>
          <t>PO-00653</t>
        </is>
      </c>
      <c r="B654" s="14" t="inlineStr">
        <is>
          <t>S02</t>
        </is>
      </c>
      <c r="C654" s="14" t="inlineStr">
        <is>
          <t>NB-0026</t>
        </is>
      </c>
      <c r="D654" s="26" t="n">
        <v>45350</v>
      </c>
      <c r="E654" s="26" t="n">
        <v>45371</v>
      </c>
      <c r="F654" s="26" t="n">
        <v>45371</v>
      </c>
      <c r="G654" s="14" t="n">
        <v>454</v>
      </c>
      <c r="H654" s="14" t="n">
        <v>454</v>
      </c>
      <c r="I654" s="14" t="n">
        <v>1</v>
      </c>
      <c r="J654" s="58" t="n">
        <v>43434.18</v>
      </c>
      <c r="K654" s="59">
        <f>(F654-D654)/7</f>
        <v/>
      </c>
      <c r="L654" s="59">
        <f>K654^2</f>
        <v/>
      </c>
      <c r="M654" s="14">
        <f>IF(F654&lt;=E654,1,0)</f>
        <v/>
      </c>
      <c r="N654" s="14">
        <f>MAX(0,F654-E654)</f>
        <v/>
      </c>
    </row>
    <row r="655">
      <c r="A655" s="14" t="inlineStr">
        <is>
          <t>PO-00654</t>
        </is>
      </c>
      <c r="B655" s="14" t="inlineStr">
        <is>
          <t>S02</t>
        </is>
      </c>
      <c r="C655" s="14" t="inlineStr">
        <is>
          <t>NB-0026</t>
        </is>
      </c>
      <c r="D655" s="26" t="n">
        <v>45379</v>
      </c>
      <c r="E655" s="26" t="n">
        <v>45400</v>
      </c>
      <c r="F655" s="26" t="n">
        <v>45398</v>
      </c>
      <c r="G655" s="14" t="n">
        <v>464</v>
      </c>
      <c r="H655" s="14" t="n">
        <v>464</v>
      </c>
      <c r="I655" s="14" t="n">
        <v>3</v>
      </c>
      <c r="J655" s="58" t="n">
        <v>44390.88</v>
      </c>
      <c r="K655" s="59">
        <f>(F655-D655)/7</f>
        <v/>
      </c>
      <c r="L655" s="59">
        <f>K655^2</f>
        <v/>
      </c>
      <c r="M655" s="14">
        <f>IF(F655&lt;=E655,1,0)</f>
        <v/>
      </c>
      <c r="N655" s="14">
        <f>MAX(0,F655-E655)</f>
        <v/>
      </c>
    </row>
    <row r="656">
      <c r="A656" s="14" t="inlineStr">
        <is>
          <t>PO-00655</t>
        </is>
      </c>
      <c r="B656" s="14" t="inlineStr">
        <is>
          <t>S02</t>
        </is>
      </c>
      <c r="C656" s="14" t="inlineStr">
        <is>
          <t>NB-0026</t>
        </is>
      </c>
      <c r="D656" s="26" t="n">
        <v>45406</v>
      </c>
      <c r="E656" s="26" t="n">
        <v>45427</v>
      </c>
      <c r="F656" s="26" t="n">
        <v>45425</v>
      </c>
      <c r="G656" s="14" t="n">
        <v>387</v>
      </c>
      <c r="H656" s="14" t="n">
        <v>387</v>
      </c>
      <c r="I656" s="14" t="n">
        <v>1</v>
      </c>
      <c r="J656" s="58" t="n">
        <v>37024.29</v>
      </c>
      <c r="K656" s="59">
        <f>(F656-D656)/7</f>
        <v/>
      </c>
      <c r="L656" s="59">
        <f>K656^2</f>
        <v/>
      </c>
      <c r="M656" s="14">
        <f>IF(F656&lt;=E656,1,0)</f>
        <v/>
      </c>
      <c r="N656" s="14">
        <f>MAX(0,F656-E656)</f>
        <v/>
      </c>
    </row>
    <row r="657">
      <c r="A657" s="14" t="inlineStr">
        <is>
          <t>PO-00656</t>
        </is>
      </c>
      <c r="B657" s="14" t="inlineStr">
        <is>
          <t>S02</t>
        </is>
      </c>
      <c r="C657" s="14" t="inlineStr">
        <is>
          <t>NB-0026</t>
        </is>
      </c>
      <c r="D657" s="26" t="n">
        <v>45435</v>
      </c>
      <c r="E657" s="26" t="n">
        <v>45456</v>
      </c>
      <c r="F657" s="26" t="n">
        <v>45455</v>
      </c>
      <c r="G657" s="14" t="n">
        <v>428</v>
      </c>
      <c r="H657" s="14" t="n">
        <v>428</v>
      </c>
      <c r="I657" s="14" t="n">
        <v>3</v>
      </c>
      <c r="J657" s="58" t="n">
        <v>40946.76</v>
      </c>
      <c r="K657" s="59">
        <f>(F657-D657)/7</f>
        <v/>
      </c>
      <c r="L657" s="59">
        <f>K657^2</f>
        <v/>
      </c>
      <c r="M657" s="14">
        <f>IF(F657&lt;=E657,1,0)</f>
        <v/>
      </c>
      <c r="N657" s="14">
        <f>MAX(0,F657-E657)</f>
        <v/>
      </c>
    </row>
    <row r="658">
      <c r="A658" s="14" t="inlineStr">
        <is>
          <t>PO-00657</t>
        </is>
      </c>
      <c r="B658" s="14" t="inlineStr">
        <is>
          <t>S02</t>
        </is>
      </c>
      <c r="C658" s="14" t="inlineStr">
        <is>
          <t>NB-0026</t>
        </is>
      </c>
      <c r="D658" s="26" t="n">
        <v>45460</v>
      </c>
      <c r="E658" s="26" t="n">
        <v>45481</v>
      </c>
      <c r="F658" s="26" t="n">
        <v>45479</v>
      </c>
      <c r="G658" s="14" t="n">
        <v>440</v>
      </c>
      <c r="H658" s="14" t="n">
        <v>440</v>
      </c>
      <c r="I658" s="14" t="n">
        <v>4</v>
      </c>
      <c r="J658" s="58" t="n">
        <v>42094.8</v>
      </c>
      <c r="K658" s="59">
        <f>(F658-D658)/7</f>
        <v/>
      </c>
      <c r="L658" s="59">
        <f>K658^2</f>
        <v/>
      </c>
      <c r="M658" s="14">
        <f>IF(F658&lt;=E658,1,0)</f>
        <v/>
      </c>
      <c r="N658" s="14">
        <f>MAX(0,F658-E658)</f>
        <v/>
      </c>
    </row>
    <row r="659">
      <c r="A659" s="14" t="inlineStr">
        <is>
          <t>PO-00658</t>
        </is>
      </c>
      <c r="B659" s="14" t="inlineStr">
        <is>
          <t>S02</t>
        </is>
      </c>
      <c r="C659" s="14" t="inlineStr">
        <is>
          <t>NB-0026</t>
        </is>
      </c>
      <c r="D659" s="26" t="n">
        <v>45492</v>
      </c>
      <c r="E659" s="26" t="n">
        <v>45513</v>
      </c>
      <c r="F659" s="26" t="n">
        <v>45513</v>
      </c>
      <c r="G659" s="14" t="n">
        <v>467</v>
      </c>
      <c r="H659" s="14" t="n">
        <v>467</v>
      </c>
      <c r="I659" s="14" t="n">
        <v>3</v>
      </c>
      <c r="J659" s="58" t="n">
        <v>44677.89</v>
      </c>
      <c r="K659" s="59">
        <f>(F659-D659)/7</f>
        <v/>
      </c>
      <c r="L659" s="59">
        <f>K659^2</f>
        <v/>
      </c>
      <c r="M659" s="14">
        <f>IF(F659&lt;=E659,1,0)</f>
        <v/>
      </c>
      <c r="N659" s="14">
        <f>MAX(0,F659-E659)</f>
        <v/>
      </c>
    </row>
    <row r="660">
      <c r="A660" s="14" t="inlineStr">
        <is>
          <t>PO-00659</t>
        </is>
      </c>
      <c r="B660" s="14" t="inlineStr">
        <is>
          <t>S02</t>
        </is>
      </c>
      <c r="C660" s="14" t="inlineStr">
        <is>
          <t>NB-0026</t>
        </is>
      </c>
      <c r="D660" s="26" t="n">
        <v>45516</v>
      </c>
      <c r="E660" s="26" t="n">
        <v>45537</v>
      </c>
      <c r="F660" s="26" t="n">
        <v>45536</v>
      </c>
      <c r="G660" s="14" t="n">
        <v>408</v>
      </c>
      <c r="H660" s="14" t="n">
        <v>408</v>
      </c>
      <c r="I660" s="14" t="n">
        <v>1</v>
      </c>
      <c r="J660" s="58" t="n">
        <v>39033.36</v>
      </c>
      <c r="K660" s="59">
        <f>(F660-D660)/7</f>
        <v/>
      </c>
      <c r="L660" s="59">
        <f>K660^2</f>
        <v/>
      </c>
      <c r="M660" s="14">
        <f>IF(F660&lt;=E660,1,0)</f>
        <v/>
      </c>
      <c r="N660" s="14">
        <f>MAX(0,F660-E660)</f>
        <v/>
      </c>
    </row>
    <row r="661">
      <c r="A661" s="14" t="inlineStr">
        <is>
          <t>PO-00660</t>
        </is>
      </c>
      <c r="B661" s="14" t="inlineStr">
        <is>
          <t>S02</t>
        </is>
      </c>
      <c r="C661" s="14" t="inlineStr">
        <is>
          <t>NB-0026</t>
        </is>
      </c>
      <c r="D661" s="26" t="n">
        <v>45548</v>
      </c>
      <c r="E661" s="26" t="n">
        <v>45569</v>
      </c>
      <c r="F661" s="26" t="n">
        <v>45566</v>
      </c>
      <c r="G661" s="14" t="n">
        <v>362</v>
      </c>
      <c r="H661" s="14" t="n">
        <v>362</v>
      </c>
      <c r="I661" s="14" t="n">
        <v>2</v>
      </c>
      <c r="J661" s="58" t="n">
        <v>34632.54</v>
      </c>
      <c r="K661" s="59">
        <f>(F661-D661)/7</f>
        <v/>
      </c>
      <c r="L661" s="59">
        <f>K661^2</f>
        <v/>
      </c>
      <c r="M661" s="14">
        <f>IF(F661&lt;=E661,1,0)</f>
        <v/>
      </c>
      <c r="N661" s="14">
        <f>MAX(0,F661-E661)</f>
        <v/>
      </c>
    </row>
    <row r="662">
      <c r="A662" s="14" t="inlineStr">
        <is>
          <t>PO-00661</t>
        </is>
      </c>
      <c r="B662" s="14" t="inlineStr">
        <is>
          <t>S02</t>
        </is>
      </c>
      <c r="C662" s="14" t="inlineStr">
        <is>
          <t>NB-0026</t>
        </is>
      </c>
      <c r="D662" s="26" t="n">
        <v>45573</v>
      </c>
      <c r="E662" s="26" t="n">
        <v>45594</v>
      </c>
      <c r="F662" s="26" t="n">
        <v>45593</v>
      </c>
      <c r="G662" s="14" t="n">
        <v>342</v>
      </c>
      <c r="H662" s="14" t="n">
        <v>342</v>
      </c>
      <c r="I662" s="14" t="n">
        <v>2</v>
      </c>
      <c r="J662" s="58" t="n">
        <v>32719.14</v>
      </c>
      <c r="K662" s="59">
        <f>(F662-D662)/7</f>
        <v/>
      </c>
      <c r="L662" s="59">
        <f>K662^2</f>
        <v/>
      </c>
      <c r="M662" s="14">
        <f>IF(F662&lt;=E662,1,0)</f>
        <v/>
      </c>
      <c r="N662" s="14">
        <f>MAX(0,F662-E662)</f>
        <v/>
      </c>
    </row>
    <row r="663">
      <c r="A663" s="14" t="inlineStr">
        <is>
          <t>PO-00662</t>
        </is>
      </c>
      <c r="B663" s="14" t="inlineStr">
        <is>
          <t>S02</t>
        </is>
      </c>
      <c r="C663" s="14" t="inlineStr">
        <is>
          <t>NB-0026</t>
        </is>
      </c>
      <c r="D663" s="26" t="n">
        <v>45600</v>
      </c>
      <c r="E663" s="26" t="n">
        <v>45621</v>
      </c>
      <c r="F663" s="26" t="n">
        <v>45621</v>
      </c>
      <c r="G663" s="14" t="n">
        <v>422</v>
      </c>
      <c r="H663" s="14" t="n">
        <v>401</v>
      </c>
      <c r="I663" s="14" t="n">
        <v>0</v>
      </c>
      <c r="J663" s="58" t="n">
        <v>40372.74</v>
      </c>
      <c r="K663" s="59">
        <f>(F663-D663)/7</f>
        <v/>
      </c>
      <c r="L663" s="59">
        <f>K663^2</f>
        <v/>
      </c>
      <c r="M663" s="14">
        <f>IF(F663&lt;=E663,1,0)</f>
        <v/>
      </c>
      <c r="N663" s="14">
        <f>MAX(0,F663-E663)</f>
        <v/>
      </c>
    </row>
    <row r="664">
      <c r="A664" s="14" t="inlineStr">
        <is>
          <t>PO-00663</t>
        </is>
      </c>
      <c r="B664" s="14" t="inlineStr">
        <is>
          <t>S02</t>
        </is>
      </c>
      <c r="C664" s="14" t="inlineStr">
        <is>
          <t>NB-0026</t>
        </is>
      </c>
      <c r="D664" s="26" t="n">
        <v>45632</v>
      </c>
      <c r="E664" s="26" t="n">
        <v>45653</v>
      </c>
      <c r="F664" s="26" t="n">
        <v>45653</v>
      </c>
      <c r="G664" s="14" t="n">
        <v>375</v>
      </c>
      <c r="H664" s="14" t="n">
        <v>375</v>
      </c>
      <c r="I664" s="14" t="n">
        <v>2</v>
      </c>
      <c r="J664" s="58" t="n">
        <v>35876.25</v>
      </c>
      <c r="K664" s="59">
        <f>(F664-D664)/7</f>
        <v/>
      </c>
      <c r="L664" s="59">
        <f>K664^2</f>
        <v/>
      </c>
      <c r="M664" s="14">
        <f>IF(F664&lt;=E664,1,0)</f>
        <v/>
      </c>
      <c r="N664" s="14">
        <f>MAX(0,F664-E664)</f>
        <v/>
      </c>
    </row>
    <row r="665">
      <c r="A665" s="14" t="inlineStr">
        <is>
          <t>PO-00664</t>
        </is>
      </c>
      <c r="B665" s="14" t="inlineStr">
        <is>
          <t>S02</t>
        </is>
      </c>
      <c r="C665" s="14" t="inlineStr">
        <is>
          <t>NB-0026</t>
        </is>
      </c>
      <c r="D665" s="26" t="n">
        <v>45659</v>
      </c>
      <c r="E665" s="26" t="n">
        <v>45680</v>
      </c>
      <c r="F665" s="26" t="n">
        <v>45684</v>
      </c>
      <c r="G665" s="14" t="n">
        <v>432</v>
      </c>
      <c r="H665" s="14" t="n">
        <v>395</v>
      </c>
      <c r="I665" s="14" t="n">
        <v>1</v>
      </c>
      <c r="J665" s="58" t="n">
        <v>41329.44</v>
      </c>
      <c r="K665" s="59">
        <f>(F665-D665)/7</f>
        <v/>
      </c>
      <c r="L665" s="59">
        <f>K665^2</f>
        <v/>
      </c>
      <c r="M665" s="14">
        <f>IF(F665&lt;=E665,1,0)</f>
        <v/>
      </c>
      <c r="N665" s="14">
        <f>MAX(0,F665-E665)</f>
        <v/>
      </c>
    </row>
    <row r="666">
      <c r="A666" s="14" t="inlineStr">
        <is>
          <t>PO-00665</t>
        </is>
      </c>
      <c r="B666" s="14" t="inlineStr">
        <is>
          <t>S02</t>
        </is>
      </c>
      <c r="C666" s="14" t="inlineStr">
        <is>
          <t>NB-0026</t>
        </is>
      </c>
      <c r="D666" s="26" t="n">
        <v>45687</v>
      </c>
      <c r="E666" s="26" t="n">
        <v>45708</v>
      </c>
      <c r="F666" s="26" t="n">
        <v>45708</v>
      </c>
      <c r="G666" s="14" t="n">
        <v>415</v>
      </c>
      <c r="H666" s="14" t="n">
        <v>395</v>
      </c>
      <c r="I666" s="14" t="n">
        <v>3</v>
      </c>
      <c r="J666" s="58" t="n">
        <v>39703.05</v>
      </c>
      <c r="K666" s="59">
        <f>(F666-D666)/7</f>
        <v/>
      </c>
      <c r="L666" s="59">
        <f>K666^2</f>
        <v/>
      </c>
      <c r="M666" s="14">
        <f>IF(F666&lt;=E666,1,0)</f>
        <v/>
      </c>
      <c r="N666" s="14">
        <f>MAX(0,F666-E666)</f>
        <v/>
      </c>
    </row>
    <row r="667">
      <c r="A667" s="14" t="inlineStr">
        <is>
          <t>PO-00666</t>
        </is>
      </c>
      <c r="B667" s="14" t="inlineStr">
        <is>
          <t>S02</t>
        </is>
      </c>
      <c r="C667" s="14" t="inlineStr">
        <is>
          <t>NB-0026</t>
        </is>
      </c>
      <c r="D667" s="26" t="n">
        <v>45715</v>
      </c>
      <c r="E667" s="26" t="n">
        <v>45736</v>
      </c>
      <c r="F667" s="26" t="n">
        <v>45733</v>
      </c>
      <c r="G667" s="14" t="n">
        <v>367</v>
      </c>
      <c r="H667" s="14" t="n">
        <v>367</v>
      </c>
      <c r="I667" s="14" t="n">
        <v>1</v>
      </c>
      <c r="J667" s="58" t="n">
        <v>35110.89</v>
      </c>
      <c r="K667" s="59">
        <f>(F667-D667)/7</f>
        <v/>
      </c>
      <c r="L667" s="59">
        <f>K667^2</f>
        <v/>
      </c>
      <c r="M667" s="14">
        <f>IF(F667&lt;=E667,1,0)</f>
        <v/>
      </c>
      <c r="N667" s="14">
        <f>MAX(0,F667-E667)</f>
        <v/>
      </c>
    </row>
    <row r="668">
      <c r="A668" s="14" t="inlineStr">
        <is>
          <t>PO-00667</t>
        </is>
      </c>
      <c r="B668" s="14" t="inlineStr">
        <is>
          <t>S02</t>
        </is>
      </c>
      <c r="C668" s="14" t="inlineStr">
        <is>
          <t>NB-0026</t>
        </is>
      </c>
      <c r="D668" s="26" t="n">
        <v>45742</v>
      </c>
      <c r="E668" s="26" t="n">
        <v>45763</v>
      </c>
      <c r="F668" s="26" t="n">
        <v>45762</v>
      </c>
      <c r="G668" s="14" t="n">
        <v>377</v>
      </c>
      <c r="H668" s="14" t="n">
        <v>377</v>
      </c>
      <c r="I668" s="14" t="n">
        <v>4</v>
      </c>
      <c r="J668" s="58" t="n">
        <v>36067.59</v>
      </c>
      <c r="K668" s="59">
        <f>(F668-D668)/7</f>
        <v/>
      </c>
      <c r="L668" s="59">
        <f>K668^2</f>
        <v/>
      </c>
      <c r="M668" s="14">
        <f>IF(F668&lt;=E668,1,0)</f>
        <v/>
      </c>
      <c r="N668" s="14">
        <f>MAX(0,F668-E668)</f>
        <v/>
      </c>
    </row>
    <row r="669">
      <c r="A669" s="14" t="inlineStr">
        <is>
          <t>PO-00668</t>
        </is>
      </c>
      <c r="B669" s="14" t="inlineStr">
        <is>
          <t>S02</t>
        </is>
      </c>
      <c r="C669" s="14" t="inlineStr">
        <is>
          <t>NB-0026</t>
        </is>
      </c>
      <c r="D669" s="26" t="n">
        <v>45768</v>
      </c>
      <c r="E669" s="26" t="n">
        <v>45789</v>
      </c>
      <c r="F669" s="26" t="n">
        <v>45795</v>
      </c>
      <c r="G669" s="14" t="n">
        <v>380</v>
      </c>
      <c r="H669" s="14" t="n">
        <v>380</v>
      </c>
      <c r="I669" s="14" t="n">
        <v>4</v>
      </c>
      <c r="J669" s="58" t="n">
        <v>36354.6</v>
      </c>
      <c r="K669" s="59">
        <f>(F669-D669)/7</f>
        <v/>
      </c>
      <c r="L669" s="59">
        <f>K669^2</f>
        <v/>
      </c>
      <c r="M669" s="14">
        <f>IF(F669&lt;=E669,1,0)</f>
        <v/>
      </c>
      <c r="N669" s="14">
        <f>MAX(0,F669-E669)</f>
        <v/>
      </c>
    </row>
    <row r="670">
      <c r="A670" s="14" t="inlineStr">
        <is>
          <t>PO-00669</t>
        </is>
      </c>
      <c r="B670" s="14" t="inlineStr">
        <is>
          <t>S02</t>
        </is>
      </c>
      <c r="C670" s="14" t="inlineStr">
        <is>
          <t>NB-0026</t>
        </is>
      </c>
      <c r="D670" s="26" t="n">
        <v>45799</v>
      </c>
      <c r="E670" s="26" t="n">
        <v>45820</v>
      </c>
      <c r="F670" s="26" t="n">
        <v>45817</v>
      </c>
      <c r="G670" s="14" t="n">
        <v>394</v>
      </c>
      <c r="H670" s="14" t="n">
        <v>394</v>
      </c>
      <c r="I670" s="14" t="n">
        <v>3</v>
      </c>
      <c r="J670" s="58" t="n">
        <v>37693.98</v>
      </c>
      <c r="K670" s="59">
        <f>(F670-D670)/7</f>
        <v/>
      </c>
      <c r="L670" s="59">
        <f>K670^2</f>
        <v/>
      </c>
      <c r="M670" s="14">
        <f>IF(F670&lt;=E670,1,0)</f>
        <v/>
      </c>
      <c r="N670" s="14">
        <f>MAX(0,F670-E670)</f>
        <v/>
      </c>
    </row>
    <row r="671">
      <c r="A671" s="14" t="inlineStr">
        <is>
          <t>PO-00670</t>
        </is>
      </c>
      <c r="B671" s="14" t="inlineStr">
        <is>
          <t>S02</t>
        </is>
      </c>
      <c r="C671" s="14" t="inlineStr">
        <is>
          <t>NB-0026</t>
        </is>
      </c>
      <c r="D671" s="26" t="n">
        <v>45825</v>
      </c>
      <c r="E671" s="26" t="n">
        <v>45846</v>
      </c>
      <c r="F671" s="26" t="n">
        <v>45843</v>
      </c>
      <c r="G671" s="14" t="n">
        <v>389</v>
      </c>
      <c r="H671" s="14" t="n">
        <v>389</v>
      </c>
      <c r="I671" s="14" t="n">
        <v>1</v>
      </c>
      <c r="J671" s="58" t="n">
        <v>37215.63</v>
      </c>
      <c r="K671" s="59">
        <f>(F671-D671)/7</f>
        <v/>
      </c>
      <c r="L671" s="59">
        <f>K671^2</f>
        <v/>
      </c>
      <c r="M671" s="14">
        <f>IF(F671&lt;=E671,1,0)</f>
        <v/>
      </c>
      <c r="N671" s="14">
        <f>MAX(0,F671-E671)</f>
        <v/>
      </c>
    </row>
    <row r="672">
      <c r="A672" s="14" t="inlineStr">
        <is>
          <t>PO-00671</t>
        </is>
      </c>
      <c r="B672" s="14" t="inlineStr">
        <is>
          <t>S02</t>
        </is>
      </c>
      <c r="C672" s="14" t="inlineStr">
        <is>
          <t>NB-0026</t>
        </is>
      </c>
      <c r="D672" s="26" t="n">
        <v>45853</v>
      </c>
      <c r="E672" s="26" t="n">
        <v>45874</v>
      </c>
      <c r="F672" s="26" t="n">
        <v>45873</v>
      </c>
      <c r="G672" s="14" t="n">
        <v>452</v>
      </c>
      <c r="H672" s="14" t="n">
        <v>452</v>
      </c>
      <c r="I672" s="14" t="n">
        <v>0</v>
      </c>
      <c r="J672" s="58" t="n">
        <v>43242.84</v>
      </c>
      <c r="K672" s="59">
        <f>(F672-D672)/7</f>
        <v/>
      </c>
      <c r="L672" s="59">
        <f>K672^2</f>
        <v/>
      </c>
      <c r="M672" s="14">
        <f>IF(F672&lt;=E672,1,0)</f>
        <v/>
      </c>
      <c r="N672" s="14">
        <f>MAX(0,F672-E672)</f>
        <v/>
      </c>
    </row>
    <row r="673">
      <c r="A673" s="14" t="inlineStr">
        <is>
          <t>PO-00672</t>
        </is>
      </c>
      <c r="B673" s="14" t="inlineStr">
        <is>
          <t>S02</t>
        </is>
      </c>
      <c r="C673" s="14" t="inlineStr">
        <is>
          <t>NB-0026</t>
        </is>
      </c>
      <c r="D673" s="26" t="n">
        <v>45882</v>
      </c>
      <c r="E673" s="26" t="n">
        <v>45903</v>
      </c>
      <c r="F673" s="26" t="n">
        <v>45901</v>
      </c>
      <c r="G673" s="14" t="n">
        <v>380</v>
      </c>
      <c r="H673" s="14" t="n">
        <v>380</v>
      </c>
      <c r="I673" s="14" t="n">
        <v>5</v>
      </c>
      <c r="J673" s="58" t="n">
        <v>36354.6</v>
      </c>
      <c r="K673" s="59">
        <f>(F673-D673)/7</f>
        <v/>
      </c>
      <c r="L673" s="59">
        <f>K673^2</f>
        <v/>
      </c>
      <c r="M673" s="14">
        <f>IF(F673&lt;=E673,1,0)</f>
        <v/>
      </c>
      <c r="N673" s="14">
        <f>MAX(0,F673-E673)</f>
        <v/>
      </c>
    </row>
    <row r="674">
      <c r="A674" s="14" t="inlineStr">
        <is>
          <t>PO-00673</t>
        </is>
      </c>
      <c r="B674" s="14" t="inlineStr">
        <is>
          <t>S02</t>
        </is>
      </c>
      <c r="C674" s="14" t="inlineStr">
        <is>
          <t>NB-0026</t>
        </is>
      </c>
      <c r="D674" s="26" t="n">
        <v>45910</v>
      </c>
      <c r="E674" s="26" t="n">
        <v>45931</v>
      </c>
      <c r="F674" s="26" t="n">
        <v>45928</v>
      </c>
      <c r="G674" s="14" t="n">
        <v>385</v>
      </c>
      <c r="H674" s="14" t="n">
        <v>385</v>
      </c>
      <c r="I674" s="14" t="n">
        <v>1</v>
      </c>
      <c r="J674" s="58" t="n">
        <v>36832.95</v>
      </c>
      <c r="K674" s="59">
        <f>(F674-D674)/7</f>
        <v/>
      </c>
      <c r="L674" s="59">
        <f>K674^2</f>
        <v/>
      </c>
      <c r="M674" s="14">
        <f>IF(F674&lt;=E674,1,0)</f>
        <v/>
      </c>
      <c r="N674" s="14">
        <f>MAX(0,F674-E674)</f>
        <v/>
      </c>
    </row>
    <row r="675">
      <c r="A675" s="14" t="inlineStr">
        <is>
          <t>PO-00674</t>
        </is>
      </c>
      <c r="B675" s="14" t="inlineStr">
        <is>
          <t>S02</t>
        </is>
      </c>
      <c r="C675" s="14" t="inlineStr">
        <is>
          <t>NB-0026</t>
        </is>
      </c>
      <c r="D675" s="26" t="n">
        <v>45939</v>
      </c>
      <c r="E675" s="26" t="n">
        <v>45960</v>
      </c>
      <c r="F675" s="26" t="n">
        <v>45959</v>
      </c>
      <c r="G675" s="14" t="n">
        <v>465</v>
      </c>
      <c r="H675" s="14" t="n">
        <v>465</v>
      </c>
      <c r="I675" s="14" t="n">
        <v>0</v>
      </c>
      <c r="J675" s="58" t="n">
        <v>44486.55</v>
      </c>
      <c r="K675" s="59">
        <f>(F675-D675)/7</f>
        <v/>
      </c>
      <c r="L675" s="59">
        <f>K675^2</f>
        <v/>
      </c>
      <c r="M675" s="14">
        <f>IF(F675&lt;=E675,1,0)</f>
        <v/>
      </c>
      <c r="N675" s="14">
        <f>MAX(0,F675-E675)</f>
        <v/>
      </c>
    </row>
    <row r="676">
      <c r="A676" s="14" t="inlineStr">
        <is>
          <t>PO-00675</t>
        </is>
      </c>
      <c r="B676" s="14" t="inlineStr">
        <is>
          <t>S02</t>
        </is>
      </c>
      <c r="C676" s="14" t="inlineStr">
        <is>
          <t>NB-0026</t>
        </is>
      </c>
      <c r="D676" s="26" t="n">
        <v>45968</v>
      </c>
      <c r="E676" s="26" t="n">
        <v>45989</v>
      </c>
      <c r="F676" s="26" t="n">
        <v>45993</v>
      </c>
      <c r="G676" s="14" t="n">
        <v>393</v>
      </c>
      <c r="H676" s="14" t="n">
        <v>393</v>
      </c>
      <c r="I676" s="14" t="n">
        <v>3</v>
      </c>
      <c r="J676" s="58" t="n">
        <v>37598.31</v>
      </c>
      <c r="K676" s="59">
        <f>(F676-D676)/7</f>
        <v/>
      </c>
      <c r="L676" s="59">
        <f>K676^2</f>
        <v/>
      </c>
      <c r="M676" s="14">
        <f>IF(F676&lt;=E676,1,0)</f>
        <v/>
      </c>
      <c r="N676" s="14">
        <f>MAX(0,F676-E676)</f>
        <v/>
      </c>
    </row>
    <row r="677">
      <c r="A677" s="14" t="inlineStr">
        <is>
          <t>PO-00676</t>
        </is>
      </c>
      <c r="B677" s="14" t="inlineStr">
        <is>
          <t>S02</t>
        </is>
      </c>
      <c r="C677" s="14" t="inlineStr">
        <is>
          <t>NB-0026</t>
        </is>
      </c>
      <c r="D677" s="26" t="n">
        <v>45996</v>
      </c>
      <c r="E677" s="26" t="n">
        <v>46017</v>
      </c>
      <c r="F677" s="26" t="n">
        <v>46014</v>
      </c>
      <c r="G677" s="14" t="n">
        <v>429</v>
      </c>
      <c r="H677" s="14" t="n">
        <v>429</v>
      </c>
      <c r="I677" s="14" t="n">
        <v>2</v>
      </c>
      <c r="J677" s="58" t="n">
        <v>41042.43</v>
      </c>
      <c r="K677" s="59">
        <f>(F677-D677)/7</f>
        <v/>
      </c>
      <c r="L677" s="59">
        <f>K677^2</f>
        <v/>
      </c>
      <c r="M677" s="14">
        <f>IF(F677&lt;=E677,1,0)</f>
        <v/>
      </c>
      <c r="N677" s="14">
        <f>MAX(0,F677-E677)</f>
        <v/>
      </c>
    </row>
    <row r="678">
      <c r="A678" s="14" t="inlineStr">
        <is>
          <t>PO-00677</t>
        </is>
      </c>
      <c r="B678" s="14" t="inlineStr">
        <is>
          <t>S02</t>
        </is>
      </c>
      <c r="C678" s="14" t="inlineStr">
        <is>
          <t>NB-0027</t>
        </is>
      </c>
      <c r="D678" s="26" t="n">
        <v>45294</v>
      </c>
      <c r="E678" s="26" t="n">
        <v>45315</v>
      </c>
      <c r="F678" s="26" t="n">
        <v>45315</v>
      </c>
      <c r="G678" s="14" t="n">
        <v>170</v>
      </c>
      <c r="H678" s="14" t="n">
        <v>170</v>
      </c>
      <c r="I678" s="14" t="n">
        <v>3</v>
      </c>
      <c r="J678" s="58" t="n">
        <v>12245.1</v>
      </c>
      <c r="K678" s="59">
        <f>(F678-D678)/7</f>
        <v/>
      </c>
      <c r="L678" s="59">
        <f>K678^2</f>
        <v/>
      </c>
      <c r="M678" s="14">
        <f>IF(F678&lt;=E678,1,0)</f>
        <v/>
      </c>
      <c r="N678" s="14">
        <f>MAX(0,F678-E678)</f>
        <v/>
      </c>
    </row>
    <row r="679">
      <c r="A679" s="14" t="inlineStr">
        <is>
          <t>PO-00678</t>
        </is>
      </c>
      <c r="B679" s="14" t="inlineStr">
        <is>
          <t>S02</t>
        </is>
      </c>
      <c r="C679" s="14" t="inlineStr">
        <is>
          <t>NB-0027</t>
        </is>
      </c>
      <c r="D679" s="26" t="n">
        <v>45323</v>
      </c>
      <c r="E679" s="26" t="n">
        <v>45344</v>
      </c>
      <c r="F679" s="26" t="n">
        <v>45343</v>
      </c>
      <c r="G679" s="14" t="n">
        <v>174</v>
      </c>
      <c r="H679" s="14" t="n">
        <v>174</v>
      </c>
      <c r="I679" s="14" t="n">
        <v>0</v>
      </c>
      <c r="J679" s="58" t="n">
        <v>12533.22</v>
      </c>
      <c r="K679" s="59">
        <f>(F679-D679)/7</f>
        <v/>
      </c>
      <c r="L679" s="59">
        <f>K679^2</f>
        <v/>
      </c>
      <c r="M679" s="14">
        <f>IF(F679&lt;=E679,1,0)</f>
        <v/>
      </c>
      <c r="N679" s="14">
        <f>MAX(0,F679-E679)</f>
        <v/>
      </c>
    </row>
    <row r="680">
      <c r="A680" s="14" t="inlineStr">
        <is>
          <t>PO-00679</t>
        </is>
      </c>
      <c r="B680" s="14" t="inlineStr">
        <is>
          <t>S02</t>
        </is>
      </c>
      <c r="C680" s="14" t="inlineStr">
        <is>
          <t>NB-0027</t>
        </is>
      </c>
      <c r="D680" s="26" t="n">
        <v>45351</v>
      </c>
      <c r="E680" s="26" t="n">
        <v>45372</v>
      </c>
      <c r="F680" s="26" t="n">
        <v>45370</v>
      </c>
      <c r="G680" s="14" t="n">
        <v>166</v>
      </c>
      <c r="H680" s="14" t="n">
        <v>166</v>
      </c>
      <c r="I680" s="14" t="n">
        <v>1</v>
      </c>
      <c r="J680" s="58" t="n">
        <v>11956.98</v>
      </c>
      <c r="K680" s="59">
        <f>(F680-D680)/7</f>
        <v/>
      </c>
      <c r="L680" s="59">
        <f>K680^2</f>
        <v/>
      </c>
      <c r="M680" s="14">
        <f>IF(F680&lt;=E680,1,0)</f>
        <v/>
      </c>
      <c r="N680" s="14">
        <f>MAX(0,F680-E680)</f>
        <v/>
      </c>
    </row>
    <row r="681">
      <c r="A681" s="14" t="inlineStr">
        <is>
          <t>PO-00680</t>
        </is>
      </c>
      <c r="B681" s="14" t="inlineStr">
        <is>
          <t>S02</t>
        </is>
      </c>
      <c r="C681" s="14" t="inlineStr">
        <is>
          <t>NB-0027</t>
        </is>
      </c>
      <c r="D681" s="26" t="n">
        <v>45379</v>
      </c>
      <c r="E681" s="26" t="n">
        <v>45400</v>
      </c>
      <c r="F681" s="26" t="n">
        <v>45399</v>
      </c>
      <c r="G681" s="14" t="n">
        <v>162</v>
      </c>
      <c r="H681" s="14" t="n">
        <v>162</v>
      </c>
      <c r="I681" s="14" t="n">
        <v>2</v>
      </c>
      <c r="J681" s="58" t="n">
        <v>11668.86</v>
      </c>
      <c r="K681" s="59">
        <f>(F681-D681)/7</f>
        <v/>
      </c>
      <c r="L681" s="59">
        <f>K681^2</f>
        <v/>
      </c>
      <c r="M681" s="14">
        <f>IF(F681&lt;=E681,1,0)</f>
        <v/>
      </c>
      <c r="N681" s="14">
        <f>MAX(0,F681-E681)</f>
        <v/>
      </c>
    </row>
    <row r="682">
      <c r="A682" s="14" t="inlineStr">
        <is>
          <t>PO-00681</t>
        </is>
      </c>
      <c r="B682" s="14" t="inlineStr">
        <is>
          <t>S02</t>
        </is>
      </c>
      <c r="C682" s="14" t="inlineStr">
        <is>
          <t>NB-0027</t>
        </is>
      </c>
      <c r="D682" s="26" t="n">
        <v>45407</v>
      </c>
      <c r="E682" s="26" t="n">
        <v>45428</v>
      </c>
      <c r="F682" s="26" t="n">
        <v>45426</v>
      </c>
      <c r="G682" s="14" t="n">
        <v>205</v>
      </c>
      <c r="H682" s="14" t="n">
        <v>205</v>
      </c>
      <c r="I682" s="14" t="n">
        <v>0</v>
      </c>
      <c r="J682" s="58" t="n">
        <v>14766.15</v>
      </c>
      <c r="K682" s="59">
        <f>(F682-D682)/7</f>
        <v/>
      </c>
      <c r="L682" s="59">
        <f>K682^2</f>
        <v/>
      </c>
      <c r="M682" s="14">
        <f>IF(F682&lt;=E682,1,0)</f>
        <v/>
      </c>
      <c r="N682" s="14">
        <f>MAX(0,F682-E682)</f>
        <v/>
      </c>
    </row>
    <row r="683">
      <c r="A683" s="14" t="inlineStr">
        <is>
          <t>PO-00682</t>
        </is>
      </c>
      <c r="B683" s="14" t="inlineStr">
        <is>
          <t>S02</t>
        </is>
      </c>
      <c r="C683" s="14" t="inlineStr">
        <is>
          <t>NB-0027</t>
        </is>
      </c>
      <c r="D683" s="26" t="n">
        <v>45432</v>
      </c>
      <c r="E683" s="26" t="n">
        <v>45453</v>
      </c>
      <c r="F683" s="26" t="n">
        <v>45452</v>
      </c>
      <c r="G683" s="14" t="n">
        <v>156</v>
      </c>
      <c r="H683" s="14" t="n">
        <v>156</v>
      </c>
      <c r="I683" s="14" t="n">
        <v>1</v>
      </c>
      <c r="J683" s="58" t="n">
        <v>11236.68</v>
      </c>
      <c r="K683" s="59">
        <f>(F683-D683)/7</f>
        <v/>
      </c>
      <c r="L683" s="59">
        <f>K683^2</f>
        <v/>
      </c>
      <c r="M683" s="14">
        <f>IF(F683&lt;=E683,1,0)</f>
        <v/>
      </c>
      <c r="N683" s="14">
        <f>MAX(0,F683-E683)</f>
        <v/>
      </c>
    </row>
    <row r="684">
      <c r="A684" s="14" t="inlineStr">
        <is>
          <t>PO-00683</t>
        </is>
      </c>
      <c r="B684" s="14" t="inlineStr">
        <is>
          <t>S02</t>
        </is>
      </c>
      <c r="C684" s="14" t="inlineStr">
        <is>
          <t>NB-0027</t>
        </is>
      </c>
      <c r="D684" s="26" t="n">
        <v>45461</v>
      </c>
      <c r="E684" s="26" t="n">
        <v>45482</v>
      </c>
      <c r="F684" s="26" t="n">
        <v>45480</v>
      </c>
      <c r="G684" s="14" t="n">
        <v>184</v>
      </c>
      <c r="H684" s="14" t="n">
        <v>184</v>
      </c>
      <c r="I684" s="14" t="n">
        <v>2</v>
      </c>
      <c r="J684" s="58" t="n">
        <v>13253.52</v>
      </c>
      <c r="K684" s="59">
        <f>(F684-D684)/7</f>
        <v/>
      </c>
      <c r="L684" s="59">
        <f>K684^2</f>
        <v/>
      </c>
      <c r="M684" s="14">
        <f>IF(F684&lt;=E684,1,0)</f>
        <v/>
      </c>
      <c r="N684" s="14">
        <f>MAX(0,F684-E684)</f>
        <v/>
      </c>
    </row>
    <row r="685">
      <c r="A685" s="14" t="inlineStr">
        <is>
          <t>PO-00684</t>
        </is>
      </c>
      <c r="B685" s="14" t="inlineStr">
        <is>
          <t>S02</t>
        </is>
      </c>
      <c r="C685" s="14" t="inlineStr">
        <is>
          <t>NB-0027</t>
        </is>
      </c>
      <c r="D685" s="26" t="n">
        <v>45490</v>
      </c>
      <c r="E685" s="26" t="n">
        <v>45511</v>
      </c>
      <c r="F685" s="26" t="n">
        <v>45509</v>
      </c>
      <c r="G685" s="14" t="n">
        <v>198</v>
      </c>
      <c r="H685" s="14" t="n">
        <v>198</v>
      </c>
      <c r="I685" s="14" t="n">
        <v>0</v>
      </c>
      <c r="J685" s="58" t="n">
        <v>14261.94</v>
      </c>
      <c r="K685" s="59">
        <f>(F685-D685)/7</f>
        <v/>
      </c>
      <c r="L685" s="59">
        <f>K685^2</f>
        <v/>
      </c>
      <c r="M685" s="14">
        <f>IF(F685&lt;=E685,1,0)</f>
        <v/>
      </c>
      <c r="N685" s="14">
        <f>MAX(0,F685-E685)</f>
        <v/>
      </c>
    </row>
    <row r="686">
      <c r="A686" s="14" t="inlineStr">
        <is>
          <t>PO-00685</t>
        </is>
      </c>
      <c r="B686" s="14" t="inlineStr">
        <is>
          <t>S02</t>
        </is>
      </c>
      <c r="C686" s="14" t="inlineStr">
        <is>
          <t>NB-0027</t>
        </is>
      </c>
      <c r="D686" s="26" t="n">
        <v>45516</v>
      </c>
      <c r="E686" s="26" t="n">
        <v>45537</v>
      </c>
      <c r="F686" s="26" t="n">
        <v>45536</v>
      </c>
      <c r="G686" s="14" t="n">
        <v>206</v>
      </c>
      <c r="H686" s="14" t="n">
        <v>206</v>
      </c>
      <c r="I686" s="14" t="n">
        <v>1</v>
      </c>
      <c r="J686" s="58" t="n">
        <v>14838.18</v>
      </c>
      <c r="K686" s="59">
        <f>(F686-D686)/7</f>
        <v/>
      </c>
      <c r="L686" s="59">
        <f>K686^2</f>
        <v/>
      </c>
      <c r="M686" s="14">
        <f>IF(F686&lt;=E686,1,0)</f>
        <v/>
      </c>
      <c r="N686" s="14">
        <f>MAX(0,F686-E686)</f>
        <v/>
      </c>
    </row>
    <row r="687">
      <c r="A687" s="14" t="inlineStr">
        <is>
          <t>PO-00686</t>
        </is>
      </c>
      <c r="B687" s="14" t="inlineStr">
        <is>
          <t>S02</t>
        </is>
      </c>
      <c r="C687" s="14" t="inlineStr">
        <is>
          <t>NB-0027</t>
        </is>
      </c>
      <c r="D687" s="26" t="n">
        <v>45544</v>
      </c>
      <c r="E687" s="26" t="n">
        <v>45565</v>
      </c>
      <c r="F687" s="26" t="n">
        <v>45564</v>
      </c>
      <c r="G687" s="14" t="n">
        <v>209</v>
      </c>
      <c r="H687" s="14" t="n">
        <v>209</v>
      </c>
      <c r="I687" s="14" t="n">
        <v>4</v>
      </c>
      <c r="J687" s="58" t="n">
        <v>15054.27</v>
      </c>
      <c r="K687" s="59">
        <f>(F687-D687)/7</f>
        <v/>
      </c>
      <c r="L687" s="59">
        <f>K687^2</f>
        <v/>
      </c>
      <c r="M687" s="14">
        <f>IF(F687&lt;=E687,1,0)</f>
        <v/>
      </c>
      <c r="N687" s="14">
        <f>MAX(0,F687-E687)</f>
        <v/>
      </c>
    </row>
    <row r="688">
      <c r="A688" s="14" t="inlineStr">
        <is>
          <t>PO-00687</t>
        </is>
      </c>
      <c r="B688" s="14" t="inlineStr">
        <is>
          <t>S02</t>
        </is>
      </c>
      <c r="C688" s="14" t="inlineStr">
        <is>
          <t>NB-0027</t>
        </is>
      </c>
      <c r="D688" s="26" t="n">
        <v>45575</v>
      </c>
      <c r="E688" s="26" t="n">
        <v>45596</v>
      </c>
      <c r="F688" s="26" t="n">
        <v>45594</v>
      </c>
      <c r="G688" s="14" t="n">
        <v>206</v>
      </c>
      <c r="H688" s="14" t="n">
        <v>206</v>
      </c>
      <c r="I688" s="14" t="n">
        <v>0</v>
      </c>
      <c r="J688" s="58" t="n">
        <v>14838.18</v>
      </c>
      <c r="K688" s="59">
        <f>(F688-D688)/7</f>
        <v/>
      </c>
      <c r="L688" s="59">
        <f>K688^2</f>
        <v/>
      </c>
      <c r="M688" s="14">
        <f>IF(F688&lt;=E688,1,0)</f>
        <v/>
      </c>
      <c r="N688" s="14">
        <f>MAX(0,F688-E688)</f>
        <v/>
      </c>
    </row>
    <row r="689">
      <c r="A689" s="14" t="inlineStr">
        <is>
          <t>PO-00688</t>
        </is>
      </c>
      <c r="B689" s="14" t="inlineStr">
        <is>
          <t>S02</t>
        </is>
      </c>
      <c r="C689" s="14" t="inlineStr">
        <is>
          <t>NB-0027</t>
        </is>
      </c>
      <c r="D689" s="26" t="n">
        <v>45603</v>
      </c>
      <c r="E689" s="26" t="n">
        <v>45624</v>
      </c>
      <c r="F689" s="26" t="n">
        <v>45624</v>
      </c>
      <c r="G689" s="14" t="n">
        <v>195</v>
      </c>
      <c r="H689" s="14" t="n">
        <v>195</v>
      </c>
      <c r="I689" s="14" t="n">
        <v>2</v>
      </c>
      <c r="J689" s="58" t="n">
        <v>14045.85</v>
      </c>
      <c r="K689" s="59">
        <f>(F689-D689)/7</f>
        <v/>
      </c>
      <c r="L689" s="59">
        <f>K689^2</f>
        <v/>
      </c>
      <c r="M689" s="14">
        <f>IF(F689&lt;=E689,1,0)</f>
        <v/>
      </c>
      <c r="N689" s="14">
        <f>MAX(0,F689-E689)</f>
        <v/>
      </c>
    </row>
    <row r="690">
      <c r="A690" s="14" t="inlineStr">
        <is>
          <t>PO-00689</t>
        </is>
      </c>
      <c r="B690" s="14" t="inlineStr">
        <is>
          <t>S02</t>
        </is>
      </c>
      <c r="C690" s="14" t="inlineStr">
        <is>
          <t>NB-0027</t>
        </is>
      </c>
      <c r="D690" s="26" t="n">
        <v>45631</v>
      </c>
      <c r="E690" s="26" t="n">
        <v>45652</v>
      </c>
      <c r="F690" s="26" t="n">
        <v>45652</v>
      </c>
      <c r="G690" s="14" t="n">
        <v>179</v>
      </c>
      <c r="H690" s="14" t="n">
        <v>179</v>
      </c>
      <c r="I690" s="14" t="n">
        <v>0</v>
      </c>
      <c r="J690" s="58" t="n">
        <v>12893.37</v>
      </c>
      <c r="K690" s="59">
        <f>(F690-D690)/7</f>
        <v/>
      </c>
      <c r="L690" s="59">
        <f>K690^2</f>
        <v/>
      </c>
      <c r="M690" s="14">
        <f>IF(F690&lt;=E690,1,0)</f>
        <v/>
      </c>
      <c r="N690" s="14">
        <f>MAX(0,F690-E690)</f>
        <v/>
      </c>
    </row>
    <row r="691">
      <c r="A691" s="14" t="inlineStr">
        <is>
          <t>PO-00690</t>
        </is>
      </c>
      <c r="B691" s="14" t="inlineStr">
        <is>
          <t>S02</t>
        </is>
      </c>
      <c r="C691" s="14" t="inlineStr">
        <is>
          <t>NB-0027</t>
        </is>
      </c>
      <c r="D691" s="26" t="n">
        <v>45657</v>
      </c>
      <c r="E691" s="26" t="n">
        <v>45678</v>
      </c>
      <c r="F691" s="26" t="n">
        <v>45675</v>
      </c>
      <c r="G691" s="14" t="n">
        <v>204</v>
      </c>
      <c r="H691" s="14" t="n">
        <v>204</v>
      </c>
      <c r="I691" s="14" t="n">
        <v>2</v>
      </c>
      <c r="J691" s="58" t="n">
        <v>14694.12</v>
      </c>
      <c r="K691" s="59">
        <f>(F691-D691)/7</f>
        <v/>
      </c>
      <c r="L691" s="59">
        <f>K691^2</f>
        <v/>
      </c>
      <c r="M691" s="14">
        <f>IF(F691&lt;=E691,1,0)</f>
        <v/>
      </c>
      <c r="N691" s="14">
        <f>MAX(0,F691-E691)</f>
        <v/>
      </c>
    </row>
    <row r="692">
      <c r="A692" s="14" t="inlineStr">
        <is>
          <t>PO-00691</t>
        </is>
      </c>
      <c r="B692" s="14" t="inlineStr">
        <is>
          <t>S02</t>
        </is>
      </c>
      <c r="C692" s="14" t="inlineStr">
        <is>
          <t>NB-0027</t>
        </is>
      </c>
      <c r="D692" s="26" t="n">
        <v>45688</v>
      </c>
      <c r="E692" s="26" t="n">
        <v>45709</v>
      </c>
      <c r="F692" s="26" t="n">
        <v>45714</v>
      </c>
      <c r="G692" s="14" t="n">
        <v>170</v>
      </c>
      <c r="H692" s="14" t="n">
        <v>170</v>
      </c>
      <c r="I692" s="14" t="n">
        <v>1</v>
      </c>
      <c r="J692" s="58" t="n">
        <v>12245.1</v>
      </c>
      <c r="K692" s="59">
        <f>(F692-D692)/7</f>
        <v/>
      </c>
      <c r="L692" s="59">
        <f>K692^2</f>
        <v/>
      </c>
      <c r="M692" s="14">
        <f>IF(F692&lt;=E692,1,0)</f>
        <v/>
      </c>
      <c r="N692" s="14">
        <f>MAX(0,F692-E692)</f>
        <v/>
      </c>
    </row>
    <row r="693">
      <c r="A693" s="14" t="inlineStr">
        <is>
          <t>PO-00692</t>
        </is>
      </c>
      <c r="B693" s="14" t="inlineStr">
        <is>
          <t>S02</t>
        </is>
      </c>
      <c r="C693" s="14" t="inlineStr">
        <is>
          <t>NB-0027</t>
        </is>
      </c>
      <c r="D693" s="26" t="n">
        <v>45716</v>
      </c>
      <c r="E693" s="26" t="n">
        <v>45737</v>
      </c>
      <c r="F693" s="26" t="n">
        <v>45737</v>
      </c>
      <c r="G693" s="14" t="n">
        <v>184</v>
      </c>
      <c r="H693" s="14" t="n">
        <v>158</v>
      </c>
      <c r="I693" s="14" t="n">
        <v>0</v>
      </c>
      <c r="J693" s="58" t="n">
        <v>13253.52</v>
      </c>
      <c r="K693" s="59">
        <f>(F693-D693)/7</f>
        <v/>
      </c>
      <c r="L693" s="59">
        <f>K693^2</f>
        <v/>
      </c>
      <c r="M693" s="14">
        <f>IF(F693&lt;=E693,1,0)</f>
        <v/>
      </c>
      <c r="N693" s="14">
        <f>MAX(0,F693-E693)</f>
        <v/>
      </c>
    </row>
    <row r="694">
      <c r="A694" s="14" t="inlineStr">
        <is>
          <t>PO-00693</t>
        </is>
      </c>
      <c r="B694" s="14" t="inlineStr">
        <is>
          <t>S02</t>
        </is>
      </c>
      <c r="C694" s="14" t="inlineStr">
        <is>
          <t>NB-0027</t>
        </is>
      </c>
      <c r="D694" s="26" t="n">
        <v>45744</v>
      </c>
      <c r="E694" s="26" t="n">
        <v>45765</v>
      </c>
      <c r="F694" s="26" t="n">
        <v>45765</v>
      </c>
      <c r="G694" s="14" t="n">
        <v>208</v>
      </c>
      <c r="H694" s="14" t="n">
        <v>208</v>
      </c>
      <c r="I694" s="14" t="n">
        <v>1</v>
      </c>
      <c r="J694" s="58" t="n">
        <v>14982.24</v>
      </c>
      <c r="K694" s="59">
        <f>(F694-D694)/7</f>
        <v/>
      </c>
      <c r="L694" s="59">
        <f>K694^2</f>
        <v/>
      </c>
      <c r="M694" s="14">
        <f>IF(F694&lt;=E694,1,0)</f>
        <v/>
      </c>
      <c r="N694" s="14">
        <f>MAX(0,F694-E694)</f>
        <v/>
      </c>
    </row>
    <row r="695">
      <c r="A695" s="14" t="inlineStr">
        <is>
          <t>PO-00694</t>
        </is>
      </c>
      <c r="B695" s="14" t="inlineStr">
        <is>
          <t>S02</t>
        </is>
      </c>
      <c r="C695" s="14" t="inlineStr">
        <is>
          <t>NB-0027</t>
        </is>
      </c>
      <c r="D695" s="26" t="n">
        <v>45772</v>
      </c>
      <c r="E695" s="26" t="n">
        <v>45793</v>
      </c>
      <c r="F695" s="26" t="n">
        <v>45790</v>
      </c>
      <c r="G695" s="14" t="n">
        <v>207</v>
      </c>
      <c r="H695" s="14" t="n">
        <v>178</v>
      </c>
      <c r="I695" s="14" t="n">
        <v>0</v>
      </c>
      <c r="J695" s="58" t="n">
        <v>14910.21</v>
      </c>
      <c r="K695" s="59">
        <f>(F695-D695)/7</f>
        <v/>
      </c>
      <c r="L695" s="59">
        <f>K695^2</f>
        <v/>
      </c>
      <c r="M695" s="14">
        <f>IF(F695&lt;=E695,1,0)</f>
        <v/>
      </c>
      <c r="N695" s="14">
        <f>MAX(0,F695-E695)</f>
        <v/>
      </c>
    </row>
    <row r="696">
      <c r="A696" s="14" t="inlineStr">
        <is>
          <t>PO-00695</t>
        </is>
      </c>
      <c r="B696" s="14" t="inlineStr">
        <is>
          <t>S02</t>
        </is>
      </c>
      <c r="C696" s="14" t="inlineStr">
        <is>
          <t>NB-0027</t>
        </is>
      </c>
      <c r="D696" s="26" t="n">
        <v>45797</v>
      </c>
      <c r="E696" s="26" t="n">
        <v>45818</v>
      </c>
      <c r="F696" s="26" t="n">
        <v>45818</v>
      </c>
      <c r="G696" s="14" t="n">
        <v>174</v>
      </c>
      <c r="H696" s="14" t="n">
        <v>174</v>
      </c>
      <c r="I696" s="14" t="n">
        <v>0</v>
      </c>
      <c r="J696" s="58" t="n">
        <v>12533.22</v>
      </c>
      <c r="K696" s="59">
        <f>(F696-D696)/7</f>
        <v/>
      </c>
      <c r="L696" s="59">
        <f>K696^2</f>
        <v/>
      </c>
      <c r="M696" s="14">
        <f>IF(F696&lt;=E696,1,0)</f>
        <v/>
      </c>
      <c r="N696" s="14">
        <f>MAX(0,F696-E696)</f>
        <v/>
      </c>
    </row>
    <row r="697">
      <c r="A697" s="14" t="inlineStr">
        <is>
          <t>PO-00696</t>
        </is>
      </c>
      <c r="B697" s="14" t="inlineStr">
        <is>
          <t>S02</t>
        </is>
      </c>
      <c r="C697" s="14" t="inlineStr">
        <is>
          <t>NB-0027</t>
        </is>
      </c>
      <c r="D697" s="26" t="n">
        <v>45825</v>
      </c>
      <c r="E697" s="26" t="n">
        <v>45846</v>
      </c>
      <c r="F697" s="26" t="n">
        <v>45851</v>
      </c>
      <c r="G697" s="14" t="n">
        <v>177</v>
      </c>
      <c r="H697" s="14" t="n">
        <v>177</v>
      </c>
      <c r="I697" s="14" t="n">
        <v>1</v>
      </c>
      <c r="J697" s="58" t="n">
        <v>12749.31</v>
      </c>
      <c r="K697" s="59">
        <f>(F697-D697)/7</f>
        <v/>
      </c>
      <c r="L697" s="59">
        <f>K697^2</f>
        <v/>
      </c>
      <c r="M697" s="14">
        <f>IF(F697&lt;=E697,1,0)</f>
        <v/>
      </c>
      <c r="N697" s="14">
        <f>MAX(0,F697-E697)</f>
        <v/>
      </c>
    </row>
    <row r="698">
      <c r="A698" s="14" t="inlineStr">
        <is>
          <t>PO-00697</t>
        </is>
      </c>
      <c r="B698" s="14" t="inlineStr">
        <is>
          <t>S02</t>
        </is>
      </c>
      <c r="C698" s="14" t="inlineStr">
        <is>
          <t>NB-0027</t>
        </is>
      </c>
      <c r="D698" s="26" t="n">
        <v>45852</v>
      </c>
      <c r="E698" s="26" t="n">
        <v>45873</v>
      </c>
      <c r="F698" s="26" t="n">
        <v>45870</v>
      </c>
      <c r="G698" s="14" t="n">
        <v>200</v>
      </c>
      <c r="H698" s="14" t="n">
        <v>200</v>
      </c>
      <c r="I698" s="14" t="n">
        <v>1</v>
      </c>
      <c r="J698" s="58" t="n">
        <v>14406</v>
      </c>
      <c r="K698" s="59">
        <f>(F698-D698)/7</f>
        <v/>
      </c>
      <c r="L698" s="59">
        <f>K698^2</f>
        <v/>
      </c>
      <c r="M698" s="14">
        <f>IF(F698&lt;=E698,1,0)</f>
        <v/>
      </c>
      <c r="N698" s="14">
        <f>MAX(0,F698-E698)</f>
        <v/>
      </c>
    </row>
    <row r="699">
      <c r="A699" s="14" t="inlineStr">
        <is>
          <t>PO-00698</t>
        </is>
      </c>
      <c r="B699" s="14" t="inlineStr">
        <is>
          <t>S02</t>
        </is>
      </c>
      <c r="C699" s="14" t="inlineStr">
        <is>
          <t>NB-0027</t>
        </is>
      </c>
      <c r="D699" s="26" t="n">
        <v>45881</v>
      </c>
      <c r="E699" s="26" t="n">
        <v>45902</v>
      </c>
      <c r="F699" s="26" t="n">
        <v>45899</v>
      </c>
      <c r="G699" s="14" t="n">
        <v>153</v>
      </c>
      <c r="H699" s="14" t="n">
        <v>153</v>
      </c>
      <c r="I699" s="14" t="n">
        <v>2</v>
      </c>
      <c r="J699" s="58" t="n">
        <v>11020.59</v>
      </c>
      <c r="K699" s="59">
        <f>(F699-D699)/7</f>
        <v/>
      </c>
      <c r="L699" s="59">
        <f>K699^2</f>
        <v/>
      </c>
      <c r="M699" s="14">
        <f>IF(F699&lt;=E699,1,0)</f>
        <v/>
      </c>
      <c r="N699" s="14">
        <f>MAX(0,F699-E699)</f>
        <v/>
      </c>
    </row>
    <row r="700">
      <c r="A700" s="14" t="inlineStr">
        <is>
          <t>PO-00699</t>
        </is>
      </c>
      <c r="B700" s="14" t="inlineStr">
        <is>
          <t>S02</t>
        </is>
      </c>
      <c r="C700" s="14" t="inlineStr">
        <is>
          <t>NB-0027</t>
        </is>
      </c>
      <c r="D700" s="26" t="n">
        <v>45910</v>
      </c>
      <c r="E700" s="26" t="n">
        <v>45931</v>
      </c>
      <c r="F700" s="26" t="n">
        <v>45930</v>
      </c>
      <c r="G700" s="14" t="n">
        <v>200</v>
      </c>
      <c r="H700" s="14" t="n">
        <v>200</v>
      </c>
      <c r="I700" s="14" t="n">
        <v>1</v>
      </c>
      <c r="J700" s="58" t="n">
        <v>14406</v>
      </c>
      <c r="K700" s="59">
        <f>(F700-D700)/7</f>
        <v/>
      </c>
      <c r="L700" s="59">
        <f>K700^2</f>
        <v/>
      </c>
      <c r="M700" s="14">
        <f>IF(F700&lt;=E700,1,0)</f>
        <v/>
      </c>
      <c r="N700" s="14">
        <f>MAX(0,F700-E700)</f>
        <v/>
      </c>
    </row>
    <row r="701">
      <c r="A701" s="14" t="inlineStr">
        <is>
          <t>PO-00700</t>
        </is>
      </c>
      <c r="B701" s="14" t="inlineStr">
        <is>
          <t>S02</t>
        </is>
      </c>
      <c r="C701" s="14" t="inlineStr">
        <is>
          <t>NB-0027</t>
        </is>
      </c>
      <c r="D701" s="26" t="n">
        <v>45937</v>
      </c>
      <c r="E701" s="26" t="n">
        <v>45958</v>
      </c>
      <c r="F701" s="26" t="n">
        <v>45956</v>
      </c>
      <c r="G701" s="14" t="n">
        <v>193</v>
      </c>
      <c r="H701" s="14" t="n">
        <v>193</v>
      </c>
      <c r="I701" s="14" t="n">
        <v>1</v>
      </c>
      <c r="J701" s="58" t="n">
        <v>13901.79</v>
      </c>
      <c r="K701" s="59">
        <f>(F701-D701)/7</f>
        <v/>
      </c>
      <c r="L701" s="59">
        <f>K701^2</f>
        <v/>
      </c>
      <c r="M701" s="14">
        <f>IF(F701&lt;=E701,1,0)</f>
        <v/>
      </c>
      <c r="N701" s="14">
        <f>MAX(0,F701-E701)</f>
        <v/>
      </c>
    </row>
    <row r="702">
      <c r="A702" s="14" t="inlineStr">
        <is>
          <t>PO-00701</t>
        </is>
      </c>
      <c r="B702" s="14" t="inlineStr">
        <is>
          <t>S02</t>
        </is>
      </c>
      <c r="C702" s="14" t="inlineStr">
        <is>
          <t>NB-0027</t>
        </is>
      </c>
      <c r="D702" s="26" t="n">
        <v>45967</v>
      </c>
      <c r="E702" s="26" t="n">
        <v>45988</v>
      </c>
      <c r="F702" s="26" t="n">
        <v>45986</v>
      </c>
      <c r="G702" s="14" t="n">
        <v>193</v>
      </c>
      <c r="H702" s="14" t="n">
        <v>193</v>
      </c>
      <c r="I702" s="14" t="n">
        <v>2</v>
      </c>
      <c r="J702" s="58" t="n">
        <v>13901.79</v>
      </c>
      <c r="K702" s="59">
        <f>(F702-D702)/7</f>
        <v/>
      </c>
      <c r="L702" s="59">
        <f>K702^2</f>
        <v/>
      </c>
      <c r="M702" s="14">
        <f>IF(F702&lt;=E702,1,0)</f>
        <v/>
      </c>
      <c r="N702" s="14">
        <f>MAX(0,F702-E702)</f>
        <v/>
      </c>
    </row>
    <row r="703">
      <c r="A703" s="14" t="inlineStr">
        <is>
          <t>PO-00702</t>
        </is>
      </c>
      <c r="B703" s="14" t="inlineStr">
        <is>
          <t>S02</t>
        </is>
      </c>
      <c r="C703" s="14" t="inlineStr">
        <is>
          <t>NB-0027</t>
        </is>
      </c>
      <c r="D703" s="26" t="n">
        <v>45994</v>
      </c>
      <c r="E703" s="26" t="n">
        <v>46015</v>
      </c>
      <c r="F703" s="26" t="n">
        <v>46013</v>
      </c>
      <c r="G703" s="14" t="n">
        <v>153</v>
      </c>
      <c r="H703" s="14" t="n">
        <v>153</v>
      </c>
      <c r="I703" s="14" t="n">
        <v>0</v>
      </c>
      <c r="J703" s="58" t="n">
        <v>11020.59</v>
      </c>
      <c r="K703" s="59">
        <f>(F703-D703)/7</f>
        <v/>
      </c>
      <c r="L703" s="59">
        <f>K703^2</f>
        <v/>
      </c>
      <c r="M703" s="14">
        <f>IF(F703&lt;=E703,1,0)</f>
        <v/>
      </c>
      <c r="N703" s="14">
        <f>MAX(0,F703-E703)</f>
        <v/>
      </c>
    </row>
    <row r="704">
      <c r="A704" s="14" t="inlineStr">
        <is>
          <t>PO-00703</t>
        </is>
      </c>
      <c r="B704" s="14" t="inlineStr">
        <is>
          <t>S04</t>
        </is>
      </c>
      <c r="C704" s="14" t="inlineStr">
        <is>
          <t>NB-0028</t>
        </is>
      </c>
      <c r="D704" s="26" t="n">
        <v>45296</v>
      </c>
      <c r="E704" s="26" t="n">
        <v>45324</v>
      </c>
      <c r="F704" s="26" t="n">
        <v>45324</v>
      </c>
      <c r="G704" s="14" t="n">
        <v>445</v>
      </c>
      <c r="H704" s="14" t="n">
        <v>445</v>
      </c>
      <c r="I704" s="14" t="n">
        <v>4</v>
      </c>
      <c r="J704" s="58" t="n">
        <v>3617.85</v>
      </c>
      <c r="K704" s="59">
        <f>(F704-D704)/7</f>
        <v/>
      </c>
      <c r="L704" s="59">
        <f>K704^2</f>
        <v/>
      </c>
      <c r="M704" s="14">
        <f>IF(F704&lt;=E704,1,0)</f>
        <v/>
      </c>
      <c r="N704" s="14">
        <f>MAX(0,F704-E704)</f>
        <v/>
      </c>
    </row>
    <row r="705">
      <c r="A705" s="14" t="inlineStr">
        <is>
          <t>PO-00704</t>
        </is>
      </c>
      <c r="B705" s="14" t="inlineStr">
        <is>
          <t>S04</t>
        </is>
      </c>
      <c r="C705" s="14" t="inlineStr">
        <is>
          <t>NB-0028</t>
        </is>
      </c>
      <c r="D705" s="26" t="n">
        <v>45322</v>
      </c>
      <c r="E705" s="26" t="n">
        <v>45350</v>
      </c>
      <c r="F705" s="26" t="n">
        <v>45347</v>
      </c>
      <c r="G705" s="14" t="n">
        <v>499</v>
      </c>
      <c r="H705" s="14" t="n">
        <v>499</v>
      </c>
      <c r="I705" s="14" t="n">
        <v>6</v>
      </c>
      <c r="J705" s="58" t="n">
        <v>4056.87</v>
      </c>
      <c r="K705" s="59">
        <f>(F705-D705)/7</f>
        <v/>
      </c>
      <c r="L705" s="59">
        <f>K705^2</f>
        <v/>
      </c>
      <c r="M705" s="14">
        <f>IF(F705&lt;=E705,1,0)</f>
        <v/>
      </c>
      <c r="N705" s="14">
        <f>MAX(0,F705-E705)</f>
        <v/>
      </c>
    </row>
    <row r="706">
      <c r="A706" s="14" t="inlineStr">
        <is>
          <t>PO-00705</t>
        </is>
      </c>
      <c r="B706" s="14" t="inlineStr">
        <is>
          <t>S04</t>
        </is>
      </c>
      <c r="C706" s="14" t="inlineStr">
        <is>
          <t>NB-0028</t>
        </is>
      </c>
      <c r="D706" s="26" t="n">
        <v>45349</v>
      </c>
      <c r="E706" s="26" t="n">
        <v>45377</v>
      </c>
      <c r="F706" s="26" t="n">
        <v>45377</v>
      </c>
      <c r="G706" s="14" t="n">
        <v>448</v>
      </c>
      <c r="H706" s="14" t="n">
        <v>448</v>
      </c>
      <c r="I706" s="14" t="n">
        <v>5</v>
      </c>
      <c r="J706" s="58" t="n">
        <v>3642.24</v>
      </c>
      <c r="K706" s="59">
        <f>(F706-D706)/7</f>
        <v/>
      </c>
      <c r="L706" s="59">
        <f>K706^2</f>
        <v/>
      </c>
      <c r="M706" s="14">
        <f>IF(F706&lt;=E706,1,0)</f>
        <v/>
      </c>
      <c r="N706" s="14">
        <f>MAX(0,F706-E706)</f>
        <v/>
      </c>
    </row>
    <row r="707">
      <c r="A707" s="14" t="inlineStr">
        <is>
          <t>PO-00706</t>
        </is>
      </c>
      <c r="B707" s="14" t="inlineStr">
        <is>
          <t>S04</t>
        </is>
      </c>
      <c r="C707" s="14" t="inlineStr">
        <is>
          <t>NB-0028</t>
        </is>
      </c>
      <c r="D707" s="26" t="n">
        <v>45376</v>
      </c>
      <c r="E707" s="26" t="n">
        <v>45404</v>
      </c>
      <c r="F707" s="26" t="n">
        <v>45410</v>
      </c>
      <c r="G707" s="14" t="n">
        <v>504</v>
      </c>
      <c r="H707" s="14" t="n">
        <v>504</v>
      </c>
      <c r="I707" s="14" t="n">
        <v>6</v>
      </c>
      <c r="J707" s="58" t="n">
        <v>4097.52</v>
      </c>
      <c r="K707" s="59">
        <f>(F707-D707)/7</f>
        <v/>
      </c>
      <c r="L707" s="59">
        <f>K707^2</f>
        <v/>
      </c>
      <c r="M707" s="14">
        <f>IF(F707&lt;=E707,1,0)</f>
        <v/>
      </c>
      <c r="N707" s="14">
        <f>MAX(0,F707-E707)</f>
        <v/>
      </c>
    </row>
    <row r="708">
      <c r="A708" s="14" t="inlineStr">
        <is>
          <t>PO-00707</t>
        </is>
      </c>
      <c r="B708" s="14" t="inlineStr">
        <is>
          <t>S04</t>
        </is>
      </c>
      <c r="C708" s="14" t="inlineStr">
        <is>
          <t>NB-0028</t>
        </is>
      </c>
      <c r="D708" s="26" t="n">
        <v>45405</v>
      </c>
      <c r="E708" s="26" t="n">
        <v>45433</v>
      </c>
      <c r="F708" s="26" t="n">
        <v>45430</v>
      </c>
      <c r="G708" s="14" t="n">
        <v>531</v>
      </c>
      <c r="H708" s="14" t="n">
        <v>531</v>
      </c>
      <c r="I708" s="14" t="n">
        <v>6</v>
      </c>
      <c r="J708" s="58" t="n">
        <v>4317.03</v>
      </c>
      <c r="K708" s="59">
        <f>(F708-D708)/7</f>
        <v/>
      </c>
      <c r="L708" s="59">
        <f>K708^2</f>
        <v/>
      </c>
      <c r="M708" s="14">
        <f>IF(F708&lt;=E708,1,0)</f>
        <v/>
      </c>
      <c r="N708" s="14">
        <f>MAX(0,F708-E708)</f>
        <v/>
      </c>
    </row>
    <row r="709">
      <c r="A709" s="14" t="inlineStr">
        <is>
          <t>PO-00708</t>
        </is>
      </c>
      <c r="B709" s="14" t="inlineStr">
        <is>
          <t>S04</t>
        </is>
      </c>
      <c r="C709" s="14" t="inlineStr">
        <is>
          <t>NB-0028</t>
        </is>
      </c>
      <c r="D709" s="26" t="n">
        <v>45435</v>
      </c>
      <c r="E709" s="26" t="n">
        <v>45463</v>
      </c>
      <c r="F709" s="26" t="n">
        <v>45461</v>
      </c>
      <c r="G709" s="14" t="n">
        <v>547</v>
      </c>
      <c r="H709" s="14" t="n">
        <v>547</v>
      </c>
      <c r="I709" s="14" t="n">
        <v>6</v>
      </c>
      <c r="J709" s="58" t="n">
        <v>4447.11</v>
      </c>
      <c r="K709" s="59">
        <f>(F709-D709)/7</f>
        <v/>
      </c>
      <c r="L709" s="59">
        <f>K709^2</f>
        <v/>
      </c>
      <c r="M709" s="14">
        <f>IF(F709&lt;=E709,1,0)</f>
        <v/>
      </c>
      <c r="N709" s="14">
        <f>MAX(0,F709-E709)</f>
        <v/>
      </c>
    </row>
    <row r="710">
      <c r="A710" s="14" t="inlineStr">
        <is>
          <t>PO-00709</t>
        </is>
      </c>
      <c r="B710" s="14" t="inlineStr">
        <is>
          <t>S04</t>
        </is>
      </c>
      <c r="C710" s="14" t="inlineStr">
        <is>
          <t>NB-0028</t>
        </is>
      </c>
      <c r="D710" s="26" t="n">
        <v>45464</v>
      </c>
      <c r="E710" s="26" t="n">
        <v>45492</v>
      </c>
      <c r="F710" s="26" t="n">
        <v>45491</v>
      </c>
      <c r="G710" s="14" t="n">
        <v>490</v>
      </c>
      <c r="H710" s="14" t="n">
        <v>490</v>
      </c>
      <c r="I710" s="14" t="n">
        <v>6</v>
      </c>
      <c r="J710" s="58" t="n">
        <v>3983.7</v>
      </c>
      <c r="K710" s="59">
        <f>(F710-D710)/7</f>
        <v/>
      </c>
      <c r="L710" s="59">
        <f>K710^2</f>
        <v/>
      </c>
      <c r="M710" s="14">
        <f>IF(F710&lt;=E710,1,0)</f>
        <v/>
      </c>
      <c r="N710" s="14">
        <f>MAX(0,F710-E710)</f>
        <v/>
      </c>
    </row>
    <row r="711">
      <c r="A711" s="14" t="inlineStr">
        <is>
          <t>PO-00710</t>
        </is>
      </c>
      <c r="B711" s="14" t="inlineStr">
        <is>
          <t>S04</t>
        </is>
      </c>
      <c r="C711" s="14" t="inlineStr">
        <is>
          <t>NB-0028</t>
        </is>
      </c>
      <c r="D711" s="26" t="n">
        <v>45492</v>
      </c>
      <c r="E711" s="26" t="n">
        <v>45520</v>
      </c>
      <c r="F711" s="26" t="n">
        <v>45522</v>
      </c>
      <c r="G711" s="14" t="n">
        <v>515</v>
      </c>
      <c r="H711" s="14" t="n">
        <v>515</v>
      </c>
      <c r="I711" s="14" t="n">
        <v>9</v>
      </c>
      <c r="J711" s="58" t="n">
        <v>4186.95</v>
      </c>
      <c r="K711" s="59">
        <f>(F711-D711)/7</f>
        <v/>
      </c>
      <c r="L711" s="59">
        <f>K711^2</f>
        <v/>
      </c>
      <c r="M711" s="14">
        <f>IF(F711&lt;=E711,1,0)</f>
        <v/>
      </c>
      <c r="N711" s="14">
        <f>MAX(0,F711-E711)</f>
        <v/>
      </c>
    </row>
    <row r="712">
      <c r="A712" s="14" t="inlineStr">
        <is>
          <t>PO-00711</t>
        </is>
      </c>
      <c r="B712" s="14" t="inlineStr">
        <is>
          <t>S04</t>
        </is>
      </c>
      <c r="C712" s="14" t="inlineStr">
        <is>
          <t>NB-0028</t>
        </is>
      </c>
      <c r="D712" s="26" t="n">
        <v>45520</v>
      </c>
      <c r="E712" s="26" t="n">
        <v>45548</v>
      </c>
      <c r="F712" s="26" t="n">
        <v>45555</v>
      </c>
      <c r="G712" s="14" t="n">
        <v>555</v>
      </c>
      <c r="H712" s="14" t="n">
        <v>555</v>
      </c>
      <c r="I712" s="14" t="n">
        <v>5</v>
      </c>
      <c r="J712" s="58" t="n">
        <v>4512.15</v>
      </c>
      <c r="K712" s="59">
        <f>(F712-D712)/7</f>
        <v/>
      </c>
      <c r="L712" s="59">
        <f>K712^2</f>
        <v/>
      </c>
      <c r="M712" s="14">
        <f>IF(F712&lt;=E712,1,0)</f>
        <v/>
      </c>
      <c r="N712" s="14">
        <f>MAX(0,F712-E712)</f>
        <v/>
      </c>
    </row>
    <row r="713">
      <c r="A713" s="14" t="inlineStr">
        <is>
          <t>PO-00712</t>
        </is>
      </c>
      <c r="B713" s="14" t="inlineStr">
        <is>
          <t>S04</t>
        </is>
      </c>
      <c r="C713" s="14" t="inlineStr">
        <is>
          <t>NB-0028</t>
        </is>
      </c>
      <c r="D713" s="26" t="n">
        <v>45545</v>
      </c>
      <c r="E713" s="26" t="n">
        <v>45573</v>
      </c>
      <c r="F713" s="26" t="n">
        <v>45573</v>
      </c>
      <c r="G713" s="14" t="n">
        <v>520</v>
      </c>
      <c r="H713" s="14" t="n">
        <v>520</v>
      </c>
      <c r="I713" s="14" t="n">
        <v>7</v>
      </c>
      <c r="J713" s="58" t="n">
        <v>4227.6</v>
      </c>
      <c r="K713" s="59">
        <f>(F713-D713)/7</f>
        <v/>
      </c>
      <c r="L713" s="59">
        <f>K713^2</f>
        <v/>
      </c>
      <c r="M713" s="14">
        <f>IF(F713&lt;=E713,1,0)</f>
        <v/>
      </c>
      <c r="N713" s="14">
        <f>MAX(0,F713-E713)</f>
        <v/>
      </c>
    </row>
    <row r="714">
      <c r="A714" s="14" t="inlineStr">
        <is>
          <t>PO-00713</t>
        </is>
      </c>
      <c r="B714" s="14" t="inlineStr">
        <is>
          <t>S04</t>
        </is>
      </c>
      <c r="C714" s="14" t="inlineStr">
        <is>
          <t>NB-0028</t>
        </is>
      </c>
      <c r="D714" s="26" t="n">
        <v>45575</v>
      </c>
      <c r="E714" s="26" t="n">
        <v>45603</v>
      </c>
      <c r="F714" s="26" t="n">
        <v>45603</v>
      </c>
      <c r="G714" s="14" t="n">
        <v>415</v>
      </c>
      <c r="H714" s="14" t="n">
        <v>415</v>
      </c>
      <c r="I714" s="14" t="n">
        <v>4</v>
      </c>
      <c r="J714" s="58" t="n">
        <v>3373.95</v>
      </c>
      <c r="K714" s="59">
        <f>(F714-D714)/7</f>
        <v/>
      </c>
      <c r="L714" s="59">
        <f>K714^2</f>
        <v/>
      </c>
      <c r="M714" s="14">
        <f>IF(F714&lt;=E714,1,0)</f>
        <v/>
      </c>
      <c r="N714" s="14">
        <f>MAX(0,F714-E714)</f>
        <v/>
      </c>
    </row>
    <row r="715">
      <c r="A715" s="14" t="inlineStr">
        <is>
          <t>PO-00714</t>
        </is>
      </c>
      <c r="B715" s="14" t="inlineStr">
        <is>
          <t>S04</t>
        </is>
      </c>
      <c r="C715" s="14" t="inlineStr">
        <is>
          <t>NB-0028</t>
        </is>
      </c>
      <c r="D715" s="26" t="n">
        <v>45602</v>
      </c>
      <c r="E715" s="26" t="n">
        <v>45630</v>
      </c>
      <c r="F715" s="26" t="n">
        <v>45630</v>
      </c>
      <c r="G715" s="14" t="n">
        <v>435</v>
      </c>
      <c r="H715" s="14" t="n">
        <v>435</v>
      </c>
      <c r="I715" s="14" t="n">
        <v>6</v>
      </c>
      <c r="J715" s="58" t="n">
        <v>3536.55</v>
      </c>
      <c r="K715" s="59">
        <f>(F715-D715)/7</f>
        <v/>
      </c>
      <c r="L715" s="59">
        <f>K715^2</f>
        <v/>
      </c>
      <c r="M715" s="14">
        <f>IF(F715&lt;=E715,1,0)</f>
        <v/>
      </c>
      <c r="N715" s="14">
        <f>MAX(0,F715-E715)</f>
        <v/>
      </c>
    </row>
    <row r="716">
      <c r="A716" s="14" t="inlineStr">
        <is>
          <t>PO-00715</t>
        </is>
      </c>
      <c r="B716" s="14" t="inlineStr">
        <is>
          <t>S04</t>
        </is>
      </c>
      <c r="C716" s="14" t="inlineStr">
        <is>
          <t>NB-0028</t>
        </is>
      </c>
      <c r="D716" s="26" t="n">
        <v>45632</v>
      </c>
      <c r="E716" s="26" t="n">
        <v>45660</v>
      </c>
      <c r="F716" s="26" t="n">
        <v>45659</v>
      </c>
      <c r="G716" s="14" t="n">
        <v>419</v>
      </c>
      <c r="H716" s="14" t="n">
        <v>419</v>
      </c>
      <c r="I716" s="14" t="n">
        <v>4</v>
      </c>
      <c r="J716" s="58" t="n">
        <v>3406.47</v>
      </c>
      <c r="K716" s="59">
        <f>(F716-D716)/7</f>
        <v/>
      </c>
      <c r="L716" s="59">
        <f>K716^2</f>
        <v/>
      </c>
      <c r="M716" s="14">
        <f>IF(F716&lt;=E716,1,0)</f>
        <v/>
      </c>
      <c r="N716" s="14">
        <f>MAX(0,F716-E716)</f>
        <v/>
      </c>
    </row>
    <row r="717">
      <c r="A717" s="14" t="inlineStr">
        <is>
          <t>PO-00716</t>
        </is>
      </c>
      <c r="B717" s="14" t="inlineStr">
        <is>
          <t>S04</t>
        </is>
      </c>
      <c r="C717" s="14" t="inlineStr">
        <is>
          <t>NB-0028</t>
        </is>
      </c>
      <c r="D717" s="26" t="n">
        <v>45657</v>
      </c>
      <c r="E717" s="26" t="n">
        <v>45685</v>
      </c>
      <c r="F717" s="26" t="n">
        <v>45684</v>
      </c>
      <c r="G717" s="14" t="n">
        <v>429</v>
      </c>
      <c r="H717" s="14" t="n">
        <v>429</v>
      </c>
      <c r="I717" s="14" t="n">
        <v>10</v>
      </c>
      <c r="J717" s="58" t="n">
        <v>3487.77</v>
      </c>
      <c r="K717" s="59">
        <f>(F717-D717)/7</f>
        <v/>
      </c>
      <c r="L717" s="59">
        <f>K717^2</f>
        <v/>
      </c>
      <c r="M717" s="14">
        <f>IF(F717&lt;=E717,1,0)</f>
        <v/>
      </c>
      <c r="N717" s="14">
        <f>MAX(0,F717-E717)</f>
        <v/>
      </c>
    </row>
    <row r="718">
      <c r="A718" s="14" t="inlineStr">
        <is>
          <t>PO-00717</t>
        </is>
      </c>
      <c r="B718" s="14" t="inlineStr">
        <is>
          <t>S04</t>
        </is>
      </c>
      <c r="C718" s="14" t="inlineStr">
        <is>
          <t>NB-0028</t>
        </is>
      </c>
      <c r="D718" s="26" t="n">
        <v>45685</v>
      </c>
      <c r="E718" s="26" t="n">
        <v>45713</v>
      </c>
      <c r="F718" s="26" t="n">
        <v>45726</v>
      </c>
      <c r="G718" s="14" t="n">
        <v>490</v>
      </c>
      <c r="H718" s="14" t="n">
        <v>490</v>
      </c>
      <c r="I718" s="14" t="n">
        <v>4</v>
      </c>
      <c r="J718" s="58" t="n">
        <v>3983.7</v>
      </c>
      <c r="K718" s="59">
        <f>(F718-D718)/7</f>
        <v/>
      </c>
      <c r="L718" s="59">
        <f>K718^2</f>
        <v/>
      </c>
      <c r="M718" s="14">
        <f>IF(F718&lt;=E718,1,0)</f>
        <v/>
      </c>
      <c r="N718" s="14">
        <f>MAX(0,F718-E718)</f>
        <v/>
      </c>
    </row>
    <row r="719">
      <c r="A719" s="14" t="inlineStr">
        <is>
          <t>PO-00718</t>
        </is>
      </c>
      <c r="B719" s="14" t="inlineStr">
        <is>
          <t>S04</t>
        </is>
      </c>
      <c r="C719" s="14" t="inlineStr">
        <is>
          <t>NB-0028</t>
        </is>
      </c>
      <c r="D719" s="26" t="n">
        <v>45713</v>
      </c>
      <c r="E719" s="26" t="n">
        <v>45741</v>
      </c>
      <c r="F719" s="26" t="n">
        <v>45751</v>
      </c>
      <c r="G719" s="14" t="n">
        <v>465</v>
      </c>
      <c r="H719" s="14" t="n">
        <v>465</v>
      </c>
      <c r="I719" s="14" t="n">
        <v>5</v>
      </c>
      <c r="J719" s="58" t="n">
        <v>3780.45</v>
      </c>
      <c r="K719" s="59">
        <f>(F719-D719)/7</f>
        <v/>
      </c>
      <c r="L719" s="59">
        <f>K719^2</f>
        <v/>
      </c>
      <c r="M719" s="14">
        <f>IF(F719&lt;=E719,1,0)</f>
        <v/>
      </c>
      <c r="N719" s="14">
        <f>MAX(0,F719-E719)</f>
        <v/>
      </c>
    </row>
    <row r="720">
      <c r="A720" s="14" t="inlineStr">
        <is>
          <t>PO-00719</t>
        </is>
      </c>
      <c r="B720" s="14" t="inlineStr">
        <is>
          <t>S04</t>
        </is>
      </c>
      <c r="C720" s="14" t="inlineStr">
        <is>
          <t>NB-0028</t>
        </is>
      </c>
      <c r="D720" s="26" t="n">
        <v>45742</v>
      </c>
      <c r="E720" s="26" t="n">
        <v>45770</v>
      </c>
      <c r="F720" s="26" t="n">
        <v>45769</v>
      </c>
      <c r="G720" s="14" t="n">
        <v>477</v>
      </c>
      <c r="H720" s="14" t="n">
        <v>477</v>
      </c>
      <c r="I720" s="14" t="n">
        <v>4</v>
      </c>
      <c r="J720" s="58" t="n">
        <v>3878.01</v>
      </c>
      <c r="K720" s="59">
        <f>(F720-D720)/7</f>
        <v/>
      </c>
      <c r="L720" s="59">
        <f>K720^2</f>
        <v/>
      </c>
      <c r="M720" s="14">
        <f>IF(F720&lt;=E720,1,0)</f>
        <v/>
      </c>
      <c r="N720" s="14">
        <f>MAX(0,F720-E720)</f>
        <v/>
      </c>
    </row>
    <row r="721">
      <c r="A721" s="14" t="inlineStr">
        <is>
          <t>PO-00720</t>
        </is>
      </c>
      <c r="B721" s="14" t="inlineStr">
        <is>
          <t>S04</t>
        </is>
      </c>
      <c r="C721" s="14" t="inlineStr">
        <is>
          <t>NB-0028</t>
        </is>
      </c>
      <c r="D721" s="26" t="n">
        <v>45768</v>
      </c>
      <c r="E721" s="26" t="n">
        <v>45796</v>
      </c>
      <c r="F721" s="26" t="n">
        <v>45795</v>
      </c>
      <c r="G721" s="14" t="n">
        <v>439</v>
      </c>
      <c r="H721" s="14" t="n">
        <v>439</v>
      </c>
      <c r="I721" s="14" t="n">
        <v>8</v>
      </c>
      <c r="J721" s="58" t="n">
        <v>3569.07</v>
      </c>
      <c r="K721" s="59">
        <f>(F721-D721)/7</f>
        <v/>
      </c>
      <c r="L721" s="59">
        <f>K721^2</f>
        <v/>
      </c>
      <c r="M721" s="14">
        <f>IF(F721&lt;=E721,1,0)</f>
        <v/>
      </c>
      <c r="N721" s="14">
        <f>MAX(0,F721-E721)</f>
        <v/>
      </c>
    </row>
    <row r="722">
      <c r="A722" s="14" t="inlineStr">
        <is>
          <t>PO-00721</t>
        </is>
      </c>
      <c r="B722" s="14" t="inlineStr">
        <is>
          <t>S04</t>
        </is>
      </c>
      <c r="C722" s="14" t="inlineStr">
        <is>
          <t>NB-0028</t>
        </is>
      </c>
      <c r="D722" s="26" t="n">
        <v>45796</v>
      </c>
      <c r="E722" s="26" t="n">
        <v>45824</v>
      </c>
      <c r="F722" s="26" t="n">
        <v>45824</v>
      </c>
      <c r="G722" s="14" t="n">
        <v>579</v>
      </c>
      <c r="H722" s="14" t="n">
        <v>579</v>
      </c>
      <c r="I722" s="14" t="n">
        <v>3</v>
      </c>
      <c r="J722" s="58" t="n">
        <v>4707.27</v>
      </c>
      <c r="K722" s="59">
        <f>(F722-D722)/7</f>
        <v/>
      </c>
      <c r="L722" s="59">
        <f>K722^2</f>
        <v/>
      </c>
      <c r="M722" s="14">
        <f>IF(F722&lt;=E722,1,0)</f>
        <v/>
      </c>
      <c r="N722" s="14">
        <f>MAX(0,F722-E722)</f>
        <v/>
      </c>
    </row>
    <row r="723">
      <c r="A723" s="14" t="inlineStr">
        <is>
          <t>PO-00722</t>
        </is>
      </c>
      <c r="B723" s="14" t="inlineStr">
        <is>
          <t>S04</t>
        </is>
      </c>
      <c r="C723" s="14" t="inlineStr">
        <is>
          <t>NB-0028</t>
        </is>
      </c>
      <c r="D723" s="26" t="n">
        <v>45826</v>
      </c>
      <c r="E723" s="26" t="n">
        <v>45854</v>
      </c>
      <c r="F723" s="26" t="n">
        <v>45852</v>
      </c>
      <c r="G723" s="14" t="n">
        <v>482</v>
      </c>
      <c r="H723" s="14" t="n">
        <v>482</v>
      </c>
      <c r="I723" s="14" t="n">
        <v>7</v>
      </c>
      <c r="J723" s="58" t="n">
        <v>3918.66</v>
      </c>
      <c r="K723" s="59">
        <f>(F723-D723)/7</f>
        <v/>
      </c>
      <c r="L723" s="59">
        <f>K723^2</f>
        <v/>
      </c>
      <c r="M723" s="14">
        <f>IF(F723&lt;=E723,1,0)</f>
        <v/>
      </c>
      <c r="N723" s="14">
        <f>MAX(0,F723-E723)</f>
        <v/>
      </c>
    </row>
    <row r="724">
      <c r="A724" s="14" t="inlineStr">
        <is>
          <t>PO-00723</t>
        </is>
      </c>
      <c r="B724" s="14" t="inlineStr">
        <is>
          <t>S04</t>
        </is>
      </c>
      <c r="C724" s="14" t="inlineStr">
        <is>
          <t>NB-0028</t>
        </is>
      </c>
      <c r="D724" s="26" t="n">
        <v>45854</v>
      </c>
      <c r="E724" s="26" t="n">
        <v>45882</v>
      </c>
      <c r="F724" s="26" t="n">
        <v>45879</v>
      </c>
      <c r="G724" s="14" t="n">
        <v>577</v>
      </c>
      <c r="H724" s="14" t="n">
        <v>577</v>
      </c>
      <c r="I724" s="14" t="n">
        <v>8</v>
      </c>
      <c r="J724" s="58" t="n">
        <v>4691.01</v>
      </c>
      <c r="K724" s="59">
        <f>(F724-D724)/7</f>
        <v/>
      </c>
      <c r="L724" s="59">
        <f>K724^2</f>
        <v/>
      </c>
      <c r="M724" s="14">
        <f>IF(F724&lt;=E724,1,0)</f>
        <v/>
      </c>
      <c r="N724" s="14">
        <f>MAX(0,F724-E724)</f>
        <v/>
      </c>
    </row>
    <row r="725">
      <c r="A725" s="14" t="inlineStr">
        <is>
          <t>PO-00724</t>
        </is>
      </c>
      <c r="B725" s="14" t="inlineStr">
        <is>
          <t>S04</t>
        </is>
      </c>
      <c r="C725" s="14" t="inlineStr">
        <is>
          <t>NB-0028</t>
        </is>
      </c>
      <c r="D725" s="26" t="n">
        <v>45883</v>
      </c>
      <c r="E725" s="26" t="n">
        <v>45911</v>
      </c>
      <c r="F725" s="26" t="n">
        <v>45908</v>
      </c>
      <c r="G725" s="14" t="n">
        <v>489</v>
      </c>
      <c r="H725" s="14" t="n">
        <v>489</v>
      </c>
      <c r="I725" s="14" t="n">
        <v>6</v>
      </c>
      <c r="J725" s="58" t="n">
        <v>3975.57</v>
      </c>
      <c r="K725" s="59">
        <f>(F725-D725)/7</f>
        <v/>
      </c>
      <c r="L725" s="59">
        <f>K725^2</f>
        <v/>
      </c>
      <c r="M725" s="14">
        <f>IF(F725&lt;=E725,1,0)</f>
        <v/>
      </c>
      <c r="N725" s="14">
        <f>MAX(0,F725-E725)</f>
        <v/>
      </c>
    </row>
    <row r="726">
      <c r="A726" s="14" t="inlineStr">
        <is>
          <t>PO-00725</t>
        </is>
      </c>
      <c r="B726" s="14" t="inlineStr">
        <is>
          <t>S04</t>
        </is>
      </c>
      <c r="C726" s="14" t="inlineStr">
        <is>
          <t>NB-0028</t>
        </is>
      </c>
      <c r="D726" s="26" t="n">
        <v>45910</v>
      </c>
      <c r="E726" s="26" t="n">
        <v>45938</v>
      </c>
      <c r="F726" s="26" t="n">
        <v>45937</v>
      </c>
      <c r="G726" s="14" t="n">
        <v>435</v>
      </c>
      <c r="H726" s="14" t="n">
        <v>435</v>
      </c>
      <c r="I726" s="14" t="n">
        <v>5</v>
      </c>
      <c r="J726" s="58" t="n">
        <v>3536.55</v>
      </c>
      <c r="K726" s="59">
        <f>(F726-D726)/7</f>
        <v/>
      </c>
      <c r="L726" s="59">
        <f>K726^2</f>
        <v/>
      </c>
      <c r="M726" s="14">
        <f>IF(F726&lt;=E726,1,0)</f>
        <v/>
      </c>
      <c r="N726" s="14">
        <f>MAX(0,F726-E726)</f>
        <v/>
      </c>
    </row>
    <row r="727">
      <c r="A727" s="14" t="inlineStr">
        <is>
          <t>PO-00726</t>
        </is>
      </c>
      <c r="B727" s="14" t="inlineStr">
        <is>
          <t>S04</t>
        </is>
      </c>
      <c r="C727" s="14" t="inlineStr">
        <is>
          <t>NB-0028</t>
        </is>
      </c>
      <c r="D727" s="26" t="n">
        <v>45937</v>
      </c>
      <c r="E727" s="26" t="n">
        <v>45965</v>
      </c>
      <c r="F727" s="26" t="n">
        <v>45975</v>
      </c>
      <c r="G727" s="14" t="n">
        <v>438</v>
      </c>
      <c r="H727" s="14" t="n">
        <v>438</v>
      </c>
      <c r="I727" s="14" t="n">
        <v>1</v>
      </c>
      <c r="J727" s="58" t="n">
        <v>3560.94</v>
      </c>
      <c r="K727" s="59">
        <f>(F727-D727)/7</f>
        <v/>
      </c>
      <c r="L727" s="59">
        <f>K727^2</f>
        <v/>
      </c>
      <c r="M727" s="14">
        <f>IF(F727&lt;=E727,1,0)</f>
        <v/>
      </c>
      <c r="N727" s="14">
        <f>MAX(0,F727-E727)</f>
        <v/>
      </c>
    </row>
    <row r="728">
      <c r="A728" s="14" t="inlineStr">
        <is>
          <t>PO-00727</t>
        </is>
      </c>
      <c r="B728" s="14" t="inlineStr">
        <is>
          <t>S04</t>
        </is>
      </c>
      <c r="C728" s="14" t="inlineStr">
        <is>
          <t>NB-0028</t>
        </is>
      </c>
      <c r="D728" s="26" t="n">
        <v>45967</v>
      </c>
      <c r="E728" s="26" t="n">
        <v>45995</v>
      </c>
      <c r="F728" s="26" t="n">
        <v>45992</v>
      </c>
      <c r="G728" s="14" t="n">
        <v>516</v>
      </c>
      <c r="H728" s="14" t="n">
        <v>516</v>
      </c>
      <c r="I728" s="14" t="n">
        <v>8</v>
      </c>
      <c r="J728" s="58" t="n">
        <v>4195.08</v>
      </c>
      <c r="K728" s="59">
        <f>(F728-D728)/7</f>
        <v/>
      </c>
      <c r="L728" s="59">
        <f>K728^2</f>
        <v/>
      </c>
      <c r="M728" s="14">
        <f>IF(F728&lt;=E728,1,0)</f>
        <v/>
      </c>
      <c r="N728" s="14">
        <f>MAX(0,F728-E728)</f>
        <v/>
      </c>
    </row>
    <row r="729">
      <c r="A729" s="14" t="inlineStr">
        <is>
          <t>PO-00728</t>
        </is>
      </c>
      <c r="B729" s="14" t="inlineStr">
        <is>
          <t>S04</t>
        </is>
      </c>
      <c r="C729" s="14" t="inlineStr">
        <is>
          <t>NB-0028</t>
        </is>
      </c>
      <c r="D729" s="26" t="n">
        <v>45992</v>
      </c>
      <c r="E729" s="26" t="n">
        <v>46020</v>
      </c>
      <c r="F729" s="26" t="n">
        <v>46017</v>
      </c>
      <c r="G729" s="14" t="n">
        <v>474</v>
      </c>
      <c r="H729" s="14" t="n">
        <v>474</v>
      </c>
      <c r="I729" s="14" t="n">
        <v>1</v>
      </c>
      <c r="J729" s="58" t="n">
        <v>3853.62</v>
      </c>
      <c r="K729" s="59">
        <f>(F729-D729)/7</f>
        <v/>
      </c>
      <c r="L729" s="59">
        <f>K729^2</f>
        <v/>
      </c>
      <c r="M729" s="14">
        <f>IF(F729&lt;=E729,1,0)</f>
        <v/>
      </c>
      <c r="N729" s="14">
        <f>MAX(0,F729-E729)</f>
        <v/>
      </c>
    </row>
    <row r="730">
      <c r="A730" s="14" t="inlineStr">
        <is>
          <t>PO-00729</t>
        </is>
      </c>
      <c r="B730" s="14" t="inlineStr">
        <is>
          <t>S04</t>
        </is>
      </c>
      <c r="C730" s="14" t="inlineStr">
        <is>
          <t>NB-0029</t>
        </is>
      </c>
      <c r="D730" s="26" t="n">
        <v>45295</v>
      </c>
      <c r="E730" s="26" t="n">
        <v>45323</v>
      </c>
      <c r="F730" s="26" t="n">
        <v>45332</v>
      </c>
      <c r="G730" s="14" t="n">
        <v>154</v>
      </c>
      <c r="H730" s="14" t="n">
        <v>154</v>
      </c>
      <c r="I730" s="14" t="n">
        <v>5</v>
      </c>
      <c r="J730" s="58" t="n">
        <v>3193.96</v>
      </c>
      <c r="K730" s="59">
        <f>(F730-D730)/7</f>
        <v/>
      </c>
      <c r="L730" s="59">
        <f>K730^2</f>
        <v/>
      </c>
      <c r="M730" s="14">
        <f>IF(F730&lt;=E730,1,0)</f>
        <v/>
      </c>
      <c r="N730" s="14">
        <f>MAX(0,F730-E730)</f>
        <v/>
      </c>
    </row>
    <row r="731">
      <c r="A731" s="14" t="inlineStr">
        <is>
          <t>PO-00730</t>
        </is>
      </c>
      <c r="B731" s="14" t="inlineStr">
        <is>
          <t>S04</t>
        </is>
      </c>
      <c r="C731" s="14" t="inlineStr">
        <is>
          <t>NB-0029</t>
        </is>
      </c>
      <c r="D731" s="26" t="n">
        <v>45323</v>
      </c>
      <c r="E731" s="26" t="n">
        <v>45351</v>
      </c>
      <c r="F731" s="26" t="n">
        <v>45351</v>
      </c>
      <c r="G731" s="14" t="n">
        <v>125</v>
      </c>
      <c r="H731" s="14" t="n">
        <v>119</v>
      </c>
      <c r="I731" s="14" t="n">
        <v>6</v>
      </c>
      <c r="J731" s="58" t="n">
        <v>2592.5</v>
      </c>
      <c r="K731" s="59">
        <f>(F731-D731)/7</f>
        <v/>
      </c>
      <c r="L731" s="59">
        <f>K731^2</f>
        <v/>
      </c>
      <c r="M731" s="14">
        <f>IF(F731&lt;=E731,1,0)</f>
        <v/>
      </c>
      <c r="N731" s="14">
        <f>MAX(0,F731-E731)</f>
        <v/>
      </c>
    </row>
    <row r="732">
      <c r="A732" s="14" t="inlineStr">
        <is>
          <t>PO-00731</t>
        </is>
      </c>
      <c r="B732" s="14" t="inlineStr">
        <is>
          <t>S04</t>
        </is>
      </c>
      <c r="C732" s="14" t="inlineStr">
        <is>
          <t>NB-0029</t>
        </is>
      </c>
      <c r="D732" s="26" t="n">
        <v>45351</v>
      </c>
      <c r="E732" s="26" t="n">
        <v>45379</v>
      </c>
      <c r="F732" s="26" t="n">
        <v>45378</v>
      </c>
      <c r="G732" s="14" t="n">
        <v>145</v>
      </c>
      <c r="H732" s="14" t="n">
        <v>145</v>
      </c>
      <c r="I732" s="14" t="n">
        <v>3</v>
      </c>
      <c r="J732" s="58" t="n">
        <v>3007.3</v>
      </c>
      <c r="K732" s="59">
        <f>(F732-D732)/7</f>
        <v/>
      </c>
      <c r="L732" s="59">
        <f>K732^2</f>
        <v/>
      </c>
      <c r="M732" s="14">
        <f>IF(F732&lt;=E732,1,0)</f>
        <v/>
      </c>
      <c r="N732" s="14">
        <f>MAX(0,F732-E732)</f>
        <v/>
      </c>
    </row>
    <row r="733">
      <c r="A733" s="14" t="inlineStr">
        <is>
          <t>PO-00732</t>
        </is>
      </c>
      <c r="B733" s="14" t="inlineStr">
        <is>
          <t>S04</t>
        </is>
      </c>
      <c r="C733" s="14" t="inlineStr">
        <is>
          <t>NB-0029</t>
        </is>
      </c>
      <c r="D733" s="26" t="n">
        <v>45377</v>
      </c>
      <c r="E733" s="26" t="n">
        <v>45405</v>
      </c>
      <c r="F733" s="26" t="n">
        <v>45419</v>
      </c>
      <c r="G733" s="14" t="n">
        <v>137</v>
      </c>
      <c r="H733" s="14" t="n">
        <v>137</v>
      </c>
      <c r="I733" s="14" t="n">
        <v>1</v>
      </c>
      <c r="J733" s="58" t="n">
        <v>2841.38</v>
      </c>
      <c r="K733" s="59">
        <f>(F733-D733)/7</f>
        <v/>
      </c>
      <c r="L733" s="59">
        <f>K733^2</f>
        <v/>
      </c>
      <c r="M733" s="14">
        <f>IF(F733&lt;=E733,1,0)</f>
        <v/>
      </c>
      <c r="N733" s="14">
        <f>MAX(0,F733-E733)</f>
        <v/>
      </c>
    </row>
    <row r="734">
      <c r="A734" s="14" t="inlineStr">
        <is>
          <t>PO-00733</t>
        </is>
      </c>
      <c r="B734" s="14" t="inlineStr">
        <is>
          <t>S04</t>
        </is>
      </c>
      <c r="C734" s="14" t="inlineStr">
        <is>
          <t>NB-0029</t>
        </is>
      </c>
      <c r="D734" s="26" t="n">
        <v>45405</v>
      </c>
      <c r="E734" s="26" t="n">
        <v>45433</v>
      </c>
      <c r="F734" s="26" t="n">
        <v>45442</v>
      </c>
      <c r="G734" s="14" t="n">
        <v>145</v>
      </c>
      <c r="H734" s="14" t="n">
        <v>145</v>
      </c>
      <c r="I734" s="14" t="n">
        <v>0</v>
      </c>
      <c r="J734" s="58" t="n">
        <v>3007.3</v>
      </c>
      <c r="K734" s="59">
        <f>(F734-D734)/7</f>
        <v/>
      </c>
      <c r="L734" s="59">
        <f>K734^2</f>
        <v/>
      </c>
      <c r="M734" s="14">
        <f>IF(F734&lt;=E734,1,0)</f>
        <v/>
      </c>
      <c r="N734" s="14">
        <f>MAX(0,F734-E734)</f>
        <v/>
      </c>
    </row>
    <row r="735">
      <c r="A735" s="14" t="inlineStr">
        <is>
          <t>PO-00734</t>
        </is>
      </c>
      <c r="B735" s="14" t="inlineStr">
        <is>
          <t>S04</t>
        </is>
      </c>
      <c r="C735" s="14" t="inlineStr">
        <is>
          <t>NB-0029</t>
        </is>
      </c>
      <c r="D735" s="26" t="n">
        <v>45435</v>
      </c>
      <c r="E735" s="26" t="n">
        <v>45463</v>
      </c>
      <c r="F735" s="26" t="n">
        <v>45463</v>
      </c>
      <c r="G735" s="14" t="n">
        <v>121</v>
      </c>
      <c r="H735" s="14" t="n">
        <v>121</v>
      </c>
      <c r="I735" s="14" t="n">
        <v>1</v>
      </c>
      <c r="J735" s="58" t="n">
        <v>2509.54</v>
      </c>
      <c r="K735" s="59">
        <f>(F735-D735)/7</f>
        <v/>
      </c>
      <c r="L735" s="59">
        <f>K735^2</f>
        <v/>
      </c>
      <c r="M735" s="14">
        <f>IF(F735&lt;=E735,1,0)</f>
        <v/>
      </c>
      <c r="N735" s="14">
        <f>MAX(0,F735-E735)</f>
        <v/>
      </c>
    </row>
    <row r="736">
      <c r="A736" s="14" t="inlineStr">
        <is>
          <t>PO-00735</t>
        </is>
      </c>
      <c r="B736" s="14" t="inlineStr">
        <is>
          <t>S04</t>
        </is>
      </c>
      <c r="C736" s="14" t="inlineStr">
        <is>
          <t>NB-0029</t>
        </is>
      </c>
      <c r="D736" s="26" t="n">
        <v>45462</v>
      </c>
      <c r="E736" s="26" t="n">
        <v>45490</v>
      </c>
      <c r="F736" s="26" t="n">
        <v>45490</v>
      </c>
      <c r="G736" s="14" t="n">
        <v>138</v>
      </c>
      <c r="H736" s="14" t="n">
        <v>138</v>
      </c>
      <c r="I736" s="14" t="n">
        <v>2</v>
      </c>
      <c r="J736" s="58" t="n">
        <v>2862.12</v>
      </c>
      <c r="K736" s="59">
        <f>(F736-D736)/7</f>
        <v/>
      </c>
      <c r="L736" s="59">
        <f>K736^2</f>
        <v/>
      </c>
      <c r="M736" s="14">
        <f>IF(F736&lt;=E736,1,0)</f>
        <v/>
      </c>
      <c r="N736" s="14">
        <f>MAX(0,F736-E736)</f>
        <v/>
      </c>
    </row>
    <row r="737">
      <c r="A737" s="14" t="inlineStr">
        <is>
          <t>PO-00736</t>
        </is>
      </c>
      <c r="B737" s="14" t="inlineStr">
        <is>
          <t>S04</t>
        </is>
      </c>
      <c r="C737" s="14" t="inlineStr">
        <is>
          <t>NB-0029</t>
        </is>
      </c>
      <c r="D737" s="26" t="n">
        <v>45489</v>
      </c>
      <c r="E737" s="26" t="n">
        <v>45517</v>
      </c>
      <c r="F737" s="26" t="n">
        <v>45517</v>
      </c>
      <c r="G737" s="14" t="n">
        <v>145</v>
      </c>
      <c r="H737" s="14" t="n">
        <v>145</v>
      </c>
      <c r="I737" s="14" t="n">
        <v>3</v>
      </c>
      <c r="J737" s="58" t="n">
        <v>3007.3</v>
      </c>
      <c r="K737" s="59">
        <f>(F737-D737)/7</f>
        <v/>
      </c>
      <c r="L737" s="59">
        <f>K737^2</f>
        <v/>
      </c>
      <c r="M737" s="14">
        <f>IF(F737&lt;=E737,1,0)</f>
        <v/>
      </c>
      <c r="N737" s="14">
        <f>MAX(0,F737-E737)</f>
        <v/>
      </c>
    </row>
    <row r="738">
      <c r="A738" s="14" t="inlineStr">
        <is>
          <t>PO-00737</t>
        </is>
      </c>
      <c r="B738" s="14" t="inlineStr">
        <is>
          <t>S04</t>
        </is>
      </c>
      <c r="C738" s="14" t="inlineStr">
        <is>
          <t>NB-0029</t>
        </is>
      </c>
      <c r="D738" s="26" t="n">
        <v>45517</v>
      </c>
      <c r="E738" s="26" t="n">
        <v>45545</v>
      </c>
      <c r="F738" s="26" t="n">
        <v>45544</v>
      </c>
      <c r="G738" s="14" t="n">
        <v>127</v>
      </c>
      <c r="H738" s="14" t="n">
        <v>127</v>
      </c>
      <c r="I738" s="14" t="n">
        <v>2</v>
      </c>
      <c r="J738" s="58" t="n">
        <v>2633.98</v>
      </c>
      <c r="K738" s="59">
        <f>(F738-D738)/7</f>
        <v/>
      </c>
      <c r="L738" s="59">
        <f>K738^2</f>
        <v/>
      </c>
      <c r="M738" s="14">
        <f>IF(F738&lt;=E738,1,0)</f>
        <v/>
      </c>
      <c r="N738" s="14">
        <f>MAX(0,F738-E738)</f>
        <v/>
      </c>
    </row>
    <row r="739">
      <c r="A739" s="14" t="inlineStr">
        <is>
          <t>PO-00738</t>
        </is>
      </c>
      <c r="B739" s="14" t="inlineStr">
        <is>
          <t>S04</t>
        </is>
      </c>
      <c r="C739" s="14" t="inlineStr">
        <is>
          <t>NB-0029</t>
        </is>
      </c>
      <c r="D739" s="26" t="n">
        <v>45548</v>
      </c>
      <c r="E739" s="26" t="n">
        <v>45576</v>
      </c>
      <c r="F739" s="26" t="n">
        <v>45576</v>
      </c>
      <c r="G739" s="14" t="n">
        <v>148</v>
      </c>
      <c r="H739" s="14" t="n">
        <v>148</v>
      </c>
      <c r="I739" s="14" t="n">
        <v>3</v>
      </c>
      <c r="J739" s="58" t="n">
        <v>3069.52</v>
      </c>
      <c r="K739" s="59">
        <f>(F739-D739)/7</f>
        <v/>
      </c>
      <c r="L739" s="59">
        <f>K739^2</f>
        <v/>
      </c>
      <c r="M739" s="14">
        <f>IF(F739&lt;=E739,1,0)</f>
        <v/>
      </c>
      <c r="N739" s="14">
        <f>MAX(0,F739-E739)</f>
        <v/>
      </c>
    </row>
    <row r="740">
      <c r="A740" s="14" t="inlineStr">
        <is>
          <t>PO-00739</t>
        </is>
      </c>
      <c r="B740" s="14" t="inlineStr">
        <is>
          <t>S04</t>
        </is>
      </c>
      <c r="C740" s="14" t="inlineStr">
        <is>
          <t>NB-0029</t>
        </is>
      </c>
      <c r="D740" s="26" t="n">
        <v>45575</v>
      </c>
      <c r="E740" s="26" t="n">
        <v>45603</v>
      </c>
      <c r="F740" s="26" t="n">
        <v>45608</v>
      </c>
      <c r="G740" s="14" t="n">
        <v>151</v>
      </c>
      <c r="H740" s="14" t="n">
        <v>151</v>
      </c>
      <c r="I740" s="14" t="n">
        <v>4</v>
      </c>
      <c r="J740" s="58" t="n">
        <v>3131.74</v>
      </c>
      <c r="K740" s="59">
        <f>(F740-D740)/7</f>
        <v/>
      </c>
      <c r="L740" s="59">
        <f>K740^2</f>
        <v/>
      </c>
      <c r="M740" s="14">
        <f>IF(F740&lt;=E740,1,0)</f>
        <v/>
      </c>
      <c r="N740" s="14">
        <f>MAX(0,F740-E740)</f>
        <v/>
      </c>
    </row>
    <row r="741">
      <c r="A741" s="14" t="inlineStr">
        <is>
          <t>PO-00740</t>
        </is>
      </c>
      <c r="B741" s="14" t="inlineStr">
        <is>
          <t>S04</t>
        </is>
      </c>
      <c r="C741" s="14" t="inlineStr">
        <is>
          <t>NB-0029</t>
        </is>
      </c>
      <c r="D741" s="26" t="n">
        <v>45600</v>
      </c>
      <c r="E741" s="26" t="n">
        <v>45628</v>
      </c>
      <c r="F741" s="26" t="n">
        <v>45626</v>
      </c>
      <c r="G741" s="14" t="n">
        <v>137</v>
      </c>
      <c r="H741" s="14" t="n">
        <v>137</v>
      </c>
      <c r="I741" s="14" t="n">
        <v>0</v>
      </c>
      <c r="J741" s="58" t="n">
        <v>2841.38</v>
      </c>
      <c r="K741" s="59">
        <f>(F741-D741)/7</f>
        <v/>
      </c>
      <c r="L741" s="59">
        <f>K741^2</f>
        <v/>
      </c>
      <c r="M741" s="14">
        <f>IF(F741&lt;=E741,1,0)</f>
        <v/>
      </c>
      <c r="N741" s="14">
        <f>MAX(0,F741-E741)</f>
        <v/>
      </c>
    </row>
    <row r="742">
      <c r="A742" s="14" t="inlineStr">
        <is>
          <t>PO-00741</t>
        </is>
      </c>
      <c r="B742" s="14" t="inlineStr">
        <is>
          <t>S04</t>
        </is>
      </c>
      <c r="C742" s="14" t="inlineStr">
        <is>
          <t>NB-0029</t>
        </is>
      </c>
      <c r="D742" s="26" t="n">
        <v>45630</v>
      </c>
      <c r="E742" s="26" t="n">
        <v>45658</v>
      </c>
      <c r="F742" s="26" t="n">
        <v>45660</v>
      </c>
      <c r="G742" s="14" t="n">
        <v>152</v>
      </c>
      <c r="H742" s="14" t="n">
        <v>152</v>
      </c>
      <c r="I742" s="14" t="n">
        <v>1</v>
      </c>
      <c r="J742" s="58" t="n">
        <v>3152.48</v>
      </c>
      <c r="K742" s="59">
        <f>(F742-D742)/7</f>
        <v/>
      </c>
      <c r="L742" s="59">
        <f>K742^2</f>
        <v/>
      </c>
      <c r="M742" s="14">
        <f>IF(F742&lt;=E742,1,0)</f>
        <v/>
      </c>
      <c r="N742" s="14">
        <f>MAX(0,F742-E742)</f>
        <v/>
      </c>
    </row>
    <row r="743">
      <c r="A743" s="14" t="inlineStr">
        <is>
          <t>PO-00742</t>
        </is>
      </c>
      <c r="B743" s="14" t="inlineStr">
        <is>
          <t>S04</t>
        </is>
      </c>
      <c r="C743" s="14" t="inlineStr">
        <is>
          <t>NB-0029</t>
        </is>
      </c>
      <c r="D743" s="26" t="n">
        <v>45657</v>
      </c>
      <c r="E743" s="26" t="n">
        <v>45685</v>
      </c>
      <c r="F743" s="26" t="n">
        <v>45683</v>
      </c>
      <c r="G743" s="14" t="n">
        <v>132</v>
      </c>
      <c r="H743" s="14" t="n">
        <v>132</v>
      </c>
      <c r="I743" s="14" t="n">
        <v>1</v>
      </c>
      <c r="J743" s="58" t="n">
        <v>2737.68</v>
      </c>
      <c r="K743" s="59">
        <f>(F743-D743)/7</f>
        <v/>
      </c>
      <c r="L743" s="59">
        <f>K743^2</f>
        <v/>
      </c>
      <c r="M743" s="14">
        <f>IF(F743&lt;=E743,1,0)</f>
        <v/>
      </c>
      <c r="N743" s="14">
        <f>MAX(0,F743-E743)</f>
        <v/>
      </c>
    </row>
    <row r="744">
      <c r="A744" s="14" t="inlineStr">
        <is>
          <t>PO-00743</t>
        </is>
      </c>
      <c r="B744" s="14" t="inlineStr">
        <is>
          <t>S04</t>
        </is>
      </c>
      <c r="C744" s="14" t="inlineStr">
        <is>
          <t>NB-0029</t>
        </is>
      </c>
      <c r="D744" s="26" t="n">
        <v>45688</v>
      </c>
      <c r="E744" s="26" t="n">
        <v>45716</v>
      </c>
      <c r="F744" s="26" t="n">
        <v>45716</v>
      </c>
      <c r="G744" s="14" t="n">
        <v>113</v>
      </c>
      <c r="H744" s="14" t="n">
        <v>113</v>
      </c>
      <c r="I744" s="14" t="n">
        <v>0</v>
      </c>
      <c r="J744" s="58" t="n">
        <v>2343.62</v>
      </c>
      <c r="K744" s="59">
        <f>(F744-D744)/7</f>
        <v/>
      </c>
      <c r="L744" s="59">
        <f>K744^2</f>
        <v/>
      </c>
      <c r="M744" s="14">
        <f>IF(F744&lt;=E744,1,0)</f>
        <v/>
      </c>
      <c r="N744" s="14">
        <f>MAX(0,F744-E744)</f>
        <v/>
      </c>
    </row>
    <row r="745">
      <c r="A745" s="14" t="inlineStr">
        <is>
          <t>PO-00744</t>
        </is>
      </c>
      <c r="B745" s="14" t="inlineStr">
        <is>
          <t>S04</t>
        </is>
      </c>
      <c r="C745" s="14" t="inlineStr">
        <is>
          <t>NB-0029</t>
        </is>
      </c>
      <c r="D745" s="26" t="n">
        <v>45716</v>
      </c>
      <c r="E745" s="26" t="n">
        <v>45744</v>
      </c>
      <c r="F745" s="26" t="n">
        <v>45741</v>
      </c>
      <c r="G745" s="14" t="n">
        <v>117</v>
      </c>
      <c r="H745" s="14" t="n">
        <v>117</v>
      </c>
      <c r="I745" s="14" t="n">
        <v>2</v>
      </c>
      <c r="J745" s="58" t="n">
        <v>2426.58</v>
      </c>
      <c r="K745" s="59">
        <f>(F745-D745)/7</f>
        <v/>
      </c>
      <c r="L745" s="59">
        <f>K745^2</f>
        <v/>
      </c>
      <c r="M745" s="14">
        <f>IF(F745&lt;=E745,1,0)</f>
        <v/>
      </c>
      <c r="N745" s="14">
        <f>MAX(0,F745-E745)</f>
        <v/>
      </c>
    </row>
    <row r="746">
      <c r="A746" s="14" t="inlineStr">
        <is>
          <t>PO-00745</t>
        </is>
      </c>
      <c r="B746" s="14" t="inlineStr">
        <is>
          <t>S04</t>
        </is>
      </c>
      <c r="C746" s="14" t="inlineStr">
        <is>
          <t>NB-0029</t>
        </is>
      </c>
      <c r="D746" s="26" t="n">
        <v>45740</v>
      </c>
      <c r="E746" s="26" t="n">
        <v>45768</v>
      </c>
      <c r="F746" s="26" t="n">
        <v>45765</v>
      </c>
      <c r="G746" s="14" t="n">
        <v>114</v>
      </c>
      <c r="H746" s="14" t="n">
        <v>114</v>
      </c>
      <c r="I746" s="14" t="n">
        <v>1</v>
      </c>
      <c r="J746" s="58" t="n">
        <v>2364.36</v>
      </c>
      <c r="K746" s="59">
        <f>(F746-D746)/7</f>
        <v/>
      </c>
      <c r="L746" s="59">
        <f>K746^2</f>
        <v/>
      </c>
      <c r="M746" s="14">
        <f>IF(F746&lt;=E746,1,0)</f>
        <v/>
      </c>
      <c r="N746" s="14">
        <f>MAX(0,F746-E746)</f>
        <v/>
      </c>
    </row>
    <row r="747">
      <c r="A747" s="14" t="inlineStr">
        <is>
          <t>PO-00746</t>
        </is>
      </c>
      <c r="B747" s="14" t="inlineStr">
        <is>
          <t>S04</t>
        </is>
      </c>
      <c r="C747" s="14" t="inlineStr">
        <is>
          <t>NB-0029</t>
        </is>
      </c>
      <c r="D747" s="26" t="n">
        <v>45769</v>
      </c>
      <c r="E747" s="26" t="n">
        <v>45797</v>
      </c>
      <c r="F747" s="26" t="n">
        <v>45795</v>
      </c>
      <c r="G747" s="14" t="n">
        <v>110</v>
      </c>
      <c r="H747" s="14" t="n">
        <v>110</v>
      </c>
      <c r="I747" s="14" t="n">
        <v>1</v>
      </c>
      <c r="J747" s="58" t="n">
        <v>2281.4</v>
      </c>
      <c r="K747" s="59">
        <f>(F747-D747)/7</f>
        <v/>
      </c>
      <c r="L747" s="59">
        <f>K747^2</f>
        <v/>
      </c>
      <c r="M747" s="14">
        <f>IF(F747&lt;=E747,1,0)</f>
        <v/>
      </c>
      <c r="N747" s="14">
        <f>MAX(0,F747-E747)</f>
        <v/>
      </c>
    </row>
    <row r="748">
      <c r="A748" s="14" t="inlineStr">
        <is>
          <t>PO-00747</t>
        </is>
      </c>
      <c r="B748" s="14" t="inlineStr">
        <is>
          <t>S04</t>
        </is>
      </c>
      <c r="C748" s="14" t="inlineStr">
        <is>
          <t>NB-0029</t>
        </is>
      </c>
      <c r="D748" s="26" t="n">
        <v>45800</v>
      </c>
      <c r="E748" s="26" t="n">
        <v>45828</v>
      </c>
      <c r="F748" s="26" t="n">
        <v>45826</v>
      </c>
      <c r="G748" s="14" t="n">
        <v>139</v>
      </c>
      <c r="H748" s="14" t="n">
        <v>139</v>
      </c>
      <c r="I748" s="14" t="n">
        <v>2</v>
      </c>
      <c r="J748" s="58" t="n">
        <v>2882.86</v>
      </c>
      <c r="K748" s="59">
        <f>(F748-D748)/7</f>
        <v/>
      </c>
      <c r="L748" s="59">
        <f>K748^2</f>
        <v/>
      </c>
      <c r="M748" s="14">
        <f>IF(F748&lt;=E748,1,0)</f>
        <v/>
      </c>
      <c r="N748" s="14">
        <f>MAX(0,F748-E748)</f>
        <v/>
      </c>
    </row>
    <row r="749">
      <c r="A749" s="14" t="inlineStr">
        <is>
          <t>PO-00748</t>
        </is>
      </c>
      <c r="B749" s="14" t="inlineStr">
        <is>
          <t>S04</t>
        </is>
      </c>
      <c r="C749" s="14" t="inlineStr">
        <is>
          <t>NB-0029</t>
        </is>
      </c>
      <c r="D749" s="26" t="n">
        <v>45826</v>
      </c>
      <c r="E749" s="26" t="n">
        <v>45854</v>
      </c>
      <c r="F749" s="26" t="n">
        <v>45862</v>
      </c>
      <c r="G749" s="14" t="n">
        <v>118</v>
      </c>
      <c r="H749" s="14" t="n">
        <v>118</v>
      </c>
      <c r="I749" s="14" t="n">
        <v>2</v>
      </c>
      <c r="J749" s="58" t="n">
        <v>2447.32</v>
      </c>
      <c r="K749" s="59">
        <f>(F749-D749)/7</f>
        <v/>
      </c>
      <c r="L749" s="59">
        <f>K749^2</f>
        <v/>
      </c>
      <c r="M749" s="14">
        <f>IF(F749&lt;=E749,1,0)</f>
        <v/>
      </c>
      <c r="N749" s="14">
        <f>MAX(0,F749-E749)</f>
        <v/>
      </c>
    </row>
    <row r="750">
      <c r="A750" s="14" t="inlineStr">
        <is>
          <t>PO-00749</t>
        </is>
      </c>
      <c r="B750" s="14" t="inlineStr">
        <is>
          <t>S04</t>
        </is>
      </c>
      <c r="C750" s="14" t="inlineStr">
        <is>
          <t>NB-0029</t>
        </is>
      </c>
      <c r="D750" s="26" t="n">
        <v>45852</v>
      </c>
      <c r="E750" s="26" t="n">
        <v>45880</v>
      </c>
      <c r="F750" s="26" t="n">
        <v>45880</v>
      </c>
      <c r="G750" s="14" t="n">
        <v>143</v>
      </c>
      <c r="H750" s="14" t="n">
        <v>143</v>
      </c>
      <c r="I750" s="14" t="n">
        <v>2</v>
      </c>
      <c r="J750" s="58" t="n">
        <v>2965.82</v>
      </c>
      <c r="K750" s="59">
        <f>(F750-D750)/7</f>
        <v/>
      </c>
      <c r="L750" s="59">
        <f>K750^2</f>
        <v/>
      </c>
      <c r="M750" s="14">
        <f>IF(F750&lt;=E750,1,0)</f>
        <v/>
      </c>
      <c r="N750" s="14">
        <f>MAX(0,F750-E750)</f>
        <v/>
      </c>
    </row>
    <row r="751">
      <c r="A751" s="14" t="inlineStr">
        <is>
          <t>PO-00750</t>
        </is>
      </c>
      <c r="B751" s="14" t="inlineStr">
        <is>
          <t>S04</t>
        </is>
      </c>
      <c r="C751" s="14" t="inlineStr">
        <is>
          <t>NB-0029</t>
        </is>
      </c>
      <c r="D751" s="26" t="n">
        <v>45884</v>
      </c>
      <c r="E751" s="26" t="n">
        <v>45912</v>
      </c>
      <c r="F751" s="26" t="n">
        <v>45911</v>
      </c>
      <c r="G751" s="14" t="n">
        <v>134</v>
      </c>
      <c r="H751" s="14" t="n">
        <v>134</v>
      </c>
      <c r="I751" s="14" t="n">
        <v>0</v>
      </c>
      <c r="J751" s="58" t="n">
        <v>2779.16</v>
      </c>
      <c r="K751" s="59">
        <f>(F751-D751)/7</f>
        <v/>
      </c>
      <c r="L751" s="59">
        <f>K751^2</f>
        <v/>
      </c>
      <c r="M751" s="14">
        <f>IF(F751&lt;=E751,1,0)</f>
        <v/>
      </c>
      <c r="N751" s="14">
        <f>MAX(0,F751-E751)</f>
        <v/>
      </c>
    </row>
    <row r="752">
      <c r="A752" s="14" t="inlineStr">
        <is>
          <t>PO-00751</t>
        </is>
      </c>
      <c r="B752" s="14" t="inlineStr">
        <is>
          <t>S04</t>
        </is>
      </c>
      <c r="C752" s="14" t="inlineStr">
        <is>
          <t>NB-0029</t>
        </is>
      </c>
      <c r="D752" s="26" t="n">
        <v>45912</v>
      </c>
      <c r="E752" s="26" t="n">
        <v>45940</v>
      </c>
      <c r="F752" s="26" t="n">
        <v>45938</v>
      </c>
      <c r="G752" s="14" t="n">
        <v>138</v>
      </c>
      <c r="H752" s="14" t="n">
        <v>138</v>
      </c>
      <c r="I752" s="14" t="n">
        <v>2</v>
      </c>
      <c r="J752" s="58" t="n">
        <v>2862.12</v>
      </c>
      <c r="K752" s="59">
        <f>(F752-D752)/7</f>
        <v/>
      </c>
      <c r="L752" s="59">
        <f>K752^2</f>
        <v/>
      </c>
      <c r="M752" s="14">
        <f>IF(F752&lt;=E752,1,0)</f>
        <v/>
      </c>
      <c r="N752" s="14">
        <f>MAX(0,F752-E752)</f>
        <v/>
      </c>
    </row>
    <row r="753">
      <c r="A753" s="14" t="inlineStr">
        <is>
          <t>PO-00752</t>
        </is>
      </c>
      <c r="B753" s="14" t="inlineStr">
        <is>
          <t>S04</t>
        </is>
      </c>
      <c r="C753" s="14" t="inlineStr">
        <is>
          <t>NB-0029</t>
        </is>
      </c>
      <c r="D753" s="26" t="n">
        <v>45937</v>
      </c>
      <c r="E753" s="26" t="n">
        <v>45965</v>
      </c>
      <c r="F753" s="26" t="n">
        <v>45963</v>
      </c>
      <c r="G753" s="14" t="n">
        <v>147</v>
      </c>
      <c r="H753" s="14" t="n">
        <v>147</v>
      </c>
      <c r="I753" s="14" t="n">
        <v>2</v>
      </c>
      <c r="J753" s="58" t="n">
        <v>3048.78</v>
      </c>
      <c r="K753" s="59">
        <f>(F753-D753)/7</f>
        <v/>
      </c>
      <c r="L753" s="59">
        <f>K753^2</f>
        <v/>
      </c>
      <c r="M753" s="14">
        <f>IF(F753&lt;=E753,1,0)</f>
        <v/>
      </c>
      <c r="N753" s="14">
        <f>MAX(0,F753-E753)</f>
        <v/>
      </c>
    </row>
    <row r="754">
      <c r="A754" s="14" t="inlineStr">
        <is>
          <t>PO-00753</t>
        </is>
      </c>
      <c r="B754" s="14" t="inlineStr">
        <is>
          <t>S04</t>
        </is>
      </c>
      <c r="C754" s="14" t="inlineStr">
        <is>
          <t>NB-0029</t>
        </is>
      </c>
      <c r="D754" s="26" t="n">
        <v>45967</v>
      </c>
      <c r="E754" s="26" t="n">
        <v>45995</v>
      </c>
      <c r="F754" s="26" t="n">
        <v>45994</v>
      </c>
      <c r="G754" s="14" t="n">
        <v>112</v>
      </c>
      <c r="H754" s="14" t="n">
        <v>112</v>
      </c>
      <c r="I754" s="14" t="n">
        <v>0</v>
      </c>
      <c r="J754" s="58" t="n">
        <v>2322.88</v>
      </c>
      <c r="K754" s="59">
        <f>(F754-D754)/7</f>
        <v/>
      </c>
      <c r="L754" s="59">
        <f>K754^2</f>
        <v/>
      </c>
      <c r="M754" s="14">
        <f>IF(F754&lt;=E754,1,0)</f>
        <v/>
      </c>
      <c r="N754" s="14">
        <f>MAX(0,F754-E754)</f>
        <v/>
      </c>
    </row>
    <row r="755">
      <c r="A755" s="14" t="inlineStr">
        <is>
          <t>PO-00754</t>
        </is>
      </c>
      <c r="B755" s="14" t="inlineStr">
        <is>
          <t>S04</t>
        </is>
      </c>
      <c r="C755" s="14" t="inlineStr">
        <is>
          <t>NB-0029</t>
        </is>
      </c>
      <c r="D755" s="26" t="n">
        <v>45995</v>
      </c>
      <c r="E755" s="26" t="n">
        <v>46023</v>
      </c>
      <c r="F755" s="26" t="n">
        <v>46021</v>
      </c>
      <c r="G755" s="14" t="n">
        <v>136</v>
      </c>
      <c r="H755" s="14" t="n">
        <v>136</v>
      </c>
      <c r="I755" s="14" t="n">
        <v>2</v>
      </c>
      <c r="J755" s="58" t="n">
        <v>2820.64</v>
      </c>
      <c r="K755" s="59">
        <f>(F755-D755)/7</f>
        <v/>
      </c>
      <c r="L755" s="59">
        <f>K755^2</f>
        <v/>
      </c>
      <c r="M755" s="14">
        <f>IF(F755&lt;=E755,1,0)</f>
        <v/>
      </c>
      <c r="N755" s="14">
        <f>MAX(0,F755-E755)</f>
        <v/>
      </c>
    </row>
    <row r="756">
      <c r="A756" s="14" t="inlineStr">
        <is>
          <t>PO-00755</t>
        </is>
      </c>
      <c r="B756" s="14" t="inlineStr">
        <is>
          <t>S06</t>
        </is>
      </c>
      <c r="C756" s="14" t="inlineStr">
        <is>
          <t>NB-0030</t>
        </is>
      </c>
      <c r="D756" s="26" t="n">
        <v>45295</v>
      </c>
      <c r="E756" s="26" t="n">
        <v>45358</v>
      </c>
      <c r="F756" s="26" t="n">
        <v>45358</v>
      </c>
      <c r="G756" s="14" t="n">
        <v>39</v>
      </c>
      <c r="H756" s="14" t="n">
        <v>39</v>
      </c>
      <c r="I756" s="14" t="n">
        <v>1</v>
      </c>
      <c r="J756" s="58" t="n">
        <v>5374.98</v>
      </c>
      <c r="K756" s="59">
        <f>(F756-D756)/7</f>
        <v/>
      </c>
      <c r="L756" s="59">
        <f>K756^2</f>
        <v/>
      </c>
      <c r="M756" s="14">
        <f>IF(F756&lt;=E756,1,0)</f>
        <v/>
      </c>
      <c r="N756" s="14">
        <f>MAX(0,F756-E756)</f>
        <v/>
      </c>
    </row>
    <row r="757">
      <c r="A757" s="14" t="inlineStr">
        <is>
          <t>PO-00756</t>
        </is>
      </c>
      <c r="B757" s="14" t="inlineStr">
        <is>
          <t>S06</t>
        </is>
      </c>
      <c r="C757" s="14" t="inlineStr">
        <is>
          <t>NB-0030</t>
        </is>
      </c>
      <c r="D757" s="26" t="n">
        <v>45321</v>
      </c>
      <c r="E757" s="26" t="n">
        <v>45384</v>
      </c>
      <c r="F757" s="26" t="n">
        <v>45402</v>
      </c>
      <c r="G757" s="14" t="n">
        <v>33</v>
      </c>
      <c r="H757" s="14" t="n">
        <v>33</v>
      </c>
      <c r="I757" s="14" t="n">
        <v>0</v>
      </c>
      <c r="J757" s="58" t="n">
        <v>4548.06</v>
      </c>
      <c r="K757" s="59">
        <f>(F757-D757)/7</f>
        <v/>
      </c>
      <c r="L757" s="59">
        <f>K757^2</f>
        <v/>
      </c>
      <c r="M757" s="14">
        <f>IF(F757&lt;=E757,1,0)</f>
        <v/>
      </c>
      <c r="N757" s="14">
        <f>MAX(0,F757-E757)</f>
        <v/>
      </c>
    </row>
    <row r="758">
      <c r="A758" s="14" t="inlineStr">
        <is>
          <t>PO-00757</t>
        </is>
      </c>
      <c r="B758" s="14" t="inlineStr">
        <is>
          <t>S06</t>
        </is>
      </c>
      <c r="C758" s="14" t="inlineStr">
        <is>
          <t>NB-0030</t>
        </is>
      </c>
      <c r="D758" s="26" t="n">
        <v>45351</v>
      </c>
      <c r="E758" s="26" t="n">
        <v>45414</v>
      </c>
      <c r="F758" s="26" t="n">
        <v>45414</v>
      </c>
      <c r="G758" s="14" t="n">
        <v>33</v>
      </c>
      <c r="H758" s="14" t="n">
        <v>33</v>
      </c>
      <c r="I758" s="14" t="n">
        <v>1</v>
      </c>
      <c r="J758" s="58" t="n">
        <v>4548.06</v>
      </c>
      <c r="K758" s="59">
        <f>(F758-D758)/7</f>
        <v/>
      </c>
      <c r="L758" s="59">
        <f>K758^2</f>
        <v/>
      </c>
      <c r="M758" s="14">
        <f>IF(F758&lt;=E758,1,0)</f>
        <v/>
      </c>
      <c r="N758" s="14">
        <f>MAX(0,F758-E758)</f>
        <v/>
      </c>
    </row>
    <row r="759">
      <c r="A759" s="14" t="inlineStr">
        <is>
          <t>PO-00758</t>
        </is>
      </c>
      <c r="B759" s="14" t="inlineStr">
        <is>
          <t>S06</t>
        </is>
      </c>
      <c r="C759" s="14" t="inlineStr">
        <is>
          <t>NB-0030</t>
        </is>
      </c>
      <c r="D759" s="26" t="n">
        <v>45379</v>
      </c>
      <c r="E759" s="26" t="n">
        <v>45442</v>
      </c>
      <c r="F759" s="26" t="n">
        <v>45441</v>
      </c>
      <c r="G759" s="14" t="n">
        <v>33</v>
      </c>
      <c r="H759" s="14" t="n">
        <v>33</v>
      </c>
      <c r="I759" s="14" t="n">
        <v>1</v>
      </c>
      <c r="J759" s="58" t="n">
        <v>4548.06</v>
      </c>
      <c r="K759" s="59">
        <f>(F759-D759)/7</f>
        <v/>
      </c>
      <c r="L759" s="59">
        <f>K759^2</f>
        <v/>
      </c>
      <c r="M759" s="14">
        <f>IF(F759&lt;=E759,1,0)</f>
        <v/>
      </c>
      <c r="N759" s="14">
        <f>MAX(0,F759-E759)</f>
        <v/>
      </c>
    </row>
    <row r="760">
      <c r="A760" s="14" t="inlineStr">
        <is>
          <t>PO-00759</t>
        </is>
      </c>
      <c r="B760" s="14" t="inlineStr">
        <is>
          <t>S06</t>
        </is>
      </c>
      <c r="C760" s="14" t="inlineStr">
        <is>
          <t>NB-0030</t>
        </is>
      </c>
      <c r="D760" s="26" t="n">
        <v>45408</v>
      </c>
      <c r="E760" s="26" t="n">
        <v>45471</v>
      </c>
      <c r="F760" s="26" t="n">
        <v>45471</v>
      </c>
      <c r="G760" s="14" t="n">
        <v>40</v>
      </c>
      <c r="H760" s="14" t="n">
        <v>40</v>
      </c>
      <c r="I760" s="14" t="n">
        <v>1</v>
      </c>
      <c r="J760" s="58" t="n">
        <v>5512.8</v>
      </c>
      <c r="K760" s="59">
        <f>(F760-D760)/7</f>
        <v/>
      </c>
      <c r="L760" s="59">
        <f>K760^2</f>
        <v/>
      </c>
      <c r="M760" s="14">
        <f>IF(F760&lt;=E760,1,0)</f>
        <v/>
      </c>
      <c r="N760" s="14">
        <f>MAX(0,F760-E760)</f>
        <v/>
      </c>
    </row>
    <row r="761">
      <c r="A761" s="14" t="inlineStr">
        <is>
          <t>PO-00760</t>
        </is>
      </c>
      <c r="B761" s="14" t="inlineStr">
        <is>
          <t>S06</t>
        </is>
      </c>
      <c r="C761" s="14" t="inlineStr">
        <is>
          <t>NB-0030</t>
        </is>
      </c>
      <c r="D761" s="26" t="n">
        <v>45435</v>
      </c>
      <c r="E761" s="26" t="n">
        <v>45498</v>
      </c>
      <c r="F761" s="26" t="n">
        <v>45512</v>
      </c>
      <c r="G761" s="14" t="n">
        <v>32</v>
      </c>
      <c r="H761" s="14" t="n">
        <v>32</v>
      </c>
      <c r="I761" s="14" t="n">
        <v>0</v>
      </c>
      <c r="J761" s="58" t="n">
        <v>4410.24</v>
      </c>
      <c r="K761" s="59">
        <f>(F761-D761)/7</f>
        <v/>
      </c>
      <c r="L761" s="59">
        <f>K761^2</f>
        <v/>
      </c>
      <c r="M761" s="14">
        <f>IF(F761&lt;=E761,1,0)</f>
        <v/>
      </c>
      <c r="N761" s="14">
        <f>MAX(0,F761-E761)</f>
        <v/>
      </c>
    </row>
    <row r="762">
      <c r="A762" s="14" t="inlineStr">
        <is>
          <t>PO-00761</t>
        </is>
      </c>
      <c r="B762" s="14" t="inlineStr">
        <is>
          <t>S06</t>
        </is>
      </c>
      <c r="C762" s="14" t="inlineStr">
        <is>
          <t>NB-0030</t>
        </is>
      </c>
      <c r="D762" s="26" t="n">
        <v>45464</v>
      </c>
      <c r="E762" s="26" t="n">
        <v>45527</v>
      </c>
      <c r="F762" s="26" t="n">
        <v>45526</v>
      </c>
      <c r="G762" s="14" t="n">
        <v>35</v>
      </c>
      <c r="H762" s="14" t="n">
        <v>35</v>
      </c>
      <c r="I762" s="14" t="n">
        <v>1</v>
      </c>
      <c r="J762" s="58" t="n">
        <v>4823.7</v>
      </c>
      <c r="K762" s="59">
        <f>(F762-D762)/7</f>
        <v/>
      </c>
      <c r="L762" s="59">
        <f>K762^2</f>
        <v/>
      </c>
      <c r="M762" s="14">
        <f>IF(F762&lt;=E762,1,0)</f>
        <v/>
      </c>
      <c r="N762" s="14">
        <f>MAX(0,F762-E762)</f>
        <v/>
      </c>
    </row>
    <row r="763">
      <c r="A763" s="14" t="inlineStr">
        <is>
          <t>PO-00762</t>
        </is>
      </c>
      <c r="B763" s="14" t="inlineStr">
        <is>
          <t>S06</t>
        </is>
      </c>
      <c r="C763" s="14" t="inlineStr">
        <is>
          <t>NB-0030</t>
        </is>
      </c>
      <c r="D763" s="26" t="n">
        <v>45491</v>
      </c>
      <c r="E763" s="26" t="n">
        <v>45554</v>
      </c>
      <c r="F763" s="26" t="n">
        <v>45585</v>
      </c>
      <c r="G763" s="14" t="n">
        <v>40</v>
      </c>
      <c r="H763" s="14" t="n">
        <v>37</v>
      </c>
      <c r="I763" s="14" t="n">
        <v>2</v>
      </c>
      <c r="J763" s="58" t="n">
        <v>5512.8</v>
      </c>
      <c r="K763" s="59">
        <f>(F763-D763)/7</f>
        <v/>
      </c>
      <c r="L763" s="59">
        <f>K763^2</f>
        <v/>
      </c>
      <c r="M763" s="14">
        <f>IF(F763&lt;=E763,1,0)</f>
        <v/>
      </c>
      <c r="N763" s="14">
        <f>MAX(0,F763-E763)</f>
        <v/>
      </c>
    </row>
    <row r="764">
      <c r="A764" s="14" t="inlineStr">
        <is>
          <t>PO-00763</t>
        </is>
      </c>
      <c r="B764" s="14" t="inlineStr">
        <is>
          <t>S06</t>
        </is>
      </c>
      <c r="C764" s="14" t="inlineStr">
        <is>
          <t>NB-0030</t>
        </is>
      </c>
      <c r="D764" s="26" t="n">
        <v>45518</v>
      </c>
      <c r="E764" s="26" t="n">
        <v>45581</v>
      </c>
      <c r="F764" s="26" t="n">
        <v>45581</v>
      </c>
      <c r="G764" s="14" t="n">
        <v>36</v>
      </c>
      <c r="H764" s="14" t="n">
        <v>36</v>
      </c>
      <c r="I764" s="14" t="n">
        <v>1</v>
      </c>
      <c r="J764" s="58" t="n">
        <v>4961.52</v>
      </c>
      <c r="K764" s="59">
        <f>(F764-D764)/7</f>
        <v/>
      </c>
      <c r="L764" s="59">
        <f>K764^2</f>
        <v/>
      </c>
      <c r="M764" s="14">
        <f>IF(F764&lt;=E764,1,0)</f>
        <v/>
      </c>
      <c r="N764" s="14">
        <f>MAX(0,F764-E764)</f>
        <v/>
      </c>
    </row>
    <row r="765">
      <c r="A765" s="14" t="inlineStr">
        <is>
          <t>PO-00764</t>
        </is>
      </c>
      <c r="B765" s="14" t="inlineStr">
        <is>
          <t>S06</t>
        </is>
      </c>
      <c r="C765" s="14" t="inlineStr">
        <is>
          <t>NB-0030</t>
        </is>
      </c>
      <c r="D765" s="26" t="n">
        <v>45547</v>
      </c>
      <c r="E765" s="26" t="n">
        <v>45610</v>
      </c>
      <c r="F765" s="26" t="n">
        <v>45620</v>
      </c>
      <c r="G765" s="14" t="n">
        <v>40</v>
      </c>
      <c r="H765" s="14" t="n">
        <v>40</v>
      </c>
      <c r="I765" s="14" t="n">
        <v>1</v>
      </c>
      <c r="J765" s="58" t="n">
        <v>5512.8</v>
      </c>
      <c r="K765" s="59">
        <f>(F765-D765)/7</f>
        <v/>
      </c>
      <c r="L765" s="59">
        <f>K765^2</f>
        <v/>
      </c>
      <c r="M765" s="14">
        <f>IF(F765&lt;=E765,1,0)</f>
        <v/>
      </c>
      <c r="N765" s="14">
        <f>MAX(0,F765-E765)</f>
        <v/>
      </c>
    </row>
    <row r="766">
      <c r="A766" s="14" t="inlineStr">
        <is>
          <t>PO-00765</t>
        </is>
      </c>
      <c r="B766" s="14" t="inlineStr">
        <is>
          <t>S06</t>
        </is>
      </c>
      <c r="C766" s="14" t="inlineStr">
        <is>
          <t>NB-0030</t>
        </is>
      </c>
      <c r="D766" s="26" t="n">
        <v>45574</v>
      </c>
      <c r="E766" s="26" t="n">
        <v>45637</v>
      </c>
      <c r="F766" s="26" t="n">
        <v>45635</v>
      </c>
      <c r="G766" s="14" t="n">
        <v>35</v>
      </c>
      <c r="H766" s="14" t="n">
        <v>35</v>
      </c>
      <c r="I766" s="14" t="n">
        <v>1</v>
      </c>
      <c r="J766" s="58" t="n">
        <v>4823.7</v>
      </c>
      <c r="K766" s="59">
        <f>(F766-D766)/7</f>
        <v/>
      </c>
      <c r="L766" s="59">
        <f>K766^2</f>
        <v/>
      </c>
      <c r="M766" s="14">
        <f>IF(F766&lt;=E766,1,0)</f>
        <v/>
      </c>
      <c r="N766" s="14">
        <f>MAX(0,F766-E766)</f>
        <v/>
      </c>
    </row>
    <row r="767">
      <c r="A767" s="14" t="inlineStr">
        <is>
          <t>PO-00766</t>
        </is>
      </c>
      <c r="B767" s="14" t="inlineStr">
        <is>
          <t>S06</t>
        </is>
      </c>
      <c r="C767" s="14" t="inlineStr">
        <is>
          <t>NB-0030</t>
        </is>
      </c>
      <c r="D767" s="26" t="n">
        <v>45603</v>
      </c>
      <c r="E767" s="26" t="n">
        <v>45666</v>
      </c>
      <c r="F767" s="26" t="n">
        <v>45666</v>
      </c>
      <c r="G767" s="14" t="n">
        <v>38</v>
      </c>
      <c r="H767" s="14" t="n">
        <v>38</v>
      </c>
      <c r="I767" s="14" t="n">
        <v>0</v>
      </c>
      <c r="J767" s="58" t="n">
        <v>5237.16</v>
      </c>
      <c r="K767" s="59">
        <f>(F767-D767)/7</f>
        <v/>
      </c>
      <c r="L767" s="59">
        <f>K767^2</f>
        <v/>
      </c>
      <c r="M767" s="14">
        <f>IF(F767&lt;=E767,1,0)</f>
        <v/>
      </c>
      <c r="N767" s="14">
        <f>MAX(0,F767-E767)</f>
        <v/>
      </c>
    </row>
    <row r="768">
      <c r="A768" s="14" t="inlineStr">
        <is>
          <t>PO-00767</t>
        </is>
      </c>
      <c r="B768" s="14" t="inlineStr">
        <is>
          <t>S06</t>
        </is>
      </c>
      <c r="C768" s="14" t="inlineStr">
        <is>
          <t>NB-0030</t>
        </is>
      </c>
      <c r="D768" s="26" t="n">
        <v>45628</v>
      </c>
      <c r="E768" s="26" t="n">
        <v>45691</v>
      </c>
      <c r="F768" s="26" t="n">
        <v>45700</v>
      </c>
      <c r="G768" s="14" t="n">
        <v>41</v>
      </c>
      <c r="H768" s="14" t="n">
        <v>41</v>
      </c>
      <c r="I768" s="14" t="n">
        <v>1</v>
      </c>
      <c r="J768" s="58" t="n">
        <v>5650.62</v>
      </c>
      <c r="K768" s="59">
        <f>(F768-D768)/7</f>
        <v/>
      </c>
      <c r="L768" s="59">
        <f>K768^2</f>
        <v/>
      </c>
      <c r="M768" s="14">
        <f>IF(F768&lt;=E768,1,0)</f>
        <v/>
      </c>
      <c r="N768" s="14">
        <f>MAX(0,F768-E768)</f>
        <v/>
      </c>
    </row>
    <row r="769">
      <c r="A769" s="14" t="inlineStr">
        <is>
          <t>PO-00768</t>
        </is>
      </c>
      <c r="B769" s="14" t="inlineStr">
        <is>
          <t>S06</t>
        </is>
      </c>
      <c r="C769" s="14" t="inlineStr">
        <is>
          <t>NB-0030</t>
        </is>
      </c>
      <c r="D769" s="26" t="n">
        <v>45657</v>
      </c>
      <c r="E769" s="26" t="n">
        <v>45720</v>
      </c>
      <c r="F769" s="26" t="n">
        <v>45733</v>
      </c>
      <c r="G769" s="14" t="n">
        <v>36</v>
      </c>
      <c r="H769" s="14" t="n">
        <v>33</v>
      </c>
      <c r="I769" s="14" t="n">
        <v>0</v>
      </c>
      <c r="J769" s="58" t="n">
        <v>4961.52</v>
      </c>
      <c r="K769" s="59">
        <f>(F769-D769)/7</f>
        <v/>
      </c>
      <c r="L769" s="59">
        <f>K769^2</f>
        <v/>
      </c>
      <c r="M769" s="14">
        <f>IF(F769&lt;=E769,1,0)</f>
        <v/>
      </c>
      <c r="N769" s="14">
        <f>MAX(0,F769-E769)</f>
        <v/>
      </c>
    </row>
    <row r="770">
      <c r="A770" s="14" t="inlineStr">
        <is>
          <t>PO-00769</t>
        </is>
      </c>
      <c r="B770" s="14" t="inlineStr">
        <is>
          <t>S06</t>
        </is>
      </c>
      <c r="C770" s="14" t="inlineStr">
        <is>
          <t>NB-0030</t>
        </is>
      </c>
      <c r="D770" s="26" t="n">
        <v>45685</v>
      </c>
      <c r="E770" s="26" t="n">
        <v>45748</v>
      </c>
      <c r="F770" s="26" t="n">
        <v>45746</v>
      </c>
      <c r="G770" s="14" t="n">
        <v>39</v>
      </c>
      <c r="H770" s="14" t="n">
        <v>39</v>
      </c>
      <c r="I770" s="14" t="n">
        <v>1</v>
      </c>
      <c r="J770" s="58" t="n">
        <v>5374.98</v>
      </c>
      <c r="K770" s="59">
        <f>(F770-D770)/7</f>
        <v/>
      </c>
      <c r="L770" s="59">
        <f>K770^2</f>
        <v/>
      </c>
      <c r="M770" s="14">
        <f>IF(F770&lt;=E770,1,0)</f>
        <v/>
      </c>
      <c r="N770" s="14">
        <f>MAX(0,F770-E770)</f>
        <v/>
      </c>
    </row>
    <row r="771">
      <c r="A771" s="14" t="inlineStr">
        <is>
          <t>PO-00770</t>
        </is>
      </c>
      <c r="B771" s="14" t="inlineStr">
        <is>
          <t>S06</t>
        </is>
      </c>
      <c r="C771" s="14" t="inlineStr">
        <is>
          <t>NB-0030</t>
        </is>
      </c>
      <c r="D771" s="26" t="n">
        <v>45713</v>
      </c>
      <c r="E771" s="26" t="n">
        <v>45776</v>
      </c>
      <c r="F771" s="26" t="n">
        <v>45773</v>
      </c>
      <c r="G771" s="14" t="n">
        <v>36</v>
      </c>
      <c r="H771" s="14" t="n">
        <v>36</v>
      </c>
      <c r="I771" s="14" t="n">
        <v>0</v>
      </c>
      <c r="J771" s="58" t="n">
        <v>4961.52</v>
      </c>
      <c r="K771" s="59">
        <f>(F771-D771)/7</f>
        <v/>
      </c>
      <c r="L771" s="59">
        <f>K771^2</f>
        <v/>
      </c>
      <c r="M771" s="14">
        <f>IF(F771&lt;=E771,1,0)</f>
        <v/>
      </c>
      <c r="N771" s="14">
        <f>MAX(0,F771-E771)</f>
        <v/>
      </c>
    </row>
    <row r="772">
      <c r="A772" s="14" t="inlineStr">
        <is>
          <t>PO-00771</t>
        </is>
      </c>
      <c r="B772" s="14" t="inlineStr">
        <is>
          <t>S06</t>
        </is>
      </c>
      <c r="C772" s="14" t="inlineStr">
        <is>
          <t>NB-0030</t>
        </is>
      </c>
      <c r="D772" s="26" t="n">
        <v>45744</v>
      </c>
      <c r="E772" s="26" t="n">
        <v>45807</v>
      </c>
      <c r="F772" s="26" t="n">
        <v>45804</v>
      </c>
      <c r="G772" s="14" t="n">
        <v>36</v>
      </c>
      <c r="H772" s="14" t="n">
        <v>36</v>
      </c>
      <c r="I772" s="14" t="n">
        <v>1</v>
      </c>
      <c r="J772" s="58" t="n">
        <v>4961.52</v>
      </c>
      <c r="K772" s="59">
        <f>(F772-D772)/7</f>
        <v/>
      </c>
      <c r="L772" s="59">
        <f>K772^2</f>
        <v/>
      </c>
      <c r="M772" s="14">
        <f>IF(F772&lt;=E772,1,0)</f>
        <v/>
      </c>
      <c r="N772" s="14">
        <f>MAX(0,F772-E772)</f>
        <v/>
      </c>
    </row>
    <row r="773">
      <c r="A773" s="14" t="inlineStr">
        <is>
          <t>PO-00772</t>
        </is>
      </c>
      <c r="B773" s="14" t="inlineStr">
        <is>
          <t>S06</t>
        </is>
      </c>
      <c r="C773" s="14" t="inlineStr">
        <is>
          <t>NB-0030</t>
        </is>
      </c>
      <c r="D773" s="26" t="n">
        <v>45770</v>
      </c>
      <c r="E773" s="26" t="n">
        <v>45833</v>
      </c>
      <c r="F773" s="26" t="n">
        <v>45841</v>
      </c>
      <c r="G773" s="14" t="n">
        <v>36</v>
      </c>
      <c r="H773" s="14" t="n">
        <v>36</v>
      </c>
      <c r="I773" s="14" t="n">
        <v>1</v>
      </c>
      <c r="J773" s="58" t="n">
        <v>4961.52</v>
      </c>
      <c r="K773" s="59">
        <f>(F773-D773)/7</f>
        <v/>
      </c>
      <c r="L773" s="59">
        <f>K773^2</f>
        <v/>
      </c>
      <c r="M773" s="14">
        <f>IF(F773&lt;=E773,1,0)</f>
        <v/>
      </c>
      <c r="N773" s="14">
        <f>MAX(0,F773-E773)</f>
        <v/>
      </c>
    </row>
    <row r="774">
      <c r="A774" s="14" t="inlineStr">
        <is>
          <t>PO-00773</t>
        </is>
      </c>
      <c r="B774" s="14" t="inlineStr">
        <is>
          <t>S06</t>
        </is>
      </c>
      <c r="C774" s="14" t="inlineStr">
        <is>
          <t>NB-0030</t>
        </is>
      </c>
      <c r="D774" s="26" t="n">
        <v>45796</v>
      </c>
      <c r="E774" s="26" t="n">
        <v>45859</v>
      </c>
      <c r="F774" s="26" t="n">
        <v>45857</v>
      </c>
      <c r="G774" s="14" t="n">
        <v>33</v>
      </c>
      <c r="H774" s="14" t="n">
        <v>33</v>
      </c>
      <c r="I774" s="14" t="n">
        <v>0</v>
      </c>
      <c r="J774" s="58" t="n">
        <v>4548.06</v>
      </c>
      <c r="K774" s="59">
        <f>(F774-D774)/7</f>
        <v/>
      </c>
      <c r="L774" s="59">
        <f>K774^2</f>
        <v/>
      </c>
      <c r="M774" s="14">
        <f>IF(F774&lt;=E774,1,0)</f>
        <v/>
      </c>
      <c r="N774" s="14">
        <f>MAX(0,F774-E774)</f>
        <v/>
      </c>
    </row>
    <row r="775">
      <c r="A775" s="14" t="inlineStr">
        <is>
          <t>PO-00774</t>
        </is>
      </c>
      <c r="B775" s="14" t="inlineStr">
        <is>
          <t>S06</t>
        </is>
      </c>
      <c r="C775" s="14" t="inlineStr">
        <is>
          <t>NB-0030</t>
        </is>
      </c>
      <c r="D775" s="26" t="n">
        <v>45826</v>
      </c>
      <c r="E775" s="26" t="n">
        <v>45889</v>
      </c>
      <c r="F775" s="26" t="n">
        <v>45887</v>
      </c>
      <c r="G775" s="14" t="n">
        <v>41</v>
      </c>
      <c r="H775" s="14" t="n">
        <v>41</v>
      </c>
      <c r="I775" s="14" t="n">
        <v>1</v>
      </c>
      <c r="J775" s="58" t="n">
        <v>5650.62</v>
      </c>
      <c r="K775" s="59">
        <f>(F775-D775)/7</f>
        <v/>
      </c>
      <c r="L775" s="59">
        <f>K775^2</f>
        <v/>
      </c>
      <c r="M775" s="14">
        <f>IF(F775&lt;=E775,1,0)</f>
        <v/>
      </c>
      <c r="N775" s="14">
        <f>MAX(0,F775-E775)</f>
        <v/>
      </c>
    </row>
    <row r="776">
      <c r="A776" s="14" t="inlineStr">
        <is>
          <t>PO-00775</t>
        </is>
      </c>
      <c r="B776" s="14" t="inlineStr">
        <is>
          <t>S06</t>
        </is>
      </c>
      <c r="C776" s="14" t="inlineStr">
        <is>
          <t>NB-0030</t>
        </is>
      </c>
      <c r="D776" s="26" t="n">
        <v>45856</v>
      </c>
      <c r="E776" s="26" t="n">
        <v>45919</v>
      </c>
      <c r="F776" s="26" t="n">
        <v>45919</v>
      </c>
      <c r="G776" s="14" t="n">
        <v>31</v>
      </c>
      <c r="H776" s="14" t="n">
        <v>31</v>
      </c>
      <c r="I776" s="14" t="n">
        <v>3</v>
      </c>
      <c r="J776" s="58" t="n">
        <v>4272.42</v>
      </c>
      <c r="K776" s="59">
        <f>(F776-D776)/7</f>
        <v/>
      </c>
      <c r="L776" s="59">
        <f>K776^2</f>
        <v/>
      </c>
      <c r="M776" s="14">
        <f>IF(F776&lt;=E776,1,0)</f>
        <v/>
      </c>
      <c r="N776" s="14">
        <f>MAX(0,F776-E776)</f>
        <v/>
      </c>
    </row>
    <row r="777">
      <c r="A777" s="14" t="inlineStr">
        <is>
          <t>PO-00776</t>
        </is>
      </c>
      <c r="B777" s="14" t="inlineStr">
        <is>
          <t>S06</t>
        </is>
      </c>
      <c r="C777" s="14" t="inlineStr">
        <is>
          <t>NB-0030</t>
        </is>
      </c>
      <c r="D777" s="26" t="n">
        <v>45880</v>
      </c>
      <c r="E777" s="26" t="n">
        <v>45943</v>
      </c>
      <c r="F777" s="26" t="n">
        <v>45943</v>
      </c>
      <c r="G777" s="14" t="n">
        <v>40</v>
      </c>
      <c r="H777" s="14" t="n">
        <v>40</v>
      </c>
      <c r="I777" s="14" t="n">
        <v>3</v>
      </c>
      <c r="J777" s="58" t="n">
        <v>5512.8</v>
      </c>
      <c r="K777" s="59">
        <f>(F777-D777)/7</f>
        <v/>
      </c>
      <c r="L777" s="59">
        <f>K777^2</f>
        <v/>
      </c>
      <c r="M777" s="14">
        <f>IF(F777&lt;=E777,1,0)</f>
        <v/>
      </c>
      <c r="N777" s="14">
        <f>MAX(0,F777-E777)</f>
        <v/>
      </c>
    </row>
    <row r="778">
      <c r="A778" s="14" t="inlineStr">
        <is>
          <t>PO-00777</t>
        </is>
      </c>
      <c r="B778" s="14" t="inlineStr">
        <is>
          <t>S06</t>
        </is>
      </c>
      <c r="C778" s="14" t="inlineStr">
        <is>
          <t>NB-0030</t>
        </is>
      </c>
      <c r="D778" s="26" t="n">
        <v>45909</v>
      </c>
      <c r="E778" s="26" t="n">
        <v>45972</v>
      </c>
      <c r="F778" s="26" t="n">
        <v>45969</v>
      </c>
      <c r="G778" s="14" t="n">
        <v>32</v>
      </c>
      <c r="H778" s="14" t="n">
        <v>32</v>
      </c>
      <c r="I778" s="14" t="n">
        <v>0</v>
      </c>
      <c r="J778" s="58" t="n">
        <v>4410.24</v>
      </c>
      <c r="K778" s="59">
        <f>(F778-D778)/7</f>
        <v/>
      </c>
      <c r="L778" s="59">
        <f>K778^2</f>
        <v/>
      </c>
      <c r="M778" s="14">
        <f>IF(F778&lt;=E778,1,0)</f>
        <v/>
      </c>
      <c r="N778" s="14">
        <f>MAX(0,F778-E778)</f>
        <v/>
      </c>
    </row>
    <row r="779">
      <c r="A779" s="14" t="inlineStr">
        <is>
          <t>PO-00778</t>
        </is>
      </c>
      <c r="B779" s="14" t="inlineStr">
        <is>
          <t>S06</t>
        </is>
      </c>
      <c r="C779" s="14" t="inlineStr">
        <is>
          <t>NB-0030</t>
        </is>
      </c>
      <c r="D779" s="26" t="n">
        <v>45939</v>
      </c>
      <c r="E779" s="26" t="n">
        <v>46002</v>
      </c>
      <c r="F779" s="26" t="n">
        <v>46002</v>
      </c>
      <c r="G779" s="14" t="n">
        <v>38</v>
      </c>
      <c r="H779" s="14" t="n">
        <v>38</v>
      </c>
      <c r="I779" s="14" t="n">
        <v>0</v>
      </c>
      <c r="J779" s="58" t="n">
        <v>5237.16</v>
      </c>
      <c r="K779" s="59">
        <f>(F779-D779)/7</f>
        <v/>
      </c>
      <c r="L779" s="59">
        <f>K779^2</f>
        <v/>
      </c>
      <c r="M779" s="14">
        <f>IF(F779&lt;=E779,1,0)</f>
        <v/>
      </c>
      <c r="N779" s="14">
        <f>MAX(0,F779-E779)</f>
        <v/>
      </c>
    </row>
    <row r="780">
      <c r="A780" s="14" t="inlineStr">
        <is>
          <t>PO-00779</t>
        </is>
      </c>
      <c r="B780" s="14" t="inlineStr">
        <is>
          <t>S06</t>
        </is>
      </c>
      <c r="C780" s="14" t="inlineStr">
        <is>
          <t>NB-0030</t>
        </is>
      </c>
      <c r="D780" s="26" t="n">
        <v>45964</v>
      </c>
      <c r="E780" s="26" t="n">
        <v>46027</v>
      </c>
      <c r="F780" s="26" t="n">
        <v>46024</v>
      </c>
      <c r="G780" s="14" t="n">
        <v>42</v>
      </c>
      <c r="H780" s="14" t="n">
        <v>42</v>
      </c>
      <c r="I780" s="14" t="n">
        <v>1</v>
      </c>
      <c r="J780" s="58" t="n">
        <v>5788.44</v>
      </c>
      <c r="K780" s="59">
        <f>(F780-D780)/7</f>
        <v/>
      </c>
      <c r="L780" s="59">
        <f>K780^2</f>
        <v/>
      </c>
      <c r="M780" s="14">
        <f>IF(F780&lt;=E780,1,0)</f>
        <v/>
      </c>
      <c r="N780" s="14">
        <f>MAX(0,F780-E780)</f>
        <v/>
      </c>
    </row>
    <row r="781">
      <c r="A781" s="14" t="inlineStr">
        <is>
          <t>PO-00780</t>
        </is>
      </c>
      <c r="B781" s="14" t="inlineStr">
        <is>
          <t>S06</t>
        </is>
      </c>
      <c r="C781" s="14" t="inlineStr">
        <is>
          <t>NB-0030</t>
        </is>
      </c>
      <c r="D781" s="26" t="n">
        <v>45995</v>
      </c>
      <c r="E781" s="26" t="n">
        <v>46058</v>
      </c>
      <c r="F781" s="26" t="n">
        <v>46055</v>
      </c>
      <c r="G781" s="14" t="n">
        <v>41</v>
      </c>
      <c r="H781" s="14" t="n">
        <v>41</v>
      </c>
      <c r="I781" s="14" t="n">
        <v>1</v>
      </c>
      <c r="J781" s="58" t="n">
        <v>5650.62</v>
      </c>
      <c r="K781" s="59">
        <f>(F781-D781)/7</f>
        <v/>
      </c>
      <c r="L781" s="59">
        <f>K781^2</f>
        <v/>
      </c>
      <c r="M781" s="14">
        <f>IF(F781&lt;=E781,1,0)</f>
        <v/>
      </c>
      <c r="N781" s="14">
        <f>MAX(0,F781-E781)</f>
        <v/>
      </c>
    </row>
    <row r="782">
      <c r="A782" s="14" t="inlineStr">
        <is>
          <t>PO-00781</t>
        </is>
      </c>
      <c r="B782" s="14" t="inlineStr">
        <is>
          <t>S04</t>
        </is>
      </c>
      <c r="C782" s="14" t="inlineStr">
        <is>
          <t>NB-0031</t>
        </is>
      </c>
      <c r="D782" s="26" t="n">
        <v>45296</v>
      </c>
      <c r="E782" s="26" t="n">
        <v>45324</v>
      </c>
      <c r="F782" s="26" t="n">
        <v>45324</v>
      </c>
      <c r="G782" s="14" t="n">
        <v>38</v>
      </c>
      <c r="H782" s="14" t="n">
        <v>38</v>
      </c>
      <c r="I782" s="14" t="n">
        <v>1</v>
      </c>
      <c r="J782" s="58" t="n">
        <v>4762.16</v>
      </c>
      <c r="K782" s="59">
        <f>(F782-D782)/7</f>
        <v/>
      </c>
      <c r="L782" s="59">
        <f>K782^2</f>
        <v/>
      </c>
      <c r="M782" s="14">
        <f>IF(F782&lt;=E782,1,0)</f>
        <v/>
      </c>
      <c r="N782" s="14">
        <f>MAX(0,F782-E782)</f>
        <v/>
      </c>
    </row>
    <row r="783">
      <c r="A783" s="14" t="inlineStr">
        <is>
          <t>PO-00782</t>
        </is>
      </c>
      <c r="B783" s="14" t="inlineStr">
        <is>
          <t>S04</t>
        </is>
      </c>
      <c r="C783" s="14" t="inlineStr">
        <is>
          <t>NB-0031</t>
        </is>
      </c>
      <c r="D783" s="26" t="n">
        <v>45322</v>
      </c>
      <c r="E783" s="26" t="n">
        <v>45350</v>
      </c>
      <c r="F783" s="26" t="n">
        <v>45357</v>
      </c>
      <c r="G783" s="14" t="n">
        <v>40</v>
      </c>
      <c r="H783" s="14" t="n">
        <v>40</v>
      </c>
      <c r="I783" s="14" t="n">
        <v>0</v>
      </c>
      <c r="J783" s="58" t="n">
        <v>5012.8</v>
      </c>
      <c r="K783" s="59">
        <f>(F783-D783)/7</f>
        <v/>
      </c>
      <c r="L783" s="59">
        <f>K783^2</f>
        <v/>
      </c>
      <c r="M783" s="14">
        <f>IF(F783&lt;=E783,1,0)</f>
        <v/>
      </c>
      <c r="N783" s="14">
        <f>MAX(0,F783-E783)</f>
        <v/>
      </c>
    </row>
    <row r="784">
      <c r="A784" s="14" t="inlineStr">
        <is>
          <t>PO-00783</t>
        </is>
      </c>
      <c r="B784" s="14" t="inlineStr">
        <is>
          <t>S04</t>
        </is>
      </c>
      <c r="C784" s="14" t="inlineStr">
        <is>
          <t>NB-0031</t>
        </is>
      </c>
      <c r="D784" s="26" t="n">
        <v>45348</v>
      </c>
      <c r="E784" s="26" t="n">
        <v>45376</v>
      </c>
      <c r="F784" s="26" t="n">
        <v>45376</v>
      </c>
      <c r="G784" s="14" t="n">
        <v>35</v>
      </c>
      <c r="H784" s="14" t="n">
        <v>35</v>
      </c>
      <c r="I784" s="14" t="n">
        <v>0</v>
      </c>
      <c r="J784" s="58" t="n">
        <v>4386.2</v>
      </c>
      <c r="K784" s="59">
        <f>(F784-D784)/7</f>
        <v/>
      </c>
      <c r="L784" s="59">
        <f>K784^2</f>
        <v/>
      </c>
      <c r="M784" s="14">
        <f>IF(F784&lt;=E784,1,0)</f>
        <v/>
      </c>
      <c r="N784" s="14">
        <f>MAX(0,F784-E784)</f>
        <v/>
      </c>
    </row>
    <row r="785">
      <c r="A785" s="14" t="inlineStr">
        <is>
          <t>PO-00784</t>
        </is>
      </c>
      <c r="B785" s="14" t="inlineStr">
        <is>
          <t>S04</t>
        </is>
      </c>
      <c r="C785" s="14" t="inlineStr">
        <is>
          <t>NB-0031</t>
        </is>
      </c>
      <c r="D785" s="26" t="n">
        <v>45378</v>
      </c>
      <c r="E785" s="26" t="n">
        <v>45406</v>
      </c>
      <c r="F785" s="26" t="n">
        <v>45404</v>
      </c>
      <c r="G785" s="14" t="n">
        <v>43</v>
      </c>
      <c r="H785" s="14" t="n">
        <v>43</v>
      </c>
      <c r="I785" s="14" t="n">
        <v>0</v>
      </c>
      <c r="J785" s="58" t="n">
        <v>5388.76</v>
      </c>
      <c r="K785" s="59">
        <f>(F785-D785)/7</f>
        <v/>
      </c>
      <c r="L785" s="59">
        <f>K785^2</f>
        <v/>
      </c>
      <c r="M785" s="14">
        <f>IF(F785&lt;=E785,1,0)</f>
        <v/>
      </c>
      <c r="N785" s="14">
        <f>MAX(0,F785-E785)</f>
        <v/>
      </c>
    </row>
    <row r="786">
      <c r="A786" s="14" t="inlineStr">
        <is>
          <t>PO-00785</t>
        </is>
      </c>
      <c r="B786" s="14" t="inlineStr">
        <is>
          <t>S04</t>
        </is>
      </c>
      <c r="C786" s="14" t="inlineStr">
        <is>
          <t>NB-0031</t>
        </is>
      </c>
      <c r="D786" s="26" t="n">
        <v>45408</v>
      </c>
      <c r="E786" s="26" t="n">
        <v>45436</v>
      </c>
      <c r="F786" s="26" t="n">
        <v>45434</v>
      </c>
      <c r="G786" s="14" t="n">
        <v>42</v>
      </c>
      <c r="H786" s="14" t="n">
        <v>42</v>
      </c>
      <c r="I786" s="14" t="n">
        <v>0</v>
      </c>
      <c r="J786" s="58" t="n">
        <v>5263.44</v>
      </c>
      <c r="K786" s="59">
        <f>(F786-D786)/7</f>
        <v/>
      </c>
      <c r="L786" s="59">
        <f>K786^2</f>
        <v/>
      </c>
      <c r="M786" s="14">
        <f>IF(F786&lt;=E786,1,0)</f>
        <v/>
      </c>
      <c r="N786" s="14">
        <f>MAX(0,F786-E786)</f>
        <v/>
      </c>
    </row>
    <row r="787">
      <c r="A787" s="14" t="inlineStr">
        <is>
          <t>PO-00786</t>
        </is>
      </c>
      <c r="B787" s="14" t="inlineStr">
        <is>
          <t>S04</t>
        </is>
      </c>
      <c r="C787" s="14" t="inlineStr">
        <is>
          <t>NB-0031</t>
        </is>
      </c>
      <c r="D787" s="26" t="n">
        <v>45432</v>
      </c>
      <c r="E787" s="26" t="n">
        <v>45460</v>
      </c>
      <c r="F787" s="26" t="n">
        <v>45458</v>
      </c>
      <c r="G787" s="14" t="n">
        <v>40</v>
      </c>
      <c r="H787" s="14" t="n">
        <v>40</v>
      </c>
      <c r="I787" s="14" t="n">
        <v>0</v>
      </c>
      <c r="J787" s="58" t="n">
        <v>5012.8</v>
      </c>
      <c r="K787" s="59">
        <f>(F787-D787)/7</f>
        <v/>
      </c>
      <c r="L787" s="59">
        <f>K787^2</f>
        <v/>
      </c>
      <c r="M787" s="14">
        <f>IF(F787&lt;=E787,1,0)</f>
        <v/>
      </c>
      <c r="N787" s="14">
        <f>MAX(0,F787-E787)</f>
        <v/>
      </c>
    </row>
    <row r="788">
      <c r="A788" s="14" t="inlineStr">
        <is>
          <t>PO-00787</t>
        </is>
      </c>
      <c r="B788" s="14" t="inlineStr">
        <is>
          <t>S04</t>
        </is>
      </c>
      <c r="C788" s="14" t="inlineStr">
        <is>
          <t>NB-0031</t>
        </is>
      </c>
      <c r="D788" s="26" t="n">
        <v>45462</v>
      </c>
      <c r="E788" s="26" t="n">
        <v>45490</v>
      </c>
      <c r="F788" s="26" t="n">
        <v>45487</v>
      </c>
      <c r="G788" s="14" t="n">
        <v>47</v>
      </c>
      <c r="H788" s="14" t="n">
        <v>47</v>
      </c>
      <c r="I788" s="14" t="n">
        <v>0</v>
      </c>
      <c r="J788" s="58" t="n">
        <v>5890.04</v>
      </c>
      <c r="K788" s="59">
        <f>(F788-D788)/7</f>
        <v/>
      </c>
      <c r="L788" s="59">
        <f>K788^2</f>
        <v/>
      </c>
      <c r="M788" s="14">
        <f>IF(F788&lt;=E788,1,0)</f>
        <v/>
      </c>
      <c r="N788" s="14">
        <f>MAX(0,F788-E788)</f>
        <v/>
      </c>
    </row>
    <row r="789">
      <c r="A789" s="14" t="inlineStr">
        <is>
          <t>PO-00788</t>
        </is>
      </c>
      <c r="B789" s="14" t="inlineStr">
        <is>
          <t>S04</t>
        </is>
      </c>
      <c r="C789" s="14" t="inlineStr">
        <is>
          <t>NB-0031</t>
        </is>
      </c>
      <c r="D789" s="26" t="n">
        <v>45492</v>
      </c>
      <c r="E789" s="26" t="n">
        <v>45520</v>
      </c>
      <c r="F789" s="26" t="n">
        <v>45517</v>
      </c>
      <c r="G789" s="14" t="n">
        <v>43</v>
      </c>
      <c r="H789" s="14" t="n">
        <v>43</v>
      </c>
      <c r="I789" s="14" t="n">
        <v>0</v>
      </c>
      <c r="J789" s="58" t="n">
        <v>5388.76</v>
      </c>
      <c r="K789" s="59">
        <f>(F789-D789)/7</f>
        <v/>
      </c>
      <c r="L789" s="59">
        <f>K789^2</f>
        <v/>
      </c>
      <c r="M789" s="14">
        <f>IF(F789&lt;=E789,1,0)</f>
        <v/>
      </c>
      <c r="N789" s="14">
        <f>MAX(0,F789-E789)</f>
        <v/>
      </c>
    </row>
    <row r="790">
      <c r="A790" s="14" t="inlineStr">
        <is>
          <t>PO-00789</t>
        </is>
      </c>
      <c r="B790" s="14" t="inlineStr">
        <is>
          <t>S04</t>
        </is>
      </c>
      <c r="C790" s="14" t="inlineStr">
        <is>
          <t>NB-0031</t>
        </is>
      </c>
      <c r="D790" s="26" t="n">
        <v>45520</v>
      </c>
      <c r="E790" s="26" t="n">
        <v>45548</v>
      </c>
      <c r="F790" s="26" t="n">
        <v>45546</v>
      </c>
      <c r="G790" s="14" t="n">
        <v>42</v>
      </c>
      <c r="H790" s="14" t="n">
        <v>42</v>
      </c>
      <c r="I790" s="14" t="n">
        <v>0</v>
      </c>
      <c r="J790" s="58" t="n">
        <v>5263.44</v>
      </c>
      <c r="K790" s="59">
        <f>(F790-D790)/7</f>
        <v/>
      </c>
      <c r="L790" s="59">
        <f>K790^2</f>
        <v/>
      </c>
      <c r="M790" s="14">
        <f>IF(F790&lt;=E790,1,0)</f>
        <v/>
      </c>
      <c r="N790" s="14">
        <f>MAX(0,F790-E790)</f>
        <v/>
      </c>
    </row>
    <row r="791">
      <c r="A791" s="14" t="inlineStr">
        <is>
          <t>PO-00790</t>
        </is>
      </c>
      <c r="B791" s="14" t="inlineStr">
        <is>
          <t>S04</t>
        </is>
      </c>
      <c r="C791" s="14" t="inlineStr">
        <is>
          <t>NB-0031</t>
        </is>
      </c>
      <c r="D791" s="26" t="n">
        <v>45545</v>
      </c>
      <c r="E791" s="26" t="n">
        <v>45573</v>
      </c>
      <c r="F791" s="26" t="n">
        <v>45579</v>
      </c>
      <c r="G791" s="14" t="n">
        <v>43</v>
      </c>
      <c r="H791" s="14" t="n">
        <v>43</v>
      </c>
      <c r="I791" s="14" t="n">
        <v>0</v>
      </c>
      <c r="J791" s="58" t="n">
        <v>5388.76</v>
      </c>
      <c r="K791" s="59">
        <f>(F791-D791)/7</f>
        <v/>
      </c>
      <c r="L791" s="59">
        <f>K791^2</f>
        <v/>
      </c>
      <c r="M791" s="14">
        <f>IF(F791&lt;=E791,1,0)</f>
        <v/>
      </c>
      <c r="N791" s="14">
        <f>MAX(0,F791-E791)</f>
        <v/>
      </c>
    </row>
    <row r="792">
      <c r="A792" s="14" t="inlineStr">
        <is>
          <t>PO-00791</t>
        </is>
      </c>
      <c r="B792" s="14" t="inlineStr">
        <is>
          <t>S04</t>
        </is>
      </c>
      <c r="C792" s="14" t="inlineStr">
        <is>
          <t>NB-0031</t>
        </is>
      </c>
      <c r="D792" s="26" t="n">
        <v>45574</v>
      </c>
      <c r="E792" s="26" t="n">
        <v>45602</v>
      </c>
      <c r="F792" s="26" t="n">
        <v>45602</v>
      </c>
      <c r="G792" s="14" t="n">
        <v>46</v>
      </c>
      <c r="H792" s="14" t="n">
        <v>46</v>
      </c>
      <c r="I792" s="14" t="n">
        <v>3</v>
      </c>
      <c r="J792" s="58" t="n">
        <v>5764.72</v>
      </c>
      <c r="K792" s="59">
        <f>(F792-D792)/7</f>
        <v/>
      </c>
      <c r="L792" s="59">
        <f>K792^2</f>
        <v/>
      </c>
      <c r="M792" s="14">
        <f>IF(F792&lt;=E792,1,0)</f>
        <v/>
      </c>
      <c r="N792" s="14">
        <f>MAX(0,F792-E792)</f>
        <v/>
      </c>
    </row>
    <row r="793">
      <c r="A793" s="14" t="inlineStr">
        <is>
          <t>PO-00792</t>
        </is>
      </c>
      <c r="B793" s="14" t="inlineStr">
        <is>
          <t>S04</t>
        </is>
      </c>
      <c r="C793" s="14" t="inlineStr">
        <is>
          <t>NB-0031</t>
        </is>
      </c>
      <c r="D793" s="26" t="n">
        <v>45603</v>
      </c>
      <c r="E793" s="26" t="n">
        <v>45631</v>
      </c>
      <c r="F793" s="26" t="n">
        <v>45630</v>
      </c>
      <c r="G793" s="14" t="n">
        <v>48</v>
      </c>
      <c r="H793" s="14" t="n">
        <v>48</v>
      </c>
      <c r="I793" s="14" t="n">
        <v>0</v>
      </c>
      <c r="J793" s="58" t="n">
        <v>6015.36</v>
      </c>
      <c r="K793" s="59">
        <f>(F793-D793)/7</f>
        <v/>
      </c>
      <c r="L793" s="59">
        <f>K793^2</f>
        <v/>
      </c>
      <c r="M793" s="14">
        <f>IF(F793&lt;=E793,1,0)</f>
        <v/>
      </c>
      <c r="N793" s="14">
        <f>MAX(0,F793-E793)</f>
        <v/>
      </c>
    </row>
    <row r="794">
      <c r="A794" s="14" t="inlineStr">
        <is>
          <t>PO-00793</t>
        </is>
      </c>
      <c r="B794" s="14" t="inlineStr">
        <is>
          <t>S04</t>
        </is>
      </c>
      <c r="C794" s="14" t="inlineStr">
        <is>
          <t>NB-0031</t>
        </is>
      </c>
      <c r="D794" s="26" t="n">
        <v>45630</v>
      </c>
      <c r="E794" s="26" t="n">
        <v>45658</v>
      </c>
      <c r="F794" s="26" t="n">
        <v>45657</v>
      </c>
      <c r="G794" s="14" t="n">
        <v>44</v>
      </c>
      <c r="H794" s="14" t="n">
        <v>44</v>
      </c>
      <c r="I794" s="14" t="n">
        <v>2</v>
      </c>
      <c r="J794" s="58" t="n">
        <v>5514.08</v>
      </c>
      <c r="K794" s="59">
        <f>(F794-D794)/7</f>
        <v/>
      </c>
      <c r="L794" s="59">
        <f>K794^2</f>
        <v/>
      </c>
      <c r="M794" s="14">
        <f>IF(F794&lt;=E794,1,0)</f>
        <v/>
      </c>
      <c r="N794" s="14">
        <f>MAX(0,F794-E794)</f>
        <v/>
      </c>
    </row>
    <row r="795">
      <c r="A795" s="14" t="inlineStr">
        <is>
          <t>PO-00794</t>
        </is>
      </c>
      <c r="B795" s="14" t="inlineStr">
        <is>
          <t>S04</t>
        </is>
      </c>
      <c r="C795" s="14" t="inlineStr">
        <is>
          <t>NB-0031</t>
        </is>
      </c>
      <c r="D795" s="26" t="n">
        <v>45658</v>
      </c>
      <c r="E795" s="26" t="n">
        <v>45686</v>
      </c>
      <c r="F795" s="26" t="n">
        <v>45686</v>
      </c>
      <c r="G795" s="14" t="n">
        <v>36</v>
      </c>
      <c r="H795" s="14" t="n">
        <v>36</v>
      </c>
      <c r="I795" s="14" t="n">
        <v>0</v>
      </c>
      <c r="J795" s="58" t="n">
        <v>4511.52</v>
      </c>
      <c r="K795" s="59">
        <f>(F795-D795)/7</f>
        <v/>
      </c>
      <c r="L795" s="59">
        <f>K795^2</f>
        <v/>
      </c>
      <c r="M795" s="14">
        <f>IF(F795&lt;=E795,1,0)</f>
        <v/>
      </c>
      <c r="N795" s="14">
        <f>MAX(0,F795-E795)</f>
        <v/>
      </c>
    </row>
    <row r="796">
      <c r="A796" s="14" t="inlineStr">
        <is>
          <t>PO-00795</t>
        </is>
      </c>
      <c r="B796" s="14" t="inlineStr">
        <is>
          <t>S04</t>
        </is>
      </c>
      <c r="C796" s="14" t="inlineStr">
        <is>
          <t>NB-0031</t>
        </is>
      </c>
      <c r="D796" s="26" t="n">
        <v>45684</v>
      </c>
      <c r="E796" s="26" t="n">
        <v>45712</v>
      </c>
      <c r="F796" s="26" t="n">
        <v>45712</v>
      </c>
      <c r="G796" s="14" t="n">
        <v>39</v>
      </c>
      <c r="H796" s="14" t="n">
        <v>39</v>
      </c>
      <c r="I796" s="14" t="n">
        <v>1</v>
      </c>
      <c r="J796" s="58" t="n">
        <v>4887.48</v>
      </c>
      <c r="K796" s="59">
        <f>(F796-D796)/7</f>
        <v/>
      </c>
      <c r="L796" s="59">
        <f>K796^2</f>
        <v/>
      </c>
      <c r="M796" s="14">
        <f>IF(F796&lt;=E796,1,0)</f>
        <v/>
      </c>
      <c r="N796" s="14">
        <f>MAX(0,F796-E796)</f>
        <v/>
      </c>
    </row>
    <row r="797">
      <c r="A797" s="14" t="inlineStr">
        <is>
          <t>PO-00796</t>
        </is>
      </c>
      <c r="B797" s="14" t="inlineStr">
        <is>
          <t>S04</t>
        </is>
      </c>
      <c r="C797" s="14" t="inlineStr">
        <is>
          <t>NB-0031</t>
        </is>
      </c>
      <c r="D797" s="26" t="n">
        <v>45714</v>
      </c>
      <c r="E797" s="26" t="n">
        <v>45742</v>
      </c>
      <c r="F797" s="26" t="n">
        <v>45741</v>
      </c>
      <c r="G797" s="14" t="n">
        <v>36</v>
      </c>
      <c r="H797" s="14" t="n">
        <v>36</v>
      </c>
      <c r="I797" s="14" t="n">
        <v>0</v>
      </c>
      <c r="J797" s="58" t="n">
        <v>4511.52</v>
      </c>
      <c r="K797" s="59">
        <f>(F797-D797)/7</f>
        <v/>
      </c>
      <c r="L797" s="59">
        <f>K797^2</f>
        <v/>
      </c>
      <c r="M797" s="14">
        <f>IF(F797&lt;=E797,1,0)</f>
        <v/>
      </c>
      <c r="N797" s="14">
        <f>MAX(0,F797-E797)</f>
        <v/>
      </c>
    </row>
    <row r="798">
      <c r="A798" s="14" t="inlineStr">
        <is>
          <t>PO-00797</t>
        </is>
      </c>
      <c r="B798" s="14" t="inlineStr">
        <is>
          <t>S04</t>
        </is>
      </c>
      <c r="C798" s="14" t="inlineStr">
        <is>
          <t>NB-0031</t>
        </is>
      </c>
      <c r="D798" s="26" t="n">
        <v>45743</v>
      </c>
      <c r="E798" s="26" t="n">
        <v>45771</v>
      </c>
      <c r="F798" s="26" t="n">
        <v>45770</v>
      </c>
      <c r="G798" s="14" t="n">
        <v>38</v>
      </c>
      <c r="H798" s="14" t="n">
        <v>38</v>
      </c>
      <c r="I798" s="14" t="n">
        <v>0</v>
      </c>
      <c r="J798" s="58" t="n">
        <v>4762.16</v>
      </c>
      <c r="K798" s="59">
        <f>(F798-D798)/7</f>
        <v/>
      </c>
      <c r="L798" s="59">
        <f>K798^2</f>
        <v/>
      </c>
      <c r="M798" s="14">
        <f>IF(F798&lt;=E798,1,0)</f>
        <v/>
      </c>
      <c r="N798" s="14">
        <f>MAX(0,F798-E798)</f>
        <v/>
      </c>
    </row>
    <row r="799">
      <c r="A799" s="14" t="inlineStr">
        <is>
          <t>PO-00798</t>
        </is>
      </c>
      <c r="B799" s="14" t="inlineStr">
        <is>
          <t>S04</t>
        </is>
      </c>
      <c r="C799" s="14" t="inlineStr">
        <is>
          <t>NB-0031</t>
        </is>
      </c>
      <c r="D799" s="26" t="n">
        <v>45768</v>
      </c>
      <c r="E799" s="26" t="n">
        <v>45796</v>
      </c>
      <c r="F799" s="26" t="n">
        <v>45795</v>
      </c>
      <c r="G799" s="14" t="n">
        <v>44</v>
      </c>
      <c r="H799" s="14" t="n">
        <v>44</v>
      </c>
      <c r="I799" s="14" t="n">
        <v>0</v>
      </c>
      <c r="J799" s="58" t="n">
        <v>5514.08</v>
      </c>
      <c r="K799" s="59">
        <f>(F799-D799)/7</f>
        <v/>
      </c>
      <c r="L799" s="59">
        <f>K799^2</f>
        <v/>
      </c>
      <c r="M799" s="14">
        <f>IF(F799&lt;=E799,1,0)</f>
        <v/>
      </c>
      <c r="N799" s="14">
        <f>MAX(0,F799-E799)</f>
        <v/>
      </c>
    </row>
    <row r="800">
      <c r="A800" s="14" t="inlineStr">
        <is>
          <t>PO-00799</t>
        </is>
      </c>
      <c r="B800" s="14" t="inlineStr">
        <is>
          <t>S04</t>
        </is>
      </c>
      <c r="C800" s="14" t="inlineStr">
        <is>
          <t>NB-0031</t>
        </is>
      </c>
      <c r="D800" s="26" t="n">
        <v>45799</v>
      </c>
      <c r="E800" s="26" t="n">
        <v>45827</v>
      </c>
      <c r="F800" s="26" t="n">
        <v>45826</v>
      </c>
      <c r="G800" s="14" t="n">
        <v>36</v>
      </c>
      <c r="H800" s="14" t="n">
        <v>36</v>
      </c>
      <c r="I800" s="14" t="n">
        <v>1</v>
      </c>
      <c r="J800" s="58" t="n">
        <v>4511.52</v>
      </c>
      <c r="K800" s="59">
        <f>(F800-D800)/7</f>
        <v/>
      </c>
      <c r="L800" s="59">
        <f>K800^2</f>
        <v/>
      </c>
      <c r="M800" s="14">
        <f>IF(F800&lt;=E800,1,0)</f>
        <v/>
      </c>
      <c r="N800" s="14">
        <f>MAX(0,F800-E800)</f>
        <v/>
      </c>
    </row>
    <row r="801">
      <c r="A801" s="14" t="inlineStr">
        <is>
          <t>PO-00800</t>
        </is>
      </c>
      <c r="B801" s="14" t="inlineStr">
        <is>
          <t>S04</t>
        </is>
      </c>
      <c r="C801" s="14" t="inlineStr">
        <is>
          <t>NB-0031</t>
        </is>
      </c>
      <c r="D801" s="26" t="n">
        <v>45824</v>
      </c>
      <c r="E801" s="26" t="n">
        <v>45852</v>
      </c>
      <c r="F801" s="26" t="n">
        <v>45850</v>
      </c>
      <c r="G801" s="14" t="n">
        <v>35</v>
      </c>
      <c r="H801" s="14" t="n">
        <v>35</v>
      </c>
      <c r="I801" s="14" t="n">
        <v>1</v>
      </c>
      <c r="J801" s="58" t="n">
        <v>4386.2</v>
      </c>
      <c r="K801" s="59">
        <f>(F801-D801)/7</f>
        <v/>
      </c>
      <c r="L801" s="59">
        <f>K801^2</f>
        <v/>
      </c>
      <c r="M801" s="14">
        <f>IF(F801&lt;=E801,1,0)</f>
        <v/>
      </c>
      <c r="N801" s="14">
        <f>MAX(0,F801-E801)</f>
        <v/>
      </c>
    </row>
    <row r="802">
      <c r="A802" s="14" t="inlineStr">
        <is>
          <t>PO-00801</t>
        </is>
      </c>
      <c r="B802" s="14" t="inlineStr">
        <is>
          <t>S04</t>
        </is>
      </c>
      <c r="C802" s="14" t="inlineStr">
        <is>
          <t>NB-0031</t>
        </is>
      </c>
      <c r="D802" s="26" t="n">
        <v>45856</v>
      </c>
      <c r="E802" s="26" t="n">
        <v>45884</v>
      </c>
      <c r="F802" s="26" t="n">
        <v>45881</v>
      </c>
      <c r="G802" s="14" t="n">
        <v>39</v>
      </c>
      <c r="H802" s="14" t="n">
        <v>39</v>
      </c>
      <c r="I802" s="14" t="n">
        <v>1</v>
      </c>
      <c r="J802" s="58" t="n">
        <v>4887.48</v>
      </c>
      <c r="K802" s="59">
        <f>(F802-D802)/7</f>
        <v/>
      </c>
      <c r="L802" s="59">
        <f>K802^2</f>
        <v/>
      </c>
      <c r="M802" s="14">
        <f>IF(F802&lt;=E802,1,0)</f>
        <v/>
      </c>
      <c r="N802" s="14">
        <f>MAX(0,F802-E802)</f>
        <v/>
      </c>
    </row>
    <row r="803">
      <c r="A803" s="14" t="inlineStr">
        <is>
          <t>PO-00802</t>
        </is>
      </c>
      <c r="B803" s="14" t="inlineStr">
        <is>
          <t>S04</t>
        </is>
      </c>
      <c r="C803" s="14" t="inlineStr">
        <is>
          <t>NB-0031</t>
        </is>
      </c>
      <c r="D803" s="26" t="n">
        <v>45883</v>
      </c>
      <c r="E803" s="26" t="n">
        <v>45911</v>
      </c>
      <c r="F803" s="26" t="n">
        <v>45918</v>
      </c>
      <c r="G803" s="14" t="n">
        <v>36</v>
      </c>
      <c r="H803" s="14" t="n">
        <v>36</v>
      </c>
      <c r="I803" s="14" t="n">
        <v>0</v>
      </c>
      <c r="J803" s="58" t="n">
        <v>4511.52</v>
      </c>
      <c r="K803" s="59">
        <f>(F803-D803)/7</f>
        <v/>
      </c>
      <c r="L803" s="59">
        <f>K803^2</f>
        <v/>
      </c>
      <c r="M803" s="14">
        <f>IF(F803&lt;=E803,1,0)</f>
        <v/>
      </c>
      <c r="N803" s="14">
        <f>MAX(0,F803-E803)</f>
        <v/>
      </c>
    </row>
    <row r="804">
      <c r="A804" s="14" t="inlineStr">
        <is>
          <t>PO-00803</t>
        </is>
      </c>
      <c r="B804" s="14" t="inlineStr">
        <is>
          <t>S04</t>
        </is>
      </c>
      <c r="C804" s="14" t="inlineStr">
        <is>
          <t>NB-0031</t>
        </is>
      </c>
      <c r="D804" s="26" t="n">
        <v>45909</v>
      </c>
      <c r="E804" s="26" t="n">
        <v>45937</v>
      </c>
      <c r="F804" s="26" t="n">
        <v>45937</v>
      </c>
      <c r="G804" s="14" t="n">
        <v>39</v>
      </c>
      <c r="H804" s="14" t="n">
        <v>39</v>
      </c>
      <c r="I804" s="14" t="n">
        <v>0</v>
      </c>
      <c r="J804" s="58" t="n">
        <v>4887.48</v>
      </c>
      <c r="K804" s="59">
        <f>(F804-D804)/7</f>
        <v/>
      </c>
      <c r="L804" s="59">
        <f>K804^2</f>
        <v/>
      </c>
      <c r="M804" s="14">
        <f>IF(F804&lt;=E804,1,0)</f>
        <v/>
      </c>
      <c r="N804" s="14">
        <f>MAX(0,F804-E804)</f>
        <v/>
      </c>
    </row>
    <row r="805">
      <c r="A805" s="14" t="inlineStr">
        <is>
          <t>PO-00804</t>
        </is>
      </c>
      <c r="B805" s="14" t="inlineStr">
        <is>
          <t>S04</t>
        </is>
      </c>
      <c r="C805" s="14" t="inlineStr">
        <is>
          <t>NB-0031</t>
        </is>
      </c>
      <c r="D805" s="26" t="n">
        <v>45939</v>
      </c>
      <c r="E805" s="26" t="n">
        <v>45967</v>
      </c>
      <c r="F805" s="26" t="n">
        <v>45967</v>
      </c>
      <c r="G805" s="14" t="n">
        <v>44</v>
      </c>
      <c r="H805" s="14" t="n">
        <v>44</v>
      </c>
      <c r="I805" s="14" t="n">
        <v>2</v>
      </c>
      <c r="J805" s="58" t="n">
        <v>5514.08</v>
      </c>
      <c r="K805" s="59">
        <f>(F805-D805)/7</f>
        <v/>
      </c>
      <c r="L805" s="59">
        <f>K805^2</f>
        <v/>
      </c>
      <c r="M805" s="14">
        <f>IF(F805&lt;=E805,1,0)</f>
        <v/>
      </c>
      <c r="N805" s="14">
        <f>MAX(0,F805-E805)</f>
        <v/>
      </c>
    </row>
    <row r="806">
      <c r="A806" s="14" t="inlineStr">
        <is>
          <t>PO-00805</t>
        </is>
      </c>
      <c r="B806" s="14" t="inlineStr">
        <is>
          <t>S04</t>
        </is>
      </c>
      <c r="C806" s="14" t="inlineStr">
        <is>
          <t>NB-0031</t>
        </is>
      </c>
      <c r="D806" s="26" t="n">
        <v>45966</v>
      </c>
      <c r="E806" s="26" t="n">
        <v>45994</v>
      </c>
      <c r="F806" s="26" t="n">
        <v>45997</v>
      </c>
      <c r="G806" s="14" t="n">
        <v>42</v>
      </c>
      <c r="H806" s="14" t="n">
        <v>42</v>
      </c>
      <c r="I806" s="14" t="n">
        <v>1</v>
      </c>
      <c r="J806" s="58" t="n">
        <v>5263.44</v>
      </c>
      <c r="K806" s="59">
        <f>(F806-D806)/7</f>
        <v/>
      </c>
      <c r="L806" s="59">
        <f>K806^2</f>
        <v/>
      </c>
      <c r="M806" s="14">
        <f>IF(F806&lt;=E806,1,0)</f>
        <v/>
      </c>
      <c r="N806" s="14">
        <f>MAX(0,F806-E806)</f>
        <v/>
      </c>
    </row>
    <row r="807">
      <c r="A807" s="14" t="inlineStr">
        <is>
          <t>PO-00806</t>
        </is>
      </c>
      <c r="B807" s="14" t="inlineStr">
        <is>
          <t>S04</t>
        </is>
      </c>
      <c r="C807" s="14" t="inlineStr">
        <is>
          <t>NB-0031</t>
        </is>
      </c>
      <c r="D807" s="26" t="n">
        <v>45994</v>
      </c>
      <c r="E807" s="26" t="n">
        <v>46022</v>
      </c>
      <c r="F807" s="26" t="n">
        <v>46021</v>
      </c>
      <c r="G807" s="14" t="n">
        <v>43</v>
      </c>
      <c r="H807" s="14" t="n">
        <v>43</v>
      </c>
      <c r="I807" s="14" t="n">
        <v>0</v>
      </c>
      <c r="J807" s="58" t="n">
        <v>5388.76</v>
      </c>
      <c r="K807" s="59">
        <f>(F807-D807)/7</f>
        <v/>
      </c>
      <c r="L807" s="59">
        <f>K807^2</f>
        <v/>
      </c>
      <c r="M807" s="14">
        <f>IF(F807&lt;=E807,1,0)</f>
        <v/>
      </c>
      <c r="N807" s="14">
        <f>MAX(0,F807-E807)</f>
        <v/>
      </c>
    </row>
    <row r="808">
      <c r="A808" s="14" t="inlineStr">
        <is>
          <t>PO-00807</t>
        </is>
      </c>
      <c r="B808" s="14" t="inlineStr">
        <is>
          <t>S06</t>
        </is>
      </c>
      <c r="C808" s="14" t="inlineStr">
        <is>
          <t>NB-0032</t>
        </is>
      </c>
      <c r="D808" s="26" t="n">
        <v>45292</v>
      </c>
      <c r="E808" s="26" t="n">
        <v>45355</v>
      </c>
      <c r="F808" s="26" t="n">
        <v>45352</v>
      </c>
      <c r="G808" s="14" t="n">
        <v>43</v>
      </c>
      <c r="H808" s="14" t="n">
        <v>43</v>
      </c>
      <c r="I808" s="14" t="n">
        <v>1</v>
      </c>
      <c r="J808" s="58" t="n">
        <v>1810.73</v>
      </c>
      <c r="K808" s="59">
        <f>(F808-D808)/7</f>
        <v/>
      </c>
      <c r="L808" s="59">
        <f>K808^2</f>
        <v/>
      </c>
      <c r="M808" s="14">
        <f>IF(F808&lt;=E808,1,0)</f>
        <v/>
      </c>
      <c r="N808" s="14">
        <f>MAX(0,F808-E808)</f>
        <v/>
      </c>
    </row>
    <row r="809">
      <c r="A809" s="14" t="inlineStr">
        <is>
          <t>PO-00808</t>
        </is>
      </c>
      <c r="B809" s="14" t="inlineStr">
        <is>
          <t>S06</t>
        </is>
      </c>
      <c r="C809" s="14" t="inlineStr">
        <is>
          <t>NB-0032</t>
        </is>
      </c>
      <c r="D809" s="26" t="n">
        <v>45323</v>
      </c>
      <c r="E809" s="26" t="n">
        <v>45386</v>
      </c>
      <c r="F809" s="26" t="n">
        <v>45400</v>
      </c>
      <c r="G809" s="14" t="n">
        <v>58</v>
      </c>
      <c r="H809" s="14" t="n">
        <v>58</v>
      </c>
      <c r="I809" s="14" t="n">
        <v>0</v>
      </c>
      <c r="J809" s="58" t="n">
        <v>2442.38</v>
      </c>
      <c r="K809" s="59">
        <f>(F809-D809)/7</f>
        <v/>
      </c>
      <c r="L809" s="59">
        <f>K809^2</f>
        <v/>
      </c>
      <c r="M809" s="14">
        <f>IF(F809&lt;=E809,1,0)</f>
        <v/>
      </c>
      <c r="N809" s="14">
        <f>MAX(0,F809-E809)</f>
        <v/>
      </c>
    </row>
    <row r="810">
      <c r="A810" s="14" t="inlineStr">
        <is>
          <t>PO-00809</t>
        </is>
      </c>
      <c r="B810" s="14" t="inlineStr">
        <is>
          <t>S06</t>
        </is>
      </c>
      <c r="C810" s="14" t="inlineStr">
        <is>
          <t>NB-0032</t>
        </is>
      </c>
      <c r="D810" s="26" t="n">
        <v>45348</v>
      </c>
      <c r="E810" s="26" t="n">
        <v>45411</v>
      </c>
      <c r="F810" s="26" t="n">
        <v>45410</v>
      </c>
      <c r="G810" s="14" t="n">
        <v>58</v>
      </c>
      <c r="H810" s="14" t="n">
        <v>58</v>
      </c>
      <c r="I810" s="14" t="n">
        <v>4</v>
      </c>
      <c r="J810" s="58" t="n">
        <v>2442.38</v>
      </c>
      <c r="K810" s="59">
        <f>(F810-D810)/7</f>
        <v/>
      </c>
      <c r="L810" s="59">
        <f>K810^2</f>
        <v/>
      </c>
      <c r="M810" s="14">
        <f>IF(F810&lt;=E810,1,0)</f>
        <v/>
      </c>
      <c r="N810" s="14">
        <f>MAX(0,F810-E810)</f>
        <v/>
      </c>
    </row>
    <row r="811">
      <c r="A811" s="14" t="inlineStr">
        <is>
          <t>PO-00810</t>
        </is>
      </c>
      <c r="B811" s="14" t="inlineStr">
        <is>
          <t>S06</t>
        </is>
      </c>
      <c r="C811" s="14" t="inlineStr">
        <is>
          <t>NB-0032</t>
        </is>
      </c>
      <c r="D811" s="26" t="n">
        <v>45379</v>
      </c>
      <c r="E811" s="26" t="n">
        <v>45442</v>
      </c>
      <c r="F811" s="26" t="n">
        <v>45442</v>
      </c>
      <c r="G811" s="14" t="n">
        <v>48</v>
      </c>
      <c r="H811" s="14" t="n">
        <v>44</v>
      </c>
      <c r="I811" s="14" t="n">
        <v>2</v>
      </c>
      <c r="J811" s="58" t="n">
        <v>2021.28</v>
      </c>
      <c r="K811" s="59">
        <f>(F811-D811)/7</f>
        <v/>
      </c>
      <c r="L811" s="59">
        <f>K811^2</f>
        <v/>
      </c>
      <c r="M811" s="14">
        <f>IF(F811&lt;=E811,1,0)</f>
        <v/>
      </c>
      <c r="N811" s="14">
        <f>MAX(0,F811-E811)</f>
        <v/>
      </c>
    </row>
    <row r="812">
      <c r="A812" s="14" t="inlineStr">
        <is>
          <t>PO-00811</t>
        </is>
      </c>
      <c r="B812" s="14" t="inlineStr">
        <is>
          <t>S06</t>
        </is>
      </c>
      <c r="C812" s="14" t="inlineStr">
        <is>
          <t>NB-0032</t>
        </is>
      </c>
      <c r="D812" s="26" t="n">
        <v>45407</v>
      </c>
      <c r="E812" s="26" t="n">
        <v>45470</v>
      </c>
      <c r="F812" s="26" t="n">
        <v>45484</v>
      </c>
      <c r="G812" s="14" t="n">
        <v>47</v>
      </c>
      <c r="H812" s="14" t="n">
        <v>47</v>
      </c>
      <c r="I812" s="14" t="n">
        <v>0</v>
      </c>
      <c r="J812" s="58" t="n">
        <v>1979.17</v>
      </c>
      <c r="K812" s="59">
        <f>(F812-D812)/7</f>
        <v/>
      </c>
      <c r="L812" s="59">
        <f>K812^2</f>
        <v/>
      </c>
      <c r="M812" s="14">
        <f>IF(F812&lt;=E812,1,0)</f>
        <v/>
      </c>
      <c r="N812" s="14">
        <f>MAX(0,F812-E812)</f>
        <v/>
      </c>
    </row>
    <row r="813">
      <c r="A813" s="14" t="inlineStr">
        <is>
          <t>PO-00812</t>
        </is>
      </c>
      <c r="B813" s="14" t="inlineStr">
        <is>
          <t>S06</t>
        </is>
      </c>
      <c r="C813" s="14" t="inlineStr">
        <is>
          <t>NB-0032</t>
        </is>
      </c>
      <c r="D813" s="26" t="n">
        <v>45435</v>
      </c>
      <c r="E813" s="26" t="n">
        <v>45498</v>
      </c>
      <c r="F813" s="26" t="n">
        <v>45496</v>
      </c>
      <c r="G813" s="14" t="n">
        <v>57</v>
      </c>
      <c r="H813" s="14" t="n">
        <v>57</v>
      </c>
      <c r="I813" s="14" t="n">
        <v>0</v>
      </c>
      <c r="J813" s="58" t="n">
        <v>2400.27</v>
      </c>
      <c r="K813" s="59">
        <f>(F813-D813)/7</f>
        <v/>
      </c>
      <c r="L813" s="59">
        <f>K813^2</f>
        <v/>
      </c>
      <c r="M813" s="14">
        <f>IF(F813&lt;=E813,1,0)</f>
        <v/>
      </c>
      <c r="N813" s="14">
        <f>MAX(0,F813-E813)</f>
        <v/>
      </c>
    </row>
    <row r="814">
      <c r="A814" s="14" t="inlineStr">
        <is>
          <t>PO-00813</t>
        </is>
      </c>
      <c r="B814" s="14" t="inlineStr">
        <is>
          <t>S06</t>
        </is>
      </c>
      <c r="C814" s="14" t="inlineStr">
        <is>
          <t>NB-0032</t>
        </is>
      </c>
      <c r="D814" s="26" t="n">
        <v>45462</v>
      </c>
      <c r="E814" s="26" t="n">
        <v>45525</v>
      </c>
      <c r="F814" s="26" t="n">
        <v>45534</v>
      </c>
      <c r="G814" s="14" t="n">
        <v>50</v>
      </c>
      <c r="H814" s="14" t="n">
        <v>50</v>
      </c>
      <c r="I814" s="14" t="n">
        <v>1</v>
      </c>
      <c r="J814" s="58" t="n">
        <v>2105.5</v>
      </c>
      <c r="K814" s="59">
        <f>(F814-D814)/7</f>
        <v/>
      </c>
      <c r="L814" s="59">
        <f>K814^2</f>
        <v/>
      </c>
      <c r="M814" s="14">
        <f>IF(F814&lt;=E814,1,0)</f>
        <v/>
      </c>
      <c r="N814" s="14">
        <f>MAX(0,F814-E814)</f>
        <v/>
      </c>
    </row>
    <row r="815">
      <c r="A815" s="14" t="inlineStr">
        <is>
          <t>PO-00814</t>
        </is>
      </c>
      <c r="B815" s="14" t="inlineStr">
        <is>
          <t>S06</t>
        </is>
      </c>
      <c r="C815" s="14" t="inlineStr">
        <is>
          <t>NB-0032</t>
        </is>
      </c>
      <c r="D815" s="26" t="n">
        <v>45488</v>
      </c>
      <c r="E815" s="26" t="n">
        <v>45551</v>
      </c>
      <c r="F815" s="26" t="n">
        <v>45548</v>
      </c>
      <c r="G815" s="14" t="n">
        <v>56</v>
      </c>
      <c r="H815" s="14" t="n">
        <v>54</v>
      </c>
      <c r="I815" s="14" t="n">
        <v>1</v>
      </c>
      <c r="J815" s="58" t="n">
        <v>2358.16</v>
      </c>
      <c r="K815" s="59">
        <f>(F815-D815)/7</f>
        <v/>
      </c>
      <c r="L815" s="59">
        <f>K815^2</f>
        <v/>
      </c>
      <c r="M815" s="14">
        <f>IF(F815&lt;=E815,1,0)</f>
        <v/>
      </c>
      <c r="N815" s="14">
        <f>MAX(0,F815-E815)</f>
        <v/>
      </c>
    </row>
    <row r="816">
      <c r="A816" s="14" t="inlineStr">
        <is>
          <t>PO-00815</t>
        </is>
      </c>
      <c r="B816" s="14" t="inlineStr">
        <is>
          <t>S06</t>
        </is>
      </c>
      <c r="C816" s="14" t="inlineStr">
        <is>
          <t>NB-0032</t>
        </is>
      </c>
      <c r="D816" s="26" t="n">
        <v>45519</v>
      </c>
      <c r="E816" s="26" t="n">
        <v>45582</v>
      </c>
      <c r="F816" s="26" t="n">
        <v>45581</v>
      </c>
      <c r="G816" s="14" t="n">
        <v>55</v>
      </c>
      <c r="H816" s="14" t="n">
        <v>55</v>
      </c>
      <c r="I816" s="14" t="n">
        <v>0</v>
      </c>
      <c r="J816" s="58" t="n">
        <v>2316.05</v>
      </c>
      <c r="K816" s="59">
        <f>(F816-D816)/7</f>
        <v/>
      </c>
      <c r="L816" s="59">
        <f>K816^2</f>
        <v/>
      </c>
      <c r="M816" s="14">
        <f>IF(F816&lt;=E816,1,0)</f>
        <v/>
      </c>
      <c r="N816" s="14">
        <f>MAX(0,F816-E816)</f>
        <v/>
      </c>
    </row>
    <row r="817">
      <c r="A817" s="14" t="inlineStr">
        <is>
          <t>PO-00816</t>
        </is>
      </c>
      <c r="B817" s="14" t="inlineStr">
        <is>
          <t>S06</t>
        </is>
      </c>
      <c r="C817" s="14" t="inlineStr">
        <is>
          <t>NB-0032</t>
        </is>
      </c>
      <c r="D817" s="26" t="n">
        <v>45548</v>
      </c>
      <c r="E817" s="26" t="n">
        <v>45611</v>
      </c>
      <c r="F817" s="26" t="n">
        <v>45628</v>
      </c>
      <c r="G817" s="14" t="n">
        <v>59</v>
      </c>
      <c r="H817" s="14" t="n">
        <v>59</v>
      </c>
      <c r="I817" s="14" t="n">
        <v>0</v>
      </c>
      <c r="J817" s="58" t="n">
        <v>2484.49</v>
      </c>
      <c r="K817" s="59">
        <f>(F817-D817)/7</f>
        <v/>
      </c>
      <c r="L817" s="59">
        <f>K817^2</f>
        <v/>
      </c>
      <c r="M817" s="14">
        <f>IF(F817&lt;=E817,1,0)</f>
        <v/>
      </c>
      <c r="N817" s="14">
        <f>MAX(0,F817-E817)</f>
        <v/>
      </c>
    </row>
    <row r="818">
      <c r="A818" s="14" t="inlineStr">
        <is>
          <t>PO-00817</t>
        </is>
      </c>
      <c r="B818" s="14" t="inlineStr">
        <is>
          <t>S06</t>
        </is>
      </c>
      <c r="C818" s="14" t="inlineStr">
        <is>
          <t>NB-0032</t>
        </is>
      </c>
      <c r="D818" s="26" t="n">
        <v>45575</v>
      </c>
      <c r="E818" s="26" t="n">
        <v>45638</v>
      </c>
      <c r="F818" s="26" t="n">
        <v>45657</v>
      </c>
      <c r="G818" s="14" t="n">
        <v>59</v>
      </c>
      <c r="H818" s="14" t="n">
        <v>59</v>
      </c>
      <c r="I818" s="14" t="n">
        <v>0</v>
      </c>
      <c r="J818" s="58" t="n">
        <v>2484.49</v>
      </c>
      <c r="K818" s="59">
        <f>(F818-D818)/7</f>
        <v/>
      </c>
      <c r="L818" s="59">
        <f>K818^2</f>
        <v/>
      </c>
      <c r="M818" s="14">
        <f>IF(F818&lt;=E818,1,0)</f>
        <v/>
      </c>
      <c r="N818" s="14">
        <f>MAX(0,F818-E818)</f>
        <v/>
      </c>
    </row>
    <row r="819">
      <c r="A819" s="14" t="inlineStr">
        <is>
          <t>PO-00818</t>
        </is>
      </c>
      <c r="B819" s="14" t="inlineStr">
        <is>
          <t>S06</t>
        </is>
      </c>
      <c r="C819" s="14" t="inlineStr">
        <is>
          <t>NB-0032</t>
        </is>
      </c>
      <c r="D819" s="26" t="n">
        <v>45600</v>
      </c>
      <c r="E819" s="26" t="n">
        <v>45663</v>
      </c>
      <c r="F819" s="26" t="n">
        <v>45661</v>
      </c>
      <c r="G819" s="14" t="n">
        <v>54</v>
      </c>
      <c r="H819" s="14" t="n">
        <v>54</v>
      </c>
      <c r="I819" s="14" t="n">
        <v>1</v>
      </c>
      <c r="J819" s="58" t="n">
        <v>2273.94</v>
      </c>
      <c r="K819" s="59">
        <f>(F819-D819)/7</f>
        <v/>
      </c>
      <c r="L819" s="59">
        <f>K819^2</f>
        <v/>
      </c>
      <c r="M819" s="14">
        <f>IF(F819&lt;=E819,1,0)</f>
        <v/>
      </c>
      <c r="N819" s="14">
        <f>MAX(0,F819-E819)</f>
        <v/>
      </c>
    </row>
    <row r="820">
      <c r="A820" s="14" t="inlineStr">
        <is>
          <t>PO-00819</t>
        </is>
      </c>
      <c r="B820" s="14" t="inlineStr">
        <is>
          <t>S06</t>
        </is>
      </c>
      <c r="C820" s="14" t="inlineStr">
        <is>
          <t>NB-0032</t>
        </is>
      </c>
      <c r="D820" s="26" t="n">
        <v>45629</v>
      </c>
      <c r="E820" s="26" t="n">
        <v>45692</v>
      </c>
      <c r="F820" s="26" t="n">
        <v>45692</v>
      </c>
      <c r="G820" s="14" t="n">
        <v>59</v>
      </c>
      <c r="H820" s="14" t="n">
        <v>59</v>
      </c>
      <c r="I820" s="14" t="n">
        <v>0</v>
      </c>
      <c r="J820" s="58" t="n">
        <v>2484.49</v>
      </c>
      <c r="K820" s="59">
        <f>(F820-D820)/7</f>
        <v/>
      </c>
      <c r="L820" s="59">
        <f>K820^2</f>
        <v/>
      </c>
      <c r="M820" s="14">
        <f>IF(F820&lt;=E820,1,0)</f>
        <v/>
      </c>
      <c r="N820" s="14">
        <f>MAX(0,F820-E820)</f>
        <v/>
      </c>
    </row>
    <row r="821">
      <c r="A821" s="14" t="inlineStr">
        <is>
          <t>PO-00820</t>
        </is>
      </c>
      <c r="B821" s="14" t="inlineStr">
        <is>
          <t>S06</t>
        </is>
      </c>
      <c r="C821" s="14" t="inlineStr">
        <is>
          <t>NB-0032</t>
        </is>
      </c>
      <c r="D821" s="26" t="n">
        <v>45658</v>
      </c>
      <c r="E821" s="26" t="n">
        <v>45721</v>
      </c>
      <c r="F821" s="26" t="n">
        <v>45718</v>
      </c>
      <c r="G821" s="14" t="n">
        <v>57</v>
      </c>
      <c r="H821" s="14" t="n">
        <v>57</v>
      </c>
      <c r="I821" s="14" t="n">
        <v>1</v>
      </c>
      <c r="J821" s="58" t="n">
        <v>2400.27</v>
      </c>
      <c r="K821" s="59">
        <f>(F821-D821)/7</f>
        <v/>
      </c>
      <c r="L821" s="59">
        <f>K821^2</f>
        <v/>
      </c>
      <c r="M821" s="14">
        <f>IF(F821&lt;=E821,1,0)</f>
        <v/>
      </c>
      <c r="N821" s="14">
        <f>MAX(0,F821-E821)</f>
        <v/>
      </c>
    </row>
    <row r="822">
      <c r="A822" s="14" t="inlineStr">
        <is>
          <t>PO-00821</t>
        </is>
      </c>
      <c r="B822" s="14" t="inlineStr">
        <is>
          <t>S06</t>
        </is>
      </c>
      <c r="C822" s="14" t="inlineStr">
        <is>
          <t>NB-0032</t>
        </is>
      </c>
      <c r="D822" s="26" t="n">
        <v>45684</v>
      </c>
      <c r="E822" s="26" t="n">
        <v>45747</v>
      </c>
      <c r="F822" s="26" t="n">
        <v>45747</v>
      </c>
      <c r="G822" s="14" t="n">
        <v>55</v>
      </c>
      <c r="H822" s="14" t="n">
        <v>55</v>
      </c>
      <c r="I822" s="14" t="n">
        <v>1</v>
      </c>
      <c r="J822" s="58" t="n">
        <v>2316.05</v>
      </c>
      <c r="K822" s="59">
        <f>(F822-D822)/7</f>
        <v/>
      </c>
      <c r="L822" s="59">
        <f>K822^2</f>
        <v/>
      </c>
      <c r="M822" s="14">
        <f>IF(F822&lt;=E822,1,0)</f>
        <v/>
      </c>
      <c r="N822" s="14">
        <f>MAX(0,F822-E822)</f>
        <v/>
      </c>
    </row>
    <row r="823">
      <c r="A823" s="14" t="inlineStr">
        <is>
          <t>PO-00822</t>
        </is>
      </c>
      <c r="B823" s="14" t="inlineStr">
        <is>
          <t>S06</t>
        </is>
      </c>
      <c r="C823" s="14" t="inlineStr">
        <is>
          <t>NB-0032</t>
        </is>
      </c>
      <c r="D823" s="26" t="n">
        <v>45716</v>
      </c>
      <c r="E823" s="26" t="n">
        <v>45779</v>
      </c>
      <c r="F823" s="26" t="n">
        <v>45778</v>
      </c>
      <c r="G823" s="14" t="n">
        <v>49</v>
      </c>
      <c r="H823" s="14" t="n">
        <v>49</v>
      </c>
      <c r="I823" s="14" t="n">
        <v>0</v>
      </c>
      <c r="J823" s="58" t="n">
        <v>2063.39</v>
      </c>
      <c r="K823" s="59">
        <f>(F823-D823)/7</f>
        <v/>
      </c>
      <c r="L823" s="59">
        <f>K823^2</f>
        <v/>
      </c>
      <c r="M823" s="14">
        <f>IF(F823&lt;=E823,1,0)</f>
        <v/>
      </c>
      <c r="N823" s="14">
        <f>MAX(0,F823-E823)</f>
        <v/>
      </c>
    </row>
    <row r="824">
      <c r="A824" s="14" t="inlineStr">
        <is>
          <t>PO-00823</t>
        </is>
      </c>
      <c r="B824" s="14" t="inlineStr">
        <is>
          <t>S06</t>
        </is>
      </c>
      <c r="C824" s="14" t="inlineStr">
        <is>
          <t>NB-0032</t>
        </is>
      </c>
      <c r="D824" s="26" t="n">
        <v>45743</v>
      </c>
      <c r="E824" s="26" t="n">
        <v>45806</v>
      </c>
      <c r="F824" s="26" t="n">
        <v>45806</v>
      </c>
      <c r="G824" s="14" t="n">
        <v>59</v>
      </c>
      <c r="H824" s="14" t="n">
        <v>59</v>
      </c>
      <c r="I824" s="14" t="n">
        <v>0</v>
      </c>
      <c r="J824" s="58" t="n">
        <v>2484.49</v>
      </c>
      <c r="K824" s="59">
        <f>(F824-D824)/7</f>
        <v/>
      </c>
      <c r="L824" s="59">
        <f>K824^2</f>
        <v/>
      </c>
      <c r="M824" s="14">
        <f>IF(F824&lt;=E824,1,0)</f>
        <v/>
      </c>
      <c r="N824" s="14">
        <f>MAX(0,F824-E824)</f>
        <v/>
      </c>
    </row>
    <row r="825">
      <c r="A825" s="14" t="inlineStr">
        <is>
          <t>PO-00824</t>
        </is>
      </c>
      <c r="B825" s="14" t="inlineStr">
        <is>
          <t>S06</t>
        </is>
      </c>
      <c r="C825" s="14" t="inlineStr">
        <is>
          <t>NB-0032</t>
        </is>
      </c>
      <c r="D825" s="26" t="n">
        <v>45770</v>
      </c>
      <c r="E825" s="26" t="n">
        <v>45833</v>
      </c>
      <c r="F825" s="26" t="n">
        <v>45843</v>
      </c>
      <c r="G825" s="14" t="n">
        <v>58</v>
      </c>
      <c r="H825" s="14" t="n">
        <v>58</v>
      </c>
      <c r="I825" s="14" t="n">
        <v>1</v>
      </c>
      <c r="J825" s="58" t="n">
        <v>2442.38</v>
      </c>
      <c r="K825" s="59">
        <f>(F825-D825)/7</f>
        <v/>
      </c>
      <c r="L825" s="59">
        <f>K825^2</f>
        <v/>
      </c>
      <c r="M825" s="14">
        <f>IF(F825&lt;=E825,1,0)</f>
        <v/>
      </c>
      <c r="N825" s="14">
        <f>MAX(0,F825-E825)</f>
        <v/>
      </c>
    </row>
    <row r="826">
      <c r="A826" s="14" t="inlineStr">
        <is>
          <t>PO-00825</t>
        </is>
      </c>
      <c r="B826" s="14" t="inlineStr">
        <is>
          <t>S06</t>
        </is>
      </c>
      <c r="C826" s="14" t="inlineStr">
        <is>
          <t>NB-0032</t>
        </is>
      </c>
      <c r="D826" s="26" t="n">
        <v>45799</v>
      </c>
      <c r="E826" s="26" t="n">
        <v>45862</v>
      </c>
      <c r="F826" s="26" t="n">
        <v>45878</v>
      </c>
      <c r="G826" s="14" t="n">
        <v>57</v>
      </c>
      <c r="H826" s="14" t="n">
        <v>57</v>
      </c>
      <c r="I826" s="14" t="n">
        <v>0</v>
      </c>
      <c r="J826" s="58" t="n">
        <v>2400.27</v>
      </c>
      <c r="K826" s="59">
        <f>(F826-D826)/7</f>
        <v/>
      </c>
      <c r="L826" s="59">
        <f>K826^2</f>
        <v/>
      </c>
      <c r="M826" s="14">
        <f>IF(F826&lt;=E826,1,0)</f>
        <v/>
      </c>
      <c r="N826" s="14">
        <f>MAX(0,F826-E826)</f>
        <v/>
      </c>
    </row>
    <row r="827">
      <c r="A827" s="14" t="inlineStr">
        <is>
          <t>PO-00826</t>
        </is>
      </c>
      <c r="B827" s="14" t="inlineStr">
        <is>
          <t>S06</t>
        </is>
      </c>
      <c r="C827" s="14" t="inlineStr">
        <is>
          <t>NB-0032</t>
        </is>
      </c>
      <c r="D827" s="26" t="n">
        <v>45827</v>
      </c>
      <c r="E827" s="26" t="n">
        <v>45890</v>
      </c>
      <c r="F827" s="26" t="n">
        <v>45890</v>
      </c>
      <c r="G827" s="14" t="n">
        <v>57</v>
      </c>
      <c r="H827" s="14" t="n">
        <v>57</v>
      </c>
      <c r="I827" s="14" t="n">
        <v>4</v>
      </c>
      <c r="J827" s="58" t="n">
        <v>2400.27</v>
      </c>
      <c r="K827" s="59">
        <f>(F827-D827)/7</f>
        <v/>
      </c>
      <c r="L827" s="59">
        <f>K827^2</f>
        <v/>
      </c>
      <c r="M827" s="14">
        <f>IF(F827&lt;=E827,1,0)</f>
        <v/>
      </c>
      <c r="N827" s="14">
        <f>MAX(0,F827-E827)</f>
        <v/>
      </c>
    </row>
    <row r="828">
      <c r="A828" s="14" t="inlineStr">
        <is>
          <t>PO-00827</t>
        </is>
      </c>
      <c r="B828" s="14" t="inlineStr">
        <is>
          <t>S06</t>
        </is>
      </c>
      <c r="C828" s="14" t="inlineStr">
        <is>
          <t>NB-0032</t>
        </is>
      </c>
      <c r="D828" s="26" t="n">
        <v>45852</v>
      </c>
      <c r="E828" s="26" t="n">
        <v>45915</v>
      </c>
      <c r="F828" s="26" t="n">
        <v>45914</v>
      </c>
      <c r="G828" s="14" t="n">
        <v>48</v>
      </c>
      <c r="H828" s="14" t="n">
        <v>48</v>
      </c>
      <c r="I828" s="14" t="n">
        <v>0</v>
      </c>
      <c r="J828" s="58" t="n">
        <v>2021.28</v>
      </c>
      <c r="K828" s="59">
        <f>(F828-D828)/7</f>
        <v/>
      </c>
      <c r="L828" s="59">
        <f>K828^2</f>
        <v/>
      </c>
      <c r="M828" s="14">
        <f>IF(F828&lt;=E828,1,0)</f>
        <v/>
      </c>
      <c r="N828" s="14">
        <f>MAX(0,F828-E828)</f>
        <v/>
      </c>
    </row>
    <row r="829">
      <c r="A829" s="14" t="inlineStr">
        <is>
          <t>PO-00828</t>
        </is>
      </c>
      <c r="B829" s="14" t="inlineStr">
        <is>
          <t>S06</t>
        </is>
      </c>
      <c r="C829" s="14" t="inlineStr">
        <is>
          <t>NB-0032</t>
        </is>
      </c>
      <c r="D829" s="26" t="n">
        <v>45881</v>
      </c>
      <c r="E829" s="26" t="n">
        <v>45944</v>
      </c>
      <c r="F829" s="26" t="n">
        <v>45959</v>
      </c>
      <c r="G829" s="14" t="n">
        <v>52</v>
      </c>
      <c r="H829" s="14" t="n">
        <v>52</v>
      </c>
      <c r="I829" s="14" t="n">
        <v>4</v>
      </c>
      <c r="J829" s="58" t="n">
        <v>2189.72</v>
      </c>
      <c r="K829" s="59">
        <f>(F829-D829)/7</f>
        <v/>
      </c>
      <c r="L829" s="59">
        <f>K829^2</f>
        <v/>
      </c>
      <c r="M829" s="14">
        <f>IF(F829&lt;=E829,1,0)</f>
        <v/>
      </c>
      <c r="N829" s="14">
        <f>MAX(0,F829-E829)</f>
        <v/>
      </c>
    </row>
    <row r="830">
      <c r="A830" s="14" t="inlineStr">
        <is>
          <t>PO-00829</t>
        </is>
      </c>
      <c r="B830" s="14" t="inlineStr">
        <is>
          <t>S06</t>
        </is>
      </c>
      <c r="C830" s="14" t="inlineStr">
        <is>
          <t>NB-0032</t>
        </is>
      </c>
      <c r="D830" s="26" t="n">
        <v>45909</v>
      </c>
      <c r="E830" s="26" t="n">
        <v>45972</v>
      </c>
      <c r="F830" s="26" t="n">
        <v>45970</v>
      </c>
      <c r="G830" s="14" t="n">
        <v>45</v>
      </c>
      <c r="H830" s="14" t="n">
        <v>39</v>
      </c>
      <c r="I830" s="14" t="n">
        <v>1</v>
      </c>
      <c r="J830" s="58" t="n">
        <v>1894.95</v>
      </c>
      <c r="K830" s="59">
        <f>(F830-D830)/7</f>
        <v/>
      </c>
      <c r="L830" s="59">
        <f>K830^2</f>
        <v/>
      </c>
      <c r="M830" s="14">
        <f>IF(F830&lt;=E830,1,0)</f>
        <v/>
      </c>
      <c r="N830" s="14">
        <f>MAX(0,F830-E830)</f>
        <v/>
      </c>
    </row>
    <row r="831">
      <c r="A831" s="14" t="inlineStr">
        <is>
          <t>PO-00830</t>
        </is>
      </c>
      <c r="B831" s="14" t="inlineStr">
        <is>
          <t>S06</t>
        </is>
      </c>
      <c r="C831" s="14" t="inlineStr">
        <is>
          <t>NB-0032</t>
        </is>
      </c>
      <c r="D831" s="26" t="n">
        <v>45938</v>
      </c>
      <c r="E831" s="26" t="n">
        <v>46001</v>
      </c>
      <c r="F831" s="26" t="n">
        <v>46000</v>
      </c>
      <c r="G831" s="14" t="n">
        <v>53</v>
      </c>
      <c r="H831" s="14" t="n">
        <v>53</v>
      </c>
      <c r="I831" s="14" t="n">
        <v>1</v>
      </c>
      <c r="J831" s="58" t="n">
        <v>2231.83</v>
      </c>
      <c r="K831" s="59">
        <f>(F831-D831)/7</f>
        <v/>
      </c>
      <c r="L831" s="59">
        <f>K831^2</f>
        <v/>
      </c>
      <c r="M831" s="14">
        <f>IF(F831&lt;=E831,1,0)</f>
        <v/>
      </c>
      <c r="N831" s="14">
        <f>MAX(0,F831-E831)</f>
        <v/>
      </c>
    </row>
    <row r="832">
      <c r="A832" s="14" t="inlineStr">
        <is>
          <t>PO-00831</t>
        </is>
      </c>
      <c r="B832" s="14" t="inlineStr">
        <is>
          <t>S06</t>
        </is>
      </c>
      <c r="C832" s="14" t="inlineStr">
        <is>
          <t>NB-0032</t>
        </is>
      </c>
      <c r="D832" s="26" t="n">
        <v>45965</v>
      </c>
      <c r="E832" s="26" t="n">
        <v>46028</v>
      </c>
      <c r="F832" s="26" t="n">
        <v>46048</v>
      </c>
      <c r="G832" s="14" t="n">
        <v>56</v>
      </c>
      <c r="H832" s="14" t="n">
        <v>56</v>
      </c>
      <c r="I832" s="14" t="n">
        <v>2</v>
      </c>
      <c r="J832" s="58" t="n">
        <v>2358.16</v>
      </c>
      <c r="K832" s="59">
        <f>(F832-D832)/7</f>
        <v/>
      </c>
      <c r="L832" s="59">
        <f>K832^2</f>
        <v/>
      </c>
      <c r="M832" s="14">
        <f>IF(F832&lt;=E832,1,0)</f>
        <v/>
      </c>
      <c r="N832" s="14">
        <f>MAX(0,F832-E832)</f>
        <v/>
      </c>
    </row>
    <row r="833">
      <c r="A833" s="14" t="inlineStr">
        <is>
          <t>PO-00832</t>
        </is>
      </c>
      <c r="B833" s="14" t="inlineStr">
        <is>
          <t>S06</t>
        </is>
      </c>
      <c r="C833" s="14" t="inlineStr">
        <is>
          <t>NB-0032</t>
        </is>
      </c>
      <c r="D833" s="26" t="n">
        <v>45995</v>
      </c>
      <c r="E833" s="26" t="n">
        <v>46058</v>
      </c>
      <c r="F833" s="26" t="n">
        <v>46065</v>
      </c>
      <c r="G833" s="14" t="n">
        <v>59</v>
      </c>
      <c r="H833" s="14" t="n">
        <v>54</v>
      </c>
      <c r="I833" s="14" t="n">
        <v>1</v>
      </c>
      <c r="J833" s="58" t="n">
        <v>2484.49</v>
      </c>
      <c r="K833" s="59">
        <f>(F833-D833)/7</f>
        <v/>
      </c>
      <c r="L833" s="59">
        <f>K833^2</f>
        <v/>
      </c>
      <c r="M833" s="14">
        <f>IF(F833&lt;=E833,1,0)</f>
        <v/>
      </c>
      <c r="N833" s="14">
        <f>MAX(0,F833-E833)</f>
        <v/>
      </c>
    </row>
    <row r="834">
      <c r="A834" s="14" t="inlineStr">
        <is>
          <t>PO-00833</t>
        </is>
      </c>
      <c r="B834" s="14" t="inlineStr">
        <is>
          <t>S03</t>
        </is>
      </c>
      <c r="C834" s="14" t="inlineStr">
        <is>
          <t>NB-0033</t>
        </is>
      </c>
      <c r="D834" s="26" t="n">
        <v>45292</v>
      </c>
      <c r="E834" s="26" t="n">
        <v>45334</v>
      </c>
      <c r="F834" s="26" t="n">
        <v>45331</v>
      </c>
      <c r="G834" s="14" t="n">
        <v>1196</v>
      </c>
      <c r="H834" s="14" t="n">
        <v>1196</v>
      </c>
      <c r="I834" s="14" t="n">
        <v>6</v>
      </c>
      <c r="J834" s="58" t="n">
        <v>178072.44</v>
      </c>
      <c r="K834" s="59">
        <f>(F834-D834)/7</f>
        <v/>
      </c>
      <c r="L834" s="59">
        <f>K834^2</f>
        <v/>
      </c>
      <c r="M834" s="14">
        <f>IF(F834&lt;=E834,1,0)</f>
        <v/>
      </c>
      <c r="N834" s="14">
        <f>MAX(0,F834-E834)</f>
        <v/>
      </c>
    </row>
    <row r="835">
      <c r="A835" s="14" t="inlineStr">
        <is>
          <t>PO-00834</t>
        </is>
      </c>
      <c r="B835" s="14" t="inlineStr">
        <is>
          <t>S03</t>
        </is>
      </c>
      <c r="C835" s="14" t="inlineStr">
        <is>
          <t>NB-0033</t>
        </is>
      </c>
      <c r="D835" s="26" t="n">
        <v>45320</v>
      </c>
      <c r="E835" s="26" t="n">
        <v>45362</v>
      </c>
      <c r="F835" s="26" t="n">
        <v>45359</v>
      </c>
      <c r="G835" s="14" t="n">
        <v>928</v>
      </c>
      <c r="H835" s="14" t="n">
        <v>928</v>
      </c>
      <c r="I835" s="14" t="n">
        <v>3</v>
      </c>
      <c r="J835" s="58" t="n">
        <v>138169.92</v>
      </c>
      <c r="K835" s="59">
        <f>(F835-D835)/7</f>
        <v/>
      </c>
      <c r="L835" s="59">
        <f>K835^2</f>
        <v/>
      </c>
      <c r="M835" s="14">
        <f>IF(F835&lt;=E835,1,0)</f>
        <v/>
      </c>
      <c r="N835" s="14">
        <f>MAX(0,F835-E835)</f>
        <v/>
      </c>
    </row>
    <row r="836">
      <c r="A836" s="14" t="inlineStr">
        <is>
          <t>PO-00835</t>
        </is>
      </c>
      <c r="B836" s="14" t="inlineStr">
        <is>
          <t>S03</t>
        </is>
      </c>
      <c r="C836" s="14" t="inlineStr">
        <is>
          <t>NB-0033</t>
        </is>
      </c>
      <c r="D836" s="26" t="n">
        <v>45349</v>
      </c>
      <c r="E836" s="26" t="n">
        <v>45391</v>
      </c>
      <c r="F836" s="26" t="n">
        <v>45390</v>
      </c>
      <c r="G836" s="14" t="n">
        <v>1008</v>
      </c>
      <c r="H836" s="14" t="n">
        <v>1008</v>
      </c>
      <c r="I836" s="14" t="n">
        <v>2</v>
      </c>
      <c r="J836" s="58" t="n">
        <v>150081.12</v>
      </c>
      <c r="K836" s="59">
        <f>(F836-D836)/7</f>
        <v/>
      </c>
      <c r="L836" s="59">
        <f>K836^2</f>
        <v/>
      </c>
      <c r="M836" s="14">
        <f>IF(F836&lt;=E836,1,0)</f>
        <v/>
      </c>
      <c r="N836" s="14">
        <f>MAX(0,F836-E836)</f>
        <v/>
      </c>
    </row>
    <row r="837">
      <c r="A837" s="14" t="inlineStr">
        <is>
          <t>PO-00836</t>
        </is>
      </c>
      <c r="B837" s="14" t="inlineStr">
        <is>
          <t>S03</t>
        </is>
      </c>
      <c r="C837" s="14" t="inlineStr">
        <is>
          <t>NB-0033</t>
        </is>
      </c>
      <c r="D837" s="26" t="n">
        <v>45379</v>
      </c>
      <c r="E837" s="26" t="n">
        <v>45421</v>
      </c>
      <c r="F837" s="26" t="n">
        <v>45420</v>
      </c>
      <c r="G837" s="14" t="n">
        <v>1194</v>
      </c>
      <c r="H837" s="14" t="n">
        <v>1194</v>
      </c>
      <c r="I837" s="14" t="n">
        <v>1</v>
      </c>
      <c r="J837" s="58" t="n">
        <v>177774.66</v>
      </c>
      <c r="K837" s="59">
        <f>(F837-D837)/7</f>
        <v/>
      </c>
      <c r="L837" s="59">
        <f>K837^2</f>
        <v/>
      </c>
      <c r="M837" s="14">
        <f>IF(F837&lt;=E837,1,0)</f>
        <v/>
      </c>
      <c r="N837" s="14">
        <f>MAX(0,F837-E837)</f>
        <v/>
      </c>
    </row>
    <row r="838">
      <c r="A838" s="14" t="inlineStr">
        <is>
          <t>PO-00837</t>
        </is>
      </c>
      <c r="B838" s="14" t="inlineStr">
        <is>
          <t>S03</t>
        </is>
      </c>
      <c r="C838" s="14" t="inlineStr">
        <is>
          <t>NB-0033</t>
        </is>
      </c>
      <c r="D838" s="26" t="n">
        <v>45406</v>
      </c>
      <c r="E838" s="26" t="n">
        <v>45448</v>
      </c>
      <c r="F838" s="26" t="n">
        <v>45445</v>
      </c>
      <c r="G838" s="14" t="n">
        <v>959</v>
      </c>
      <c r="H838" s="14" t="n">
        <v>959</v>
      </c>
      <c r="I838" s="14" t="n">
        <v>1</v>
      </c>
      <c r="J838" s="58" t="n">
        <v>142785.51</v>
      </c>
      <c r="K838" s="59">
        <f>(F838-D838)/7</f>
        <v/>
      </c>
      <c r="L838" s="59">
        <f>K838^2</f>
        <v/>
      </c>
      <c r="M838" s="14">
        <f>IF(F838&lt;=E838,1,0)</f>
        <v/>
      </c>
      <c r="N838" s="14">
        <f>MAX(0,F838-E838)</f>
        <v/>
      </c>
    </row>
    <row r="839">
      <c r="A839" s="14" t="inlineStr">
        <is>
          <t>PO-00838</t>
        </is>
      </c>
      <c r="B839" s="14" t="inlineStr">
        <is>
          <t>S03</t>
        </is>
      </c>
      <c r="C839" s="14" t="inlineStr">
        <is>
          <t>NB-0033</t>
        </is>
      </c>
      <c r="D839" s="26" t="n">
        <v>45435</v>
      </c>
      <c r="E839" s="26" t="n">
        <v>45477</v>
      </c>
      <c r="F839" s="26" t="n">
        <v>45475</v>
      </c>
      <c r="G839" s="14" t="n">
        <v>1109</v>
      </c>
      <c r="H839" s="14" t="n">
        <v>1109</v>
      </c>
      <c r="I839" s="14" t="n">
        <v>4</v>
      </c>
      <c r="J839" s="58" t="n">
        <v>165119.01</v>
      </c>
      <c r="K839" s="59">
        <f>(F839-D839)/7</f>
        <v/>
      </c>
      <c r="L839" s="59">
        <f>K839^2</f>
        <v/>
      </c>
      <c r="M839" s="14">
        <f>IF(F839&lt;=E839,1,0)</f>
        <v/>
      </c>
      <c r="N839" s="14">
        <f>MAX(0,F839-E839)</f>
        <v/>
      </c>
    </row>
    <row r="840">
      <c r="A840" s="14" t="inlineStr">
        <is>
          <t>PO-00839</t>
        </is>
      </c>
      <c r="B840" s="14" t="inlineStr">
        <is>
          <t>S03</t>
        </is>
      </c>
      <c r="C840" s="14" t="inlineStr">
        <is>
          <t>NB-0033</t>
        </is>
      </c>
      <c r="D840" s="26" t="n">
        <v>45461</v>
      </c>
      <c r="E840" s="26" t="n">
        <v>45503</v>
      </c>
      <c r="F840" s="26" t="n">
        <v>45502</v>
      </c>
      <c r="G840" s="14" t="n">
        <v>995</v>
      </c>
      <c r="H840" s="14" t="n">
        <v>995</v>
      </c>
      <c r="I840" s="14" t="n">
        <v>2</v>
      </c>
      <c r="J840" s="58" t="n">
        <v>148145.55</v>
      </c>
      <c r="K840" s="59">
        <f>(F840-D840)/7</f>
        <v/>
      </c>
      <c r="L840" s="59">
        <f>K840^2</f>
        <v/>
      </c>
      <c r="M840" s="14">
        <f>IF(F840&lt;=E840,1,0)</f>
        <v/>
      </c>
      <c r="N840" s="14">
        <f>MAX(0,F840-E840)</f>
        <v/>
      </c>
    </row>
    <row r="841">
      <c r="A841" s="14" t="inlineStr">
        <is>
          <t>PO-00840</t>
        </is>
      </c>
      <c r="B841" s="14" t="inlineStr">
        <is>
          <t>S03</t>
        </is>
      </c>
      <c r="C841" s="14" t="inlineStr">
        <is>
          <t>NB-0033</t>
        </is>
      </c>
      <c r="D841" s="26" t="n">
        <v>45489</v>
      </c>
      <c r="E841" s="26" t="n">
        <v>45531</v>
      </c>
      <c r="F841" s="26" t="n">
        <v>45528</v>
      </c>
      <c r="G841" s="14" t="n">
        <v>960</v>
      </c>
      <c r="H841" s="14" t="n">
        <v>960</v>
      </c>
      <c r="I841" s="14" t="n">
        <v>3</v>
      </c>
      <c r="J841" s="58" t="n">
        <v>142934.4</v>
      </c>
      <c r="K841" s="59">
        <f>(F841-D841)/7</f>
        <v/>
      </c>
      <c r="L841" s="59">
        <f>K841^2</f>
        <v/>
      </c>
      <c r="M841" s="14">
        <f>IF(F841&lt;=E841,1,0)</f>
        <v/>
      </c>
      <c r="N841" s="14">
        <f>MAX(0,F841-E841)</f>
        <v/>
      </c>
    </row>
    <row r="842">
      <c r="A842" s="14" t="inlineStr">
        <is>
          <t>PO-00841</t>
        </is>
      </c>
      <c r="B842" s="14" t="inlineStr">
        <is>
          <t>S03</t>
        </is>
      </c>
      <c r="C842" s="14" t="inlineStr">
        <is>
          <t>NB-0033</t>
        </is>
      </c>
      <c r="D842" s="26" t="n">
        <v>45516</v>
      </c>
      <c r="E842" s="26" t="n">
        <v>45558</v>
      </c>
      <c r="F842" s="26" t="n">
        <v>45555</v>
      </c>
      <c r="G842" s="14" t="n">
        <v>921</v>
      </c>
      <c r="H842" s="14" t="n">
        <v>921</v>
      </c>
      <c r="I842" s="14" t="n">
        <v>0</v>
      </c>
      <c r="J842" s="58" t="n">
        <v>137127.69</v>
      </c>
      <c r="K842" s="59">
        <f>(F842-D842)/7</f>
        <v/>
      </c>
      <c r="L842" s="59">
        <f>K842^2</f>
        <v/>
      </c>
      <c r="M842" s="14">
        <f>IF(F842&lt;=E842,1,0)</f>
        <v/>
      </c>
      <c r="N842" s="14">
        <f>MAX(0,F842-E842)</f>
        <v/>
      </c>
    </row>
    <row r="843">
      <c r="A843" s="14" t="inlineStr">
        <is>
          <t>PO-00842</t>
        </is>
      </c>
      <c r="B843" s="14" t="inlineStr">
        <is>
          <t>S03</t>
        </is>
      </c>
      <c r="C843" s="14" t="inlineStr">
        <is>
          <t>NB-0033</t>
        </is>
      </c>
      <c r="D843" s="26" t="n">
        <v>45544</v>
      </c>
      <c r="E843" s="26" t="n">
        <v>45586</v>
      </c>
      <c r="F843" s="26" t="n">
        <v>45586</v>
      </c>
      <c r="G843" s="14" t="n">
        <v>1143</v>
      </c>
      <c r="H843" s="14" t="n">
        <v>1143</v>
      </c>
      <c r="I843" s="14" t="n">
        <v>6</v>
      </c>
      <c r="J843" s="58" t="n">
        <v>170181.27</v>
      </c>
      <c r="K843" s="59">
        <f>(F843-D843)/7</f>
        <v/>
      </c>
      <c r="L843" s="59">
        <f>K843^2</f>
        <v/>
      </c>
      <c r="M843" s="14">
        <f>IF(F843&lt;=E843,1,0)</f>
        <v/>
      </c>
      <c r="N843" s="14">
        <f>MAX(0,F843-E843)</f>
        <v/>
      </c>
    </row>
    <row r="844">
      <c r="A844" s="14" t="inlineStr">
        <is>
          <t>PO-00843</t>
        </is>
      </c>
      <c r="B844" s="14" t="inlineStr">
        <is>
          <t>S03</t>
        </is>
      </c>
      <c r="C844" s="14" t="inlineStr">
        <is>
          <t>NB-0033</t>
        </is>
      </c>
      <c r="D844" s="26" t="n">
        <v>45575</v>
      </c>
      <c r="E844" s="26" t="n">
        <v>45617</v>
      </c>
      <c r="F844" s="26" t="n">
        <v>45617</v>
      </c>
      <c r="G844" s="14" t="n">
        <v>1174</v>
      </c>
      <c r="H844" s="14" t="n">
        <v>1174</v>
      </c>
      <c r="I844" s="14" t="n">
        <v>2</v>
      </c>
      <c r="J844" s="58" t="n">
        <v>174796.86</v>
      </c>
      <c r="K844" s="59">
        <f>(F844-D844)/7</f>
        <v/>
      </c>
      <c r="L844" s="59">
        <f>K844^2</f>
        <v/>
      </c>
      <c r="M844" s="14">
        <f>IF(F844&lt;=E844,1,0)</f>
        <v/>
      </c>
      <c r="N844" s="14">
        <f>MAX(0,F844-E844)</f>
        <v/>
      </c>
    </row>
    <row r="845">
      <c r="A845" s="14" t="inlineStr">
        <is>
          <t>PO-00844</t>
        </is>
      </c>
      <c r="B845" s="14" t="inlineStr">
        <is>
          <t>S03</t>
        </is>
      </c>
      <c r="C845" s="14" t="inlineStr">
        <is>
          <t>NB-0033</t>
        </is>
      </c>
      <c r="D845" s="26" t="n">
        <v>45602</v>
      </c>
      <c r="E845" s="26" t="n">
        <v>45644</v>
      </c>
      <c r="F845" s="26" t="n">
        <v>45642</v>
      </c>
      <c r="G845" s="14" t="n">
        <v>1058</v>
      </c>
      <c r="H845" s="14" t="n">
        <v>1058</v>
      </c>
      <c r="I845" s="14" t="n">
        <v>2</v>
      </c>
      <c r="J845" s="58" t="n">
        <v>157525.62</v>
      </c>
      <c r="K845" s="59">
        <f>(F845-D845)/7</f>
        <v/>
      </c>
      <c r="L845" s="59">
        <f>K845^2</f>
        <v/>
      </c>
      <c r="M845" s="14">
        <f>IF(F845&lt;=E845,1,0)</f>
        <v/>
      </c>
      <c r="N845" s="14">
        <f>MAX(0,F845-E845)</f>
        <v/>
      </c>
    </row>
    <row r="846">
      <c r="A846" s="14" t="inlineStr">
        <is>
          <t>PO-00845</t>
        </is>
      </c>
      <c r="B846" s="14" t="inlineStr">
        <is>
          <t>S03</t>
        </is>
      </c>
      <c r="C846" s="14" t="inlineStr">
        <is>
          <t>NB-0033</t>
        </is>
      </c>
      <c r="D846" s="26" t="n">
        <v>45628</v>
      </c>
      <c r="E846" s="26" t="n">
        <v>45670</v>
      </c>
      <c r="F846" s="26" t="n">
        <v>45668</v>
      </c>
      <c r="G846" s="14" t="n">
        <v>924</v>
      </c>
      <c r="H846" s="14" t="n">
        <v>924</v>
      </c>
      <c r="I846" s="14" t="n">
        <v>4</v>
      </c>
      <c r="J846" s="58" t="n">
        <v>137574.36</v>
      </c>
      <c r="K846" s="59">
        <f>(F846-D846)/7</f>
        <v/>
      </c>
      <c r="L846" s="59">
        <f>K846^2</f>
        <v/>
      </c>
      <c r="M846" s="14">
        <f>IF(F846&lt;=E846,1,0)</f>
        <v/>
      </c>
      <c r="N846" s="14">
        <f>MAX(0,F846-E846)</f>
        <v/>
      </c>
    </row>
    <row r="847">
      <c r="A847" s="14" t="inlineStr">
        <is>
          <t>PO-00846</t>
        </is>
      </c>
      <c r="B847" s="14" t="inlineStr">
        <is>
          <t>S03</t>
        </is>
      </c>
      <c r="C847" s="14" t="inlineStr">
        <is>
          <t>NB-0033</t>
        </is>
      </c>
      <c r="D847" s="26" t="n">
        <v>45657</v>
      </c>
      <c r="E847" s="26" t="n">
        <v>45699</v>
      </c>
      <c r="F847" s="26" t="n">
        <v>45697</v>
      </c>
      <c r="G847" s="14" t="n">
        <v>1257</v>
      </c>
      <c r="H847" s="14" t="n">
        <v>1257</v>
      </c>
      <c r="I847" s="14" t="n">
        <v>1</v>
      </c>
      <c r="J847" s="58" t="n">
        <v>187154.73</v>
      </c>
      <c r="K847" s="59">
        <f>(F847-D847)/7</f>
        <v/>
      </c>
      <c r="L847" s="59">
        <f>K847^2</f>
        <v/>
      </c>
      <c r="M847" s="14">
        <f>IF(F847&lt;=E847,1,0)</f>
        <v/>
      </c>
      <c r="N847" s="14">
        <f>MAX(0,F847-E847)</f>
        <v/>
      </c>
    </row>
    <row r="848">
      <c r="A848" s="14" t="inlineStr">
        <is>
          <t>PO-00847</t>
        </is>
      </c>
      <c r="B848" s="14" t="inlineStr">
        <is>
          <t>S03</t>
        </is>
      </c>
      <c r="C848" s="14" t="inlineStr">
        <is>
          <t>NB-0033</t>
        </is>
      </c>
      <c r="D848" s="26" t="n">
        <v>45686</v>
      </c>
      <c r="E848" s="26" t="n">
        <v>45728</v>
      </c>
      <c r="F848" s="26" t="n">
        <v>45725</v>
      </c>
      <c r="G848" s="14" t="n">
        <v>1256</v>
      </c>
      <c r="H848" s="14" t="n">
        <v>1256</v>
      </c>
      <c r="I848" s="14" t="n">
        <v>5</v>
      </c>
      <c r="J848" s="58" t="n">
        <v>187005.84</v>
      </c>
      <c r="K848" s="59">
        <f>(F848-D848)/7</f>
        <v/>
      </c>
      <c r="L848" s="59">
        <f>K848^2</f>
        <v/>
      </c>
      <c r="M848" s="14">
        <f>IF(F848&lt;=E848,1,0)</f>
        <v/>
      </c>
      <c r="N848" s="14">
        <f>MAX(0,F848-E848)</f>
        <v/>
      </c>
    </row>
    <row r="849">
      <c r="A849" s="14" t="inlineStr">
        <is>
          <t>PO-00848</t>
        </is>
      </c>
      <c r="B849" s="14" t="inlineStr">
        <is>
          <t>S03</t>
        </is>
      </c>
      <c r="C849" s="14" t="inlineStr">
        <is>
          <t>NB-0033</t>
        </is>
      </c>
      <c r="D849" s="26" t="n">
        <v>45714</v>
      </c>
      <c r="E849" s="26" t="n">
        <v>45756</v>
      </c>
      <c r="F849" s="26" t="n">
        <v>45753</v>
      </c>
      <c r="G849" s="14" t="n">
        <v>999</v>
      </c>
      <c r="H849" s="14" t="n">
        <v>999</v>
      </c>
      <c r="I849" s="14" t="n">
        <v>0</v>
      </c>
      <c r="J849" s="58" t="n">
        <v>148741.11</v>
      </c>
      <c r="K849" s="59">
        <f>(F849-D849)/7</f>
        <v/>
      </c>
      <c r="L849" s="59">
        <f>K849^2</f>
        <v/>
      </c>
      <c r="M849" s="14">
        <f>IF(F849&lt;=E849,1,0)</f>
        <v/>
      </c>
      <c r="N849" s="14">
        <f>MAX(0,F849-E849)</f>
        <v/>
      </c>
    </row>
    <row r="850">
      <c r="A850" s="14" t="inlineStr">
        <is>
          <t>PO-00849</t>
        </is>
      </c>
      <c r="B850" s="14" t="inlineStr">
        <is>
          <t>S03</t>
        </is>
      </c>
      <c r="C850" s="14" t="inlineStr">
        <is>
          <t>NB-0033</t>
        </is>
      </c>
      <c r="D850" s="26" t="n">
        <v>45743</v>
      </c>
      <c r="E850" s="26" t="n">
        <v>45785</v>
      </c>
      <c r="F850" s="26" t="n">
        <v>45785</v>
      </c>
      <c r="G850" s="14" t="n">
        <v>978</v>
      </c>
      <c r="H850" s="14" t="n">
        <v>978</v>
      </c>
      <c r="I850" s="14" t="n">
        <v>3</v>
      </c>
      <c r="J850" s="58" t="n">
        <v>145614.42</v>
      </c>
      <c r="K850" s="59">
        <f>(F850-D850)/7</f>
        <v/>
      </c>
      <c r="L850" s="59">
        <f>K850^2</f>
        <v/>
      </c>
      <c r="M850" s="14">
        <f>IF(F850&lt;=E850,1,0)</f>
        <v/>
      </c>
      <c r="N850" s="14">
        <f>MAX(0,F850-E850)</f>
        <v/>
      </c>
    </row>
    <row r="851">
      <c r="A851" s="14" t="inlineStr">
        <is>
          <t>PO-00850</t>
        </is>
      </c>
      <c r="B851" s="14" t="inlineStr">
        <is>
          <t>S03</t>
        </is>
      </c>
      <c r="C851" s="14" t="inlineStr">
        <is>
          <t>NB-0033</t>
        </is>
      </c>
      <c r="D851" s="26" t="n">
        <v>45772</v>
      </c>
      <c r="E851" s="26" t="n">
        <v>45814</v>
      </c>
      <c r="F851" s="26" t="n">
        <v>45811</v>
      </c>
      <c r="G851" s="14" t="n">
        <v>994</v>
      </c>
      <c r="H851" s="14" t="n">
        <v>994</v>
      </c>
      <c r="I851" s="14" t="n">
        <v>3</v>
      </c>
      <c r="J851" s="58" t="n">
        <v>147996.66</v>
      </c>
      <c r="K851" s="59">
        <f>(F851-D851)/7</f>
        <v/>
      </c>
      <c r="L851" s="59">
        <f>K851^2</f>
        <v/>
      </c>
      <c r="M851" s="14">
        <f>IF(F851&lt;=E851,1,0)</f>
        <v/>
      </c>
      <c r="N851" s="14">
        <f>MAX(0,F851-E851)</f>
        <v/>
      </c>
    </row>
    <row r="852">
      <c r="A852" s="14" t="inlineStr">
        <is>
          <t>PO-00851</t>
        </is>
      </c>
      <c r="B852" s="14" t="inlineStr">
        <is>
          <t>S03</t>
        </is>
      </c>
      <c r="C852" s="14" t="inlineStr">
        <is>
          <t>NB-0033</t>
        </is>
      </c>
      <c r="D852" s="26" t="n">
        <v>45799</v>
      </c>
      <c r="E852" s="26" t="n">
        <v>45841</v>
      </c>
      <c r="F852" s="26" t="n">
        <v>45840</v>
      </c>
      <c r="G852" s="14" t="n">
        <v>1228</v>
      </c>
      <c r="H852" s="14" t="n">
        <v>1084</v>
      </c>
      <c r="I852" s="14" t="n">
        <v>4</v>
      </c>
      <c r="J852" s="58" t="n">
        <v>182836.92</v>
      </c>
      <c r="K852" s="59">
        <f>(F852-D852)/7</f>
        <v/>
      </c>
      <c r="L852" s="59">
        <f>K852^2</f>
        <v/>
      </c>
      <c r="M852" s="14">
        <f>IF(F852&lt;=E852,1,0)</f>
        <v/>
      </c>
      <c r="N852" s="14">
        <f>MAX(0,F852-E852)</f>
        <v/>
      </c>
    </row>
    <row r="853">
      <c r="A853" s="14" t="inlineStr">
        <is>
          <t>PO-00852</t>
        </is>
      </c>
      <c r="B853" s="14" t="inlineStr">
        <is>
          <t>S03</t>
        </is>
      </c>
      <c r="C853" s="14" t="inlineStr">
        <is>
          <t>NB-0033</t>
        </is>
      </c>
      <c r="D853" s="26" t="n">
        <v>45825</v>
      </c>
      <c r="E853" s="26" t="n">
        <v>45867</v>
      </c>
      <c r="F853" s="26" t="n">
        <v>45866</v>
      </c>
      <c r="G853" s="14" t="n">
        <v>1050</v>
      </c>
      <c r="H853" s="14" t="n">
        <v>1050</v>
      </c>
      <c r="I853" s="14" t="n">
        <v>4</v>
      </c>
      <c r="J853" s="58" t="n">
        <v>156334.5</v>
      </c>
      <c r="K853" s="59">
        <f>(F853-D853)/7</f>
        <v/>
      </c>
      <c r="L853" s="59">
        <f>K853^2</f>
        <v/>
      </c>
      <c r="M853" s="14">
        <f>IF(F853&lt;=E853,1,0)</f>
        <v/>
      </c>
      <c r="N853" s="14">
        <f>MAX(0,F853-E853)</f>
        <v/>
      </c>
    </row>
    <row r="854">
      <c r="A854" s="14" t="inlineStr">
        <is>
          <t>PO-00853</t>
        </is>
      </c>
      <c r="B854" s="14" t="inlineStr">
        <is>
          <t>S03</t>
        </is>
      </c>
      <c r="C854" s="14" t="inlineStr">
        <is>
          <t>NB-0033</t>
        </is>
      </c>
      <c r="D854" s="26" t="n">
        <v>45852</v>
      </c>
      <c r="E854" s="26" t="n">
        <v>45894</v>
      </c>
      <c r="F854" s="26" t="n">
        <v>45894</v>
      </c>
      <c r="G854" s="14" t="n">
        <v>1145</v>
      </c>
      <c r="H854" s="14" t="n">
        <v>1145</v>
      </c>
      <c r="I854" s="14" t="n">
        <v>3</v>
      </c>
      <c r="J854" s="58" t="n">
        <v>170479.05</v>
      </c>
      <c r="K854" s="59">
        <f>(F854-D854)/7</f>
        <v/>
      </c>
      <c r="L854" s="59">
        <f>K854^2</f>
        <v/>
      </c>
      <c r="M854" s="14">
        <f>IF(F854&lt;=E854,1,0)</f>
        <v/>
      </c>
      <c r="N854" s="14">
        <f>MAX(0,F854-E854)</f>
        <v/>
      </c>
    </row>
    <row r="855">
      <c r="A855" s="14" t="inlineStr">
        <is>
          <t>PO-00854</t>
        </is>
      </c>
      <c r="B855" s="14" t="inlineStr">
        <is>
          <t>S03</t>
        </is>
      </c>
      <c r="C855" s="14" t="inlineStr">
        <is>
          <t>NB-0033</t>
        </is>
      </c>
      <c r="D855" s="26" t="n">
        <v>45882</v>
      </c>
      <c r="E855" s="26" t="n">
        <v>45924</v>
      </c>
      <c r="F855" s="26" t="n">
        <v>45927</v>
      </c>
      <c r="G855" s="14" t="n">
        <v>937</v>
      </c>
      <c r="H855" s="14" t="n">
        <v>937</v>
      </c>
      <c r="I855" s="14" t="n">
        <v>0</v>
      </c>
      <c r="J855" s="58" t="n">
        <v>139509.93</v>
      </c>
      <c r="K855" s="59">
        <f>(F855-D855)/7</f>
        <v/>
      </c>
      <c r="L855" s="59">
        <f>K855^2</f>
        <v/>
      </c>
      <c r="M855" s="14">
        <f>IF(F855&lt;=E855,1,0)</f>
        <v/>
      </c>
      <c r="N855" s="14">
        <f>MAX(0,F855-E855)</f>
        <v/>
      </c>
    </row>
    <row r="856">
      <c r="A856" s="14" t="inlineStr">
        <is>
          <t>PO-00855</t>
        </is>
      </c>
      <c r="B856" s="14" t="inlineStr">
        <is>
          <t>S03</t>
        </is>
      </c>
      <c r="C856" s="14" t="inlineStr">
        <is>
          <t>NB-0033</t>
        </is>
      </c>
      <c r="D856" s="26" t="n">
        <v>45909</v>
      </c>
      <c r="E856" s="26" t="n">
        <v>45951</v>
      </c>
      <c r="F856" s="26" t="n">
        <v>45956</v>
      </c>
      <c r="G856" s="14" t="n">
        <v>977</v>
      </c>
      <c r="H856" s="14" t="n">
        <v>977</v>
      </c>
      <c r="I856" s="14" t="n">
        <v>3</v>
      </c>
      <c r="J856" s="58" t="n">
        <v>145465.53</v>
      </c>
      <c r="K856" s="59">
        <f>(F856-D856)/7</f>
        <v/>
      </c>
      <c r="L856" s="59">
        <f>K856^2</f>
        <v/>
      </c>
      <c r="M856" s="14">
        <f>IF(F856&lt;=E856,1,0)</f>
        <v/>
      </c>
      <c r="N856" s="14">
        <f>MAX(0,F856-E856)</f>
        <v/>
      </c>
    </row>
    <row r="857">
      <c r="A857" s="14" t="inlineStr">
        <is>
          <t>PO-00856</t>
        </is>
      </c>
      <c r="B857" s="14" t="inlineStr">
        <is>
          <t>S03</t>
        </is>
      </c>
      <c r="C857" s="14" t="inlineStr">
        <is>
          <t>NB-0033</t>
        </is>
      </c>
      <c r="D857" s="26" t="n">
        <v>45939</v>
      </c>
      <c r="E857" s="26" t="n">
        <v>45981</v>
      </c>
      <c r="F857" s="26" t="n">
        <v>45980</v>
      </c>
      <c r="G857" s="14" t="n">
        <v>1008</v>
      </c>
      <c r="H857" s="14" t="n">
        <v>1008</v>
      </c>
      <c r="I857" s="14" t="n">
        <v>5</v>
      </c>
      <c r="J857" s="58" t="n">
        <v>150081.12</v>
      </c>
      <c r="K857" s="59">
        <f>(F857-D857)/7</f>
        <v/>
      </c>
      <c r="L857" s="59">
        <f>K857^2</f>
        <v/>
      </c>
      <c r="M857" s="14">
        <f>IF(F857&lt;=E857,1,0)</f>
        <v/>
      </c>
      <c r="N857" s="14">
        <f>MAX(0,F857-E857)</f>
        <v/>
      </c>
    </row>
    <row r="858">
      <c r="A858" s="14" t="inlineStr">
        <is>
          <t>PO-00857</t>
        </is>
      </c>
      <c r="B858" s="14" t="inlineStr">
        <is>
          <t>S03</t>
        </is>
      </c>
      <c r="C858" s="14" t="inlineStr">
        <is>
          <t>NB-0033</t>
        </is>
      </c>
      <c r="D858" s="26" t="n">
        <v>45965</v>
      </c>
      <c r="E858" s="26" t="n">
        <v>46007</v>
      </c>
      <c r="F858" s="26" t="n">
        <v>46004</v>
      </c>
      <c r="G858" s="14" t="n">
        <v>980</v>
      </c>
      <c r="H858" s="14" t="n">
        <v>980</v>
      </c>
      <c r="I858" s="14" t="n">
        <v>3</v>
      </c>
      <c r="J858" s="58" t="n">
        <v>145912.2</v>
      </c>
      <c r="K858" s="59">
        <f>(F858-D858)/7</f>
        <v/>
      </c>
      <c r="L858" s="59">
        <f>K858^2</f>
        <v/>
      </c>
      <c r="M858" s="14">
        <f>IF(F858&lt;=E858,1,0)</f>
        <v/>
      </c>
      <c r="N858" s="14">
        <f>MAX(0,F858-E858)</f>
        <v/>
      </c>
    </row>
    <row r="859">
      <c r="A859" s="14" t="inlineStr">
        <is>
          <t>PO-00858</t>
        </is>
      </c>
      <c r="B859" s="14" t="inlineStr">
        <is>
          <t>S03</t>
        </is>
      </c>
      <c r="C859" s="14" t="inlineStr">
        <is>
          <t>NB-0033</t>
        </is>
      </c>
      <c r="D859" s="26" t="n">
        <v>45993</v>
      </c>
      <c r="E859" s="26" t="n">
        <v>46035</v>
      </c>
      <c r="F859" s="26" t="n">
        <v>46033</v>
      </c>
      <c r="G859" s="14" t="n">
        <v>1044</v>
      </c>
      <c r="H859" s="14" t="n">
        <v>1044</v>
      </c>
      <c r="I859" s="14" t="n">
        <v>4</v>
      </c>
      <c r="J859" s="58" t="n">
        <v>155441.16</v>
      </c>
      <c r="K859" s="59">
        <f>(F859-D859)/7</f>
        <v/>
      </c>
      <c r="L859" s="59">
        <f>K859^2</f>
        <v/>
      </c>
      <c r="M859" s="14">
        <f>IF(F859&lt;=E859,1,0)</f>
        <v/>
      </c>
      <c r="N859" s="14">
        <f>MAX(0,F859-E859)</f>
        <v/>
      </c>
    </row>
    <row r="860">
      <c r="A860" s="14" t="inlineStr">
        <is>
          <t>PO-00859</t>
        </is>
      </c>
      <c r="B860" s="14" t="inlineStr">
        <is>
          <t>S06</t>
        </is>
      </c>
      <c r="C860" s="14" t="inlineStr">
        <is>
          <t>NB-0034</t>
        </is>
      </c>
      <c r="D860" s="26" t="n">
        <v>45296</v>
      </c>
      <c r="E860" s="26" t="n">
        <v>45359</v>
      </c>
      <c r="F860" s="26" t="n">
        <v>45383</v>
      </c>
      <c r="G860" s="14" t="n">
        <v>155</v>
      </c>
      <c r="H860" s="14" t="n">
        <v>155</v>
      </c>
      <c r="I860" s="14" t="n">
        <v>0</v>
      </c>
      <c r="J860" s="58" t="n">
        <v>7875.55</v>
      </c>
      <c r="K860" s="59">
        <f>(F860-D860)/7</f>
        <v/>
      </c>
      <c r="L860" s="59">
        <f>K860^2</f>
        <v/>
      </c>
      <c r="M860" s="14">
        <f>IF(F860&lt;=E860,1,0)</f>
        <v/>
      </c>
      <c r="N860" s="14">
        <f>MAX(0,F860-E860)</f>
        <v/>
      </c>
    </row>
    <row r="861">
      <c r="A861" s="14" t="inlineStr">
        <is>
          <t>PO-00860</t>
        </is>
      </c>
      <c r="B861" s="14" t="inlineStr">
        <is>
          <t>S06</t>
        </is>
      </c>
      <c r="C861" s="14" t="inlineStr">
        <is>
          <t>NB-0034</t>
        </is>
      </c>
      <c r="D861" s="26" t="n">
        <v>45323</v>
      </c>
      <c r="E861" s="26" t="n">
        <v>45386</v>
      </c>
      <c r="F861" s="26" t="n">
        <v>45404</v>
      </c>
      <c r="G861" s="14" t="n">
        <v>187</v>
      </c>
      <c r="H861" s="14" t="n">
        <v>187</v>
      </c>
      <c r="I861" s="14" t="n">
        <v>5</v>
      </c>
      <c r="J861" s="58" t="n">
        <v>9501.469999999999</v>
      </c>
      <c r="K861" s="59">
        <f>(F861-D861)/7</f>
        <v/>
      </c>
      <c r="L861" s="59">
        <f>K861^2</f>
        <v/>
      </c>
      <c r="M861" s="14">
        <f>IF(F861&lt;=E861,1,0)</f>
        <v/>
      </c>
      <c r="N861" s="14">
        <f>MAX(0,F861-E861)</f>
        <v/>
      </c>
    </row>
    <row r="862">
      <c r="A862" s="14" t="inlineStr">
        <is>
          <t>PO-00861</t>
        </is>
      </c>
      <c r="B862" s="14" t="inlineStr">
        <is>
          <t>S06</t>
        </is>
      </c>
      <c r="C862" s="14" t="inlineStr">
        <is>
          <t>NB-0034</t>
        </is>
      </c>
      <c r="D862" s="26" t="n">
        <v>45352</v>
      </c>
      <c r="E862" s="26" t="n">
        <v>45415</v>
      </c>
      <c r="F862" s="26" t="n">
        <v>45414</v>
      </c>
      <c r="G862" s="14" t="n">
        <v>210</v>
      </c>
      <c r="H862" s="14" t="n">
        <v>210</v>
      </c>
      <c r="I862" s="14" t="n">
        <v>4</v>
      </c>
      <c r="J862" s="58" t="n">
        <v>10670.1</v>
      </c>
      <c r="K862" s="59">
        <f>(F862-D862)/7</f>
        <v/>
      </c>
      <c r="L862" s="59">
        <f>K862^2</f>
        <v/>
      </c>
      <c r="M862" s="14">
        <f>IF(F862&lt;=E862,1,0)</f>
        <v/>
      </c>
      <c r="N862" s="14">
        <f>MAX(0,F862-E862)</f>
        <v/>
      </c>
    </row>
    <row r="863">
      <c r="A863" s="14" t="inlineStr">
        <is>
          <t>PO-00862</t>
        </is>
      </c>
      <c r="B863" s="14" t="inlineStr">
        <is>
          <t>S06</t>
        </is>
      </c>
      <c r="C863" s="14" t="inlineStr">
        <is>
          <t>NB-0034</t>
        </is>
      </c>
      <c r="D863" s="26" t="n">
        <v>45377</v>
      </c>
      <c r="E863" s="26" t="n">
        <v>45440</v>
      </c>
      <c r="F863" s="26" t="n">
        <v>45440</v>
      </c>
      <c r="G863" s="14" t="n">
        <v>190</v>
      </c>
      <c r="H863" s="14" t="n">
        <v>190</v>
      </c>
      <c r="I863" s="14" t="n">
        <v>3</v>
      </c>
      <c r="J863" s="58" t="n">
        <v>9653.9</v>
      </c>
      <c r="K863" s="59">
        <f>(F863-D863)/7</f>
        <v/>
      </c>
      <c r="L863" s="59">
        <f>K863^2</f>
        <v/>
      </c>
      <c r="M863" s="14">
        <f>IF(F863&lt;=E863,1,0)</f>
        <v/>
      </c>
      <c r="N863" s="14">
        <f>MAX(0,F863-E863)</f>
        <v/>
      </c>
    </row>
    <row r="864">
      <c r="A864" s="14" t="inlineStr">
        <is>
          <t>PO-00863</t>
        </is>
      </c>
      <c r="B864" s="14" t="inlineStr">
        <is>
          <t>S06</t>
        </is>
      </c>
      <c r="C864" s="14" t="inlineStr">
        <is>
          <t>NB-0034</t>
        </is>
      </c>
      <c r="D864" s="26" t="n">
        <v>45406</v>
      </c>
      <c r="E864" s="26" t="n">
        <v>45469</v>
      </c>
      <c r="F864" s="26" t="n">
        <v>45467</v>
      </c>
      <c r="G864" s="14" t="n">
        <v>206</v>
      </c>
      <c r="H864" s="14" t="n">
        <v>206</v>
      </c>
      <c r="I864" s="14" t="n">
        <v>3</v>
      </c>
      <c r="J864" s="58" t="n">
        <v>10466.86</v>
      </c>
      <c r="K864" s="59">
        <f>(F864-D864)/7</f>
        <v/>
      </c>
      <c r="L864" s="59">
        <f>K864^2</f>
        <v/>
      </c>
      <c r="M864" s="14">
        <f>IF(F864&lt;=E864,1,0)</f>
        <v/>
      </c>
      <c r="N864" s="14">
        <f>MAX(0,F864-E864)</f>
        <v/>
      </c>
    </row>
    <row r="865">
      <c r="A865" s="14" t="inlineStr">
        <is>
          <t>PO-00864</t>
        </is>
      </c>
      <c r="B865" s="14" t="inlineStr">
        <is>
          <t>S06</t>
        </is>
      </c>
      <c r="C865" s="14" t="inlineStr">
        <is>
          <t>NB-0034</t>
        </is>
      </c>
      <c r="D865" s="26" t="n">
        <v>45435</v>
      </c>
      <c r="E865" s="26" t="n">
        <v>45498</v>
      </c>
      <c r="F865" s="26" t="n">
        <v>45497</v>
      </c>
      <c r="G865" s="14" t="n">
        <v>173</v>
      </c>
      <c r="H865" s="14" t="n">
        <v>173</v>
      </c>
      <c r="I865" s="14" t="n">
        <v>1</v>
      </c>
      <c r="J865" s="58" t="n">
        <v>8790.129999999999</v>
      </c>
      <c r="K865" s="59">
        <f>(F865-D865)/7</f>
        <v/>
      </c>
      <c r="L865" s="59">
        <f>K865^2</f>
        <v/>
      </c>
      <c r="M865" s="14">
        <f>IF(F865&lt;=E865,1,0)</f>
        <v/>
      </c>
      <c r="N865" s="14">
        <f>MAX(0,F865-E865)</f>
        <v/>
      </c>
    </row>
    <row r="866">
      <c r="A866" s="14" t="inlineStr">
        <is>
          <t>PO-00865</t>
        </is>
      </c>
      <c r="B866" s="14" t="inlineStr">
        <is>
          <t>S06</t>
        </is>
      </c>
      <c r="C866" s="14" t="inlineStr">
        <is>
          <t>NB-0034</t>
        </is>
      </c>
      <c r="D866" s="26" t="n">
        <v>45462</v>
      </c>
      <c r="E866" s="26" t="n">
        <v>45525</v>
      </c>
      <c r="F866" s="26" t="n">
        <v>45523</v>
      </c>
      <c r="G866" s="14" t="n">
        <v>208</v>
      </c>
      <c r="H866" s="14" t="n">
        <v>208</v>
      </c>
      <c r="I866" s="14" t="n">
        <v>1</v>
      </c>
      <c r="J866" s="58" t="n">
        <v>10568.48</v>
      </c>
      <c r="K866" s="59">
        <f>(F866-D866)/7</f>
        <v/>
      </c>
      <c r="L866" s="59">
        <f>K866^2</f>
        <v/>
      </c>
      <c r="M866" s="14">
        <f>IF(F866&lt;=E866,1,0)</f>
        <v/>
      </c>
      <c r="N866" s="14">
        <f>MAX(0,F866-E866)</f>
        <v/>
      </c>
    </row>
    <row r="867">
      <c r="A867" s="14" t="inlineStr">
        <is>
          <t>PO-00866</t>
        </is>
      </c>
      <c r="B867" s="14" t="inlineStr">
        <is>
          <t>S06</t>
        </is>
      </c>
      <c r="C867" s="14" t="inlineStr">
        <is>
          <t>NB-0034</t>
        </is>
      </c>
      <c r="D867" s="26" t="n">
        <v>45490</v>
      </c>
      <c r="E867" s="26" t="n">
        <v>45553</v>
      </c>
      <c r="F867" s="26" t="n">
        <v>45572</v>
      </c>
      <c r="G867" s="14" t="n">
        <v>158</v>
      </c>
      <c r="H867" s="14" t="n">
        <v>150</v>
      </c>
      <c r="I867" s="14" t="n">
        <v>3</v>
      </c>
      <c r="J867" s="58" t="n">
        <v>8027.98</v>
      </c>
      <c r="K867" s="59">
        <f>(F867-D867)/7</f>
        <v/>
      </c>
      <c r="L867" s="59">
        <f>K867^2</f>
        <v/>
      </c>
      <c r="M867" s="14">
        <f>IF(F867&lt;=E867,1,0)</f>
        <v/>
      </c>
      <c r="N867" s="14">
        <f>MAX(0,F867-E867)</f>
        <v/>
      </c>
    </row>
    <row r="868">
      <c r="A868" s="14" t="inlineStr">
        <is>
          <t>PO-00867</t>
        </is>
      </c>
      <c r="B868" s="14" t="inlineStr">
        <is>
          <t>S06</t>
        </is>
      </c>
      <c r="C868" s="14" t="inlineStr">
        <is>
          <t>NB-0034</t>
        </is>
      </c>
      <c r="D868" s="26" t="n">
        <v>45519</v>
      </c>
      <c r="E868" s="26" t="n">
        <v>45582</v>
      </c>
      <c r="F868" s="26" t="n">
        <v>45582</v>
      </c>
      <c r="G868" s="14" t="n">
        <v>195</v>
      </c>
      <c r="H868" s="14" t="n">
        <v>195</v>
      </c>
      <c r="I868" s="14" t="n">
        <v>6</v>
      </c>
      <c r="J868" s="58" t="n">
        <v>9907.950000000001</v>
      </c>
      <c r="K868" s="59">
        <f>(F868-D868)/7</f>
        <v/>
      </c>
      <c r="L868" s="59">
        <f>K868^2</f>
        <v/>
      </c>
      <c r="M868" s="14">
        <f>IF(F868&lt;=E868,1,0)</f>
        <v/>
      </c>
      <c r="N868" s="14">
        <f>MAX(0,F868-E868)</f>
        <v/>
      </c>
    </row>
    <row r="869">
      <c r="A869" s="14" t="inlineStr">
        <is>
          <t>PO-00868</t>
        </is>
      </c>
      <c r="B869" s="14" t="inlineStr">
        <is>
          <t>S06</t>
        </is>
      </c>
      <c r="C869" s="14" t="inlineStr">
        <is>
          <t>NB-0034</t>
        </is>
      </c>
      <c r="D869" s="26" t="n">
        <v>45544</v>
      </c>
      <c r="E869" s="26" t="n">
        <v>45607</v>
      </c>
      <c r="F869" s="26" t="n">
        <v>45606</v>
      </c>
      <c r="G869" s="14" t="n">
        <v>170</v>
      </c>
      <c r="H869" s="14" t="n">
        <v>170</v>
      </c>
      <c r="I869" s="14" t="n">
        <v>4</v>
      </c>
      <c r="J869" s="58" t="n">
        <v>8637.700000000001</v>
      </c>
      <c r="K869" s="59">
        <f>(F869-D869)/7</f>
        <v/>
      </c>
      <c r="L869" s="59">
        <f>K869^2</f>
        <v/>
      </c>
      <c r="M869" s="14">
        <f>IF(F869&lt;=E869,1,0)</f>
        <v/>
      </c>
      <c r="N869" s="14">
        <f>MAX(0,F869-E869)</f>
        <v/>
      </c>
    </row>
    <row r="870">
      <c r="A870" s="14" t="inlineStr">
        <is>
          <t>PO-00869</t>
        </is>
      </c>
      <c r="B870" s="14" t="inlineStr">
        <is>
          <t>S06</t>
        </is>
      </c>
      <c r="C870" s="14" t="inlineStr">
        <is>
          <t>NB-0034</t>
        </is>
      </c>
      <c r="D870" s="26" t="n">
        <v>45575</v>
      </c>
      <c r="E870" s="26" t="n">
        <v>45638</v>
      </c>
      <c r="F870" s="26" t="n">
        <v>45646</v>
      </c>
      <c r="G870" s="14" t="n">
        <v>167</v>
      </c>
      <c r="H870" s="14" t="n">
        <v>167</v>
      </c>
      <c r="I870" s="14" t="n">
        <v>1</v>
      </c>
      <c r="J870" s="58" t="n">
        <v>8485.27</v>
      </c>
      <c r="K870" s="59">
        <f>(F870-D870)/7</f>
        <v/>
      </c>
      <c r="L870" s="59">
        <f>K870^2</f>
        <v/>
      </c>
      <c r="M870" s="14">
        <f>IF(F870&lt;=E870,1,0)</f>
        <v/>
      </c>
      <c r="N870" s="14">
        <f>MAX(0,F870-E870)</f>
        <v/>
      </c>
    </row>
    <row r="871">
      <c r="A871" s="14" t="inlineStr">
        <is>
          <t>PO-00870</t>
        </is>
      </c>
      <c r="B871" s="14" t="inlineStr">
        <is>
          <t>S06</t>
        </is>
      </c>
      <c r="C871" s="14" t="inlineStr">
        <is>
          <t>NB-0034</t>
        </is>
      </c>
      <c r="D871" s="26" t="n">
        <v>45604</v>
      </c>
      <c r="E871" s="26" t="n">
        <v>45667</v>
      </c>
      <c r="F871" s="26" t="n">
        <v>45667</v>
      </c>
      <c r="G871" s="14" t="n">
        <v>204</v>
      </c>
      <c r="H871" s="14" t="n">
        <v>204</v>
      </c>
      <c r="I871" s="14" t="n">
        <v>0</v>
      </c>
      <c r="J871" s="58" t="n">
        <v>10365.24</v>
      </c>
      <c r="K871" s="59">
        <f>(F871-D871)/7</f>
        <v/>
      </c>
      <c r="L871" s="59">
        <f>K871^2</f>
        <v/>
      </c>
      <c r="M871" s="14">
        <f>IF(F871&lt;=E871,1,0)</f>
        <v/>
      </c>
      <c r="N871" s="14">
        <f>MAX(0,F871-E871)</f>
        <v/>
      </c>
    </row>
    <row r="872">
      <c r="A872" s="14" t="inlineStr">
        <is>
          <t>PO-00871</t>
        </is>
      </c>
      <c r="B872" s="14" t="inlineStr">
        <is>
          <t>S06</t>
        </is>
      </c>
      <c r="C872" s="14" t="inlineStr">
        <is>
          <t>NB-0034</t>
        </is>
      </c>
      <c r="D872" s="26" t="n">
        <v>45631</v>
      </c>
      <c r="E872" s="26" t="n">
        <v>45694</v>
      </c>
      <c r="F872" s="26" t="n">
        <v>45696</v>
      </c>
      <c r="G872" s="14" t="n">
        <v>215</v>
      </c>
      <c r="H872" s="14" t="n">
        <v>215</v>
      </c>
      <c r="I872" s="14" t="n">
        <v>4</v>
      </c>
      <c r="J872" s="58" t="n">
        <v>10924.15</v>
      </c>
      <c r="K872" s="59">
        <f>(F872-D872)/7</f>
        <v/>
      </c>
      <c r="L872" s="59">
        <f>K872^2</f>
        <v/>
      </c>
      <c r="M872" s="14">
        <f>IF(F872&lt;=E872,1,0)</f>
        <v/>
      </c>
      <c r="N872" s="14">
        <f>MAX(0,F872-E872)</f>
        <v/>
      </c>
    </row>
    <row r="873">
      <c r="A873" s="14" t="inlineStr">
        <is>
          <t>PO-00872</t>
        </is>
      </c>
      <c r="B873" s="14" t="inlineStr">
        <is>
          <t>S06</t>
        </is>
      </c>
      <c r="C873" s="14" t="inlineStr">
        <is>
          <t>NB-0034</t>
        </is>
      </c>
      <c r="D873" s="26" t="n">
        <v>45656</v>
      </c>
      <c r="E873" s="26" t="n">
        <v>45719</v>
      </c>
      <c r="F873" s="26" t="n">
        <v>45717</v>
      </c>
      <c r="G873" s="14" t="n">
        <v>161</v>
      </c>
      <c r="H873" s="14" t="n">
        <v>161</v>
      </c>
      <c r="I873" s="14" t="n">
        <v>3</v>
      </c>
      <c r="J873" s="58" t="n">
        <v>8180.41</v>
      </c>
      <c r="K873" s="59">
        <f>(F873-D873)/7</f>
        <v/>
      </c>
      <c r="L873" s="59">
        <f>K873^2</f>
        <v/>
      </c>
      <c r="M873" s="14">
        <f>IF(F873&lt;=E873,1,0)</f>
        <v/>
      </c>
      <c r="N873" s="14">
        <f>MAX(0,F873-E873)</f>
        <v/>
      </c>
    </row>
    <row r="874">
      <c r="A874" s="14" t="inlineStr">
        <is>
          <t>PO-00873</t>
        </is>
      </c>
      <c r="B874" s="14" t="inlineStr">
        <is>
          <t>S06</t>
        </is>
      </c>
      <c r="C874" s="14" t="inlineStr">
        <is>
          <t>NB-0034</t>
        </is>
      </c>
      <c r="D874" s="26" t="n">
        <v>45687</v>
      </c>
      <c r="E874" s="26" t="n">
        <v>45750</v>
      </c>
      <c r="F874" s="26" t="n">
        <v>45766</v>
      </c>
      <c r="G874" s="14" t="n">
        <v>161</v>
      </c>
      <c r="H874" s="14" t="n">
        <v>144</v>
      </c>
      <c r="I874" s="14" t="n">
        <v>3</v>
      </c>
      <c r="J874" s="58" t="n">
        <v>8180.41</v>
      </c>
      <c r="K874" s="59">
        <f>(F874-D874)/7</f>
        <v/>
      </c>
      <c r="L874" s="59">
        <f>K874^2</f>
        <v/>
      </c>
      <c r="M874" s="14">
        <f>IF(F874&lt;=E874,1,0)</f>
        <v/>
      </c>
      <c r="N874" s="14">
        <f>MAX(0,F874-E874)</f>
        <v/>
      </c>
    </row>
    <row r="875">
      <c r="A875" s="14" t="inlineStr">
        <is>
          <t>PO-00874</t>
        </is>
      </c>
      <c r="B875" s="14" t="inlineStr">
        <is>
          <t>S06</t>
        </is>
      </c>
      <c r="C875" s="14" t="inlineStr">
        <is>
          <t>NB-0034</t>
        </is>
      </c>
      <c r="D875" s="26" t="n">
        <v>45714</v>
      </c>
      <c r="E875" s="26" t="n">
        <v>45777</v>
      </c>
      <c r="F875" s="26" t="n">
        <v>45774</v>
      </c>
      <c r="G875" s="14" t="n">
        <v>164</v>
      </c>
      <c r="H875" s="14" t="n">
        <v>164</v>
      </c>
      <c r="I875" s="14" t="n">
        <v>8</v>
      </c>
      <c r="J875" s="58" t="n">
        <v>8332.84</v>
      </c>
      <c r="K875" s="59">
        <f>(F875-D875)/7</f>
        <v/>
      </c>
      <c r="L875" s="59">
        <f>K875^2</f>
        <v/>
      </c>
      <c r="M875" s="14">
        <f>IF(F875&lt;=E875,1,0)</f>
        <v/>
      </c>
      <c r="N875" s="14">
        <f>MAX(0,F875-E875)</f>
        <v/>
      </c>
    </row>
    <row r="876">
      <c r="A876" s="14" t="inlineStr">
        <is>
          <t>PO-00875</t>
        </is>
      </c>
      <c r="B876" s="14" t="inlineStr">
        <is>
          <t>S06</t>
        </is>
      </c>
      <c r="C876" s="14" t="inlineStr">
        <is>
          <t>NB-0034</t>
        </is>
      </c>
      <c r="D876" s="26" t="n">
        <v>45743</v>
      </c>
      <c r="E876" s="26" t="n">
        <v>45806</v>
      </c>
      <c r="F876" s="26" t="n">
        <v>45803</v>
      </c>
      <c r="G876" s="14" t="n">
        <v>174</v>
      </c>
      <c r="H876" s="14" t="n">
        <v>174</v>
      </c>
      <c r="I876" s="14" t="n">
        <v>6</v>
      </c>
      <c r="J876" s="58" t="n">
        <v>8840.940000000001</v>
      </c>
      <c r="K876" s="59">
        <f>(F876-D876)/7</f>
        <v/>
      </c>
      <c r="L876" s="59">
        <f>K876^2</f>
        <v/>
      </c>
      <c r="M876" s="14">
        <f>IF(F876&lt;=E876,1,0)</f>
        <v/>
      </c>
      <c r="N876" s="14">
        <f>MAX(0,F876-E876)</f>
        <v/>
      </c>
    </row>
    <row r="877">
      <c r="A877" s="14" t="inlineStr">
        <is>
          <t>PO-00876</t>
        </is>
      </c>
      <c r="B877" s="14" t="inlineStr">
        <is>
          <t>S06</t>
        </is>
      </c>
      <c r="C877" s="14" t="inlineStr">
        <is>
          <t>NB-0034</t>
        </is>
      </c>
      <c r="D877" s="26" t="n">
        <v>45768</v>
      </c>
      <c r="E877" s="26" t="n">
        <v>45831</v>
      </c>
      <c r="F877" s="26" t="n">
        <v>45830</v>
      </c>
      <c r="G877" s="14" t="n">
        <v>159</v>
      </c>
      <c r="H877" s="14" t="n">
        <v>155</v>
      </c>
      <c r="I877" s="14" t="n">
        <v>4</v>
      </c>
      <c r="J877" s="58" t="n">
        <v>8078.79</v>
      </c>
      <c r="K877" s="59">
        <f>(F877-D877)/7</f>
        <v/>
      </c>
      <c r="L877" s="59">
        <f>K877^2</f>
        <v/>
      </c>
      <c r="M877" s="14">
        <f>IF(F877&lt;=E877,1,0)</f>
        <v/>
      </c>
      <c r="N877" s="14">
        <f>MAX(0,F877-E877)</f>
        <v/>
      </c>
    </row>
    <row r="878">
      <c r="A878" s="14" t="inlineStr">
        <is>
          <t>PO-00877</t>
        </is>
      </c>
      <c r="B878" s="14" t="inlineStr">
        <is>
          <t>S06</t>
        </is>
      </c>
      <c r="C878" s="14" t="inlineStr">
        <is>
          <t>NB-0034</t>
        </is>
      </c>
      <c r="D878" s="26" t="n">
        <v>45797</v>
      </c>
      <c r="E878" s="26" t="n">
        <v>45860</v>
      </c>
      <c r="F878" s="26" t="n">
        <v>45887</v>
      </c>
      <c r="G878" s="14" t="n">
        <v>191</v>
      </c>
      <c r="H878" s="14" t="n">
        <v>191</v>
      </c>
      <c r="I878" s="14" t="n">
        <v>3</v>
      </c>
      <c r="J878" s="58" t="n">
        <v>9704.709999999999</v>
      </c>
      <c r="K878" s="59">
        <f>(F878-D878)/7</f>
        <v/>
      </c>
      <c r="L878" s="59">
        <f>K878^2</f>
        <v/>
      </c>
      <c r="M878" s="14">
        <f>IF(F878&lt;=E878,1,0)</f>
        <v/>
      </c>
      <c r="N878" s="14">
        <f>MAX(0,F878-E878)</f>
        <v/>
      </c>
    </row>
    <row r="879">
      <c r="A879" s="14" t="inlineStr">
        <is>
          <t>PO-00878</t>
        </is>
      </c>
      <c r="B879" s="14" t="inlineStr">
        <is>
          <t>S06</t>
        </is>
      </c>
      <c r="C879" s="14" t="inlineStr">
        <is>
          <t>NB-0034</t>
        </is>
      </c>
      <c r="D879" s="26" t="n">
        <v>45826</v>
      </c>
      <c r="E879" s="26" t="n">
        <v>45889</v>
      </c>
      <c r="F879" s="26" t="n">
        <v>45888</v>
      </c>
      <c r="G879" s="14" t="n">
        <v>171</v>
      </c>
      <c r="H879" s="14" t="n">
        <v>171</v>
      </c>
      <c r="I879" s="14" t="n">
        <v>2</v>
      </c>
      <c r="J879" s="58" t="n">
        <v>8688.51</v>
      </c>
      <c r="K879" s="59">
        <f>(F879-D879)/7</f>
        <v/>
      </c>
      <c r="L879" s="59">
        <f>K879^2</f>
        <v/>
      </c>
      <c r="M879" s="14">
        <f>IF(F879&lt;=E879,1,0)</f>
        <v/>
      </c>
      <c r="N879" s="14">
        <f>MAX(0,F879-E879)</f>
        <v/>
      </c>
    </row>
    <row r="880">
      <c r="A880" s="14" t="inlineStr">
        <is>
          <t>PO-00879</t>
        </is>
      </c>
      <c r="B880" s="14" t="inlineStr">
        <is>
          <t>S06</t>
        </is>
      </c>
      <c r="C880" s="14" t="inlineStr">
        <is>
          <t>NB-0034</t>
        </is>
      </c>
      <c r="D880" s="26" t="n">
        <v>45853</v>
      </c>
      <c r="E880" s="26" t="n">
        <v>45916</v>
      </c>
      <c r="F880" s="26" t="n">
        <v>45915</v>
      </c>
      <c r="G880" s="14" t="n">
        <v>180</v>
      </c>
      <c r="H880" s="14" t="n">
        <v>180</v>
      </c>
      <c r="I880" s="14" t="n">
        <v>3</v>
      </c>
      <c r="J880" s="58" t="n">
        <v>9145.799999999999</v>
      </c>
      <c r="K880" s="59">
        <f>(F880-D880)/7</f>
        <v/>
      </c>
      <c r="L880" s="59">
        <f>K880^2</f>
        <v/>
      </c>
      <c r="M880" s="14">
        <f>IF(F880&lt;=E880,1,0)</f>
        <v/>
      </c>
      <c r="N880" s="14">
        <f>MAX(0,F880-E880)</f>
        <v/>
      </c>
    </row>
    <row r="881">
      <c r="A881" s="14" t="inlineStr">
        <is>
          <t>PO-00880</t>
        </is>
      </c>
      <c r="B881" s="14" t="inlineStr">
        <is>
          <t>S06</t>
        </is>
      </c>
      <c r="C881" s="14" t="inlineStr">
        <is>
          <t>NB-0034</t>
        </is>
      </c>
      <c r="D881" s="26" t="n">
        <v>45881</v>
      </c>
      <c r="E881" s="26" t="n">
        <v>45944</v>
      </c>
      <c r="F881" s="26" t="n">
        <v>45943</v>
      </c>
      <c r="G881" s="14" t="n">
        <v>198</v>
      </c>
      <c r="H881" s="14" t="n">
        <v>198</v>
      </c>
      <c r="I881" s="14" t="n">
        <v>1</v>
      </c>
      <c r="J881" s="58" t="n">
        <v>10060.38</v>
      </c>
      <c r="K881" s="59">
        <f>(F881-D881)/7</f>
        <v/>
      </c>
      <c r="L881" s="59">
        <f>K881^2</f>
        <v/>
      </c>
      <c r="M881" s="14">
        <f>IF(F881&lt;=E881,1,0)</f>
        <v/>
      </c>
      <c r="N881" s="14">
        <f>MAX(0,F881-E881)</f>
        <v/>
      </c>
    </row>
    <row r="882">
      <c r="A882" s="14" t="inlineStr">
        <is>
          <t>PO-00881</t>
        </is>
      </c>
      <c r="B882" s="14" t="inlineStr">
        <is>
          <t>S06</t>
        </is>
      </c>
      <c r="C882" s="14" t="inlineStr">
        <is>
          <t>NB-0034</t>
        </is>
      </c>
      <c r="D882" s="26" t="n">
        <v>45911</v>
      </c>
      <c r="E882" s="26" t="n">
        <v>45974</v>
      </c>
      <c r="F882" s="26" t="n">
        <v>45973</v>
      </c>
      <c r="G882" s="14" t="n">
        <v>162</v>
      </c>
      <c r="H882" s="14" t="n">
        <v>162</v>
      </c>
      <c r="I882" s="14" t="n">
        <v>2</v>
      </c>
      <c r="J882" s="58" t="n">
        <v>8231.219999999999</v>
      </c>
      <c r="K882" s="59">
        <f>(F882-D882)/7</f>
        <v/>
      </c>
      <c r="L882" s="59">
        <f>K882^2</f>
        <v/>
      </c>
      <c r="M882" s="14">
        <f>IF(F882&lt;=E882,1,0)</f>
        <v/>
      </c>
      <c r="N882" s="14">
        <f>MAX(0,F882-E882)</f>
        <v/>
      </c>
    </row>
    <row r="883">
      <c r="A883" s="14" t="inlineStr">
        <is>
          <t>PO-00882</t>
        </is>
      </c>
      <c r="B883" s="14" t="inlineStr">
        <is>
          <t>S06</t>
        </is>
      </c>
      <c r="C883" s="14" t="inlineStr">
        <is>
          <t>NB-0034</t>
        </is>
      </c>
      <c r="D883" s="26" t="n">
        <v>45938</v>
      </c>
      <c r="E883" s="26" t="n">
        <v>46001</v>
      </c>
      <c r="F883" s="26" t="n">
        <v>46000</v>
      </c>
      <c r="G883" s="14" t="n">
        <v>198</v>
      </c>
      <c r="H883" s="14" t="n">
        <v>172</v>
      </c>
      <c r="I883" s="14" t="n">
        <v>7</v>
      </c>
      <c r="J883" s="58" t="n">
        <v>10060.38</v>
      </c>
      <c r="K883" s="59">
        <f>(F883-D883)/7</f>
        <v/>
      </c>
      <c r="L883" s="59">
        <f>K883^2</f>
        <v/>
      </c>
      <c r="M883" s="14">
        <f>IF(F883&lt;=E883,1,0)</f>
        <v/>
      </c>
      <c r="N883" s="14">
        <f>MAX(0,F883-E883)</f>
        <v/>
      </c>
    </row>
    <row r="884">
      <c r="A884" s="14" t="inlineStr">
        <is>
          <t>PO-00883</t>
        </is>
      </c>
      <c r="B884" s="14" t="inlineStr">
        <is>
          <t>S06</t>
        </is>
      </c>
      <c r="C884" s="14" t="inlineStr">
        <is>
          <t>NB-0034</t>
        </is>
      </c>
      <c r="D884" s="26" t="n">
        <v>45968</v>
      </c>
      <c r="E884" s="26" t="n">
        <v>46031</v>
      </c>
      <c r="F884" s="26" t="n">
        <v>46048</v>
      </c>
      <c r="G884" s="14" t="n">
        <v>192</v>
      </c>
      <c r="H884" s="14" t="n">
        <v>192</v>
      </c>
      <c r="I884" s="14" t="n">
        <v>2</v>
      </c>
      <c r="J884" s="58" t="n">
        <v>9755.52</v>
      </c>
      <c r="K884" s="59">
        <f>(F884-D884)/7</f>
        <v/>
      </c>
      <c r="L884" s="59">
        <f>K884^2</f>
        <v/>
      </c>
      <c r="M884" s="14">
        <f>IF(F884&lt;=E884,1,0)</f>
        <v/>
      </c>
      <c r="N884" s="14">
        <f>MAX(0,F884-E884)</f>
        <v/>
      </c>
    </row>
    <row r="885">
      <c r="A885" s="14" t="inlineStr">
        <is>
          <t>PO-00884</t>
        </is>
      </c>
      <c r="B885" s="14" t="inlineStr">
        <is>
          <t>S06</t>
        </is>
      </c>
      <c r="C885" s="14" t="inlineStr">
        <is>
          <t>NB-0034</t>
        </is>
      </c>
      <c r="D885" s="26" t="n">
        <v>45992</v>
      </c>
      <c r="E885" s="26" t="n">
        <v>46055</v>
      </c>
      <c r="F885" s="26" t="n">
        <v>46055</v>
      </c>
      <c r="G885" s="14" t="n">
        <v>170</v>
      </c>
      <c r="H885" s="14" t="n">
        <v>170</v>
      </c>
      <c r="I885" s="14" t="n">
        <v>2</v>
      </c>
      <c r="J885" s="58" t="n">
        <v>8637.700000000001</v>
      </c>
      <c r="K885" s="59">
        <f>(F885-D885)/7</f>
        <v/>
      </c>
      <c r="L885" s="59">
        <f>K885^2</f>
        <v/>
      </c>
      <c r="M885" s="14">
        <f>IF(F885&lt;=E885,1,0)</f>
        <v/>
      </c>
      <c r="N885" s="14">
        <f>MAX(0,F885-E885)</f>
        <v/>
      </c>
    </row>
    <row r="886">
      <c r="A886" s="14" t="inlineStr">
        <is>
          <t>PO-00885</t>
        </is>
      </c>
      <c r="B886" s="14" t="inlineStr">
        <is>
          <t>S04</t>
        </is>
      </c>
      <c r="C886" s="14" t="inlineStr">
        <is>
          <t>NB-0035</t>
        </is>
      </c>
      <c r="D886" s="26" t="n">
        <v>45296</v>
      </c>
      <c r="E886" s="26" t="n">
        <v>45324</v>
      </c>
      <c r="F886" s="26" t="n">
        <v>45321</v>
      </c>
      <c r="G886" s="14" t="n">
        <v>36</v>
      </c>
      <c r="H886" s="14" t="n">
        <v>36</v>
      </c>
      <c r="I886" s="14" t="n">
        <v>0</v>
      </c>
      <c r="J886" s="58" t="n">
        <v>4078.08</v>
      </c>
      <c r="K886" s="59">
        <f>(F886-D886)/7</f>
        <v/>
      </c>
      <c r="L886" s="59">
        <f>K886^2</f>
        <v/>
      </c>
      <c r="M886" s="14">
        <f>IF(F886&lt;=E886,1,0)</f>
        <v/>
      </c>
      <c r="N886" s="14">
        <f>MAX(0,F886-E886)</f>
        <v/>
      </c>
    </row>
    <row r="887">
      <c r="A887" s="14" t="inlineStr">
        <is>
          <t>PO-00886</t>
        </is>
      </c>
      <c r="B887" s="14" t="inlineStr">
        <is>
          <t>S04</t>
        </is>
      </c>
      <c r="C887" s="14" t="inlineStr">
        <is>
          <t>NB-0035</t>
        </is>
      </c>
      <c r="D887" s="26" t="n">
        <v>45324</v>
      </c>
      <c r="E887" s="26" t="n">
        <v>45352</v>
      </c>
      <c r="F887" s="26" t="n">
        <v>45349</v>
      </c>
      <c r="G887" s="14" t="n">
        <v>35</v>
      </c>
      <c r="H887" s="14" t="n">
        <v>35</v>
      </c>
      <c r="I887" s="14" t="n">
        <v>2</v>
      </c>
      <c r="J887" s="58" t="n">
        <v>3964.8</v>
      </c>
      <c r="K887" s="59">
        <f>(F887-D887)/7</f>
        <v/>
      </c>
      <c r="L887" s="59">
        <f>K887^2</f>
        <v/>
      </c>
      <c r="M887" s="14">
        <f>IF(F887&lt;=E887,1,0)</f>
        <v/>
      </c>
      <c r="N887" s="14">
        <f>MAX(0,F887-E887)</f>
        <v/>
      </c>
    </row>
    <row r="888">
      <c r="A888" s="14" t="inlineStr">
        <is>
          <t>PO-00887</t>
        </is>
      </c>
      <c r="B888" s="14" t="inlineStr">
        <is>
          <t>S04</t>
        </is>
      </c>
      <c r="C888" s="14" t="inlineStr">
        <is>
          <t>NB-0035</t>
        </is>
      </c>
      <c r="D888" s="26" t="n">
        <v>45348</v>
      </c>
      <c r="E888" s="26" t="n">
        <v>45376</v>
      </c>
      <c r="F888" s="26" t="n">
        <v>45374</v>
      </c>
      <c r="G888" s="14" t="n">
        <v>36</v>
      </c>
      <c r="H888" s="14" t="n">
        <v>36</v>
      </c>
      <c r="I888" s="14" t="n">
        <v>0</v>
      </c>
      <c r="J888" s="58" t="n">
        <v>4078.08</v>
      </c>
      <c r="K888" s="59">
        <f>(F888-D888)/7</f>
        <v/>
      </c>
      <c r="L888" s="59">
        <f>K888^2</f>
        <v/>
      </c>
      <c r="M888" s="14">
        <f>IF(F888&lt;=E888,1,0)</f>
        <v/>
      </c>
      <c r="N888" s="14">
        <f>MAX(0,F888-E888)</f>
        <v/>
      </c>
    </row>
    <row r="889">
      <c r="A889" s="14" t="inlineStr">
        <is>
          <t>PO-00888</t>
        </is>
      </c>
      <c r="B889" s="14" t="inlineStr">
        <is>
          <t>S04</t>
        </is>
      </c>
      <c r="C889" s="14" t="inlineStr">
        <is>
          <t>NB-0035</t>
        </is>
      </c>
      <c r="D889" s="26" t="n">
        <v>45378</v>
      </c>
      <c r="E889" s="26" t="n">
        <v>45406</v>
      </c>
      <c r="F889" s="26" t="n">
        <v>45405</v>
      </c>
      <c r="G889" s="14" t="n">
        <v>32</v>
      </c>
      <c r="H889" s="14" t="n">
        <v>32</v>
      </c>
      <c r="I889" s="14" t="n">
        <v>0</v>
      </c>
      <c r="J889" s="58" t="n">
        <v>3624.96</v>
      </c>
      <c r="K889" s="59">
        <f>(F889-D889)/7</f>
        <v/>
      </c>
      <c r="L889" s="59">
        <f>K889^2</f>
        <v/>
      </c>
      <c r="M889" s="14">
        <f>IF(F889&lt;=E889,1,0)</f>
        <v/>
      </c>
      <c r="N889" s="14">
        <f>MAX(0,F889-E889)</f>
        <v/>
      </c>
    </row>
    <row r="890">
      <c r="A890" s="14" t="inlineStr">
        <is>
          <t>PO-00889</t>
        </is>
      </c>
      <c r="B890" s="14" t="inlineStr">
        <is>
          <t>S04</t>
        </is>
      </c>
      <c r="C890" s="14" t="inlineStr">
        <is>
          <t>NB-0035</t>
        </is>
      </c>
      <c r="D890" s="26" t="n">
        <v>45407</v>
      </c>
      <c r="E890" s="26" t="n">
        <v>45435</v>
      </c>
      <c r="F890" s="26" t="n">
        <v>45432</v>
      </c>
      <c r="G890" s="14" t="n">
        <v>33</v>
      </c>
      <c r="H890" s="14" t="n">
        <v>33</v>
      </c>
      <c r="I890" s="14" t="n">
        <v>0</v>
      </c>
      <c r="J890" s="58" t="n">
        <v>3738.24</v>
      </c>
      <c r="K890" s="59">
        <f>(F890-D890)/7</f>
        <v/>
      </c>
      <c r="L890" s="59">
        <f>K890^2</f>
        <v/>
      </c>
      <c r="M890" s="14">
        <f>IF(F890&lt;=E890,1,0)</f>
        <v/>
      </c>
      <c r="N890" s="14">
        <f>MAX(0,F890-E890)</f>
        <v/>
      </c>
    </row>
    <row r="891">
      <c r="A891" s="14" t="inlineStr">
        <is>
          <t>PO-00890</t>
        </is>
      </c>
      <c r="B891" s="14" t="inlineStr">
        <is>
          <t>S04</t>
        </is>
      </c>
      <c r="C891" s="14" t="inlineStr">
        <is>
          <t>NB-0035</t>
        </is>
      </c>
      <c r="D891" s="26" t="n">
        <v>45436</v>
      </c>
      <c r="E891" s="26" t="n">
        <v>45464</v>
      </c>
      <c r="F891" s="26" t="n">
        <v>45461</v>
      </c>
      <c r="G891" s="14" t="n">
        <v>27</v>
      </c>
      <c r="H891" s="14" t="n">
        <v>27</v>
      </c>
      <c r="I891" s="14" t="n">
        <v>0</v>
      </c>
      <c r="J891" s="58" t="n">
        <v>3058.56</v>
      </c>
      <c r="K891" s="59">
        <f>(F891-D891)/7</f>
        <v/>
      </c>
      <c r="L891" s="59">
        <f>K891^2</f>
        <v/>
      </c>
      <c r="M891" s="14">
        <f>IF(F891&lt;=E891,1,0)</f>
        <v/>
      </c>
      <c r="N891" s="14">
        <f>MAX(0,F891-E891)</f>
        <v/>
      </c>
    </row>
    <row r="892">
      <c r="A892" s="14" t="inlineStr">
        <is>
          <t>PO-00891</t>
        </is>
      </c>
      <c r="B892" s="14" t="inlineStr">
        <is>
          <t>S04</t>
        </is>
      </c>
      <c r="C892" s="14" t="inlineStr">
        <is>
          <t>NB-0035</t>
        </is>
      </c>
      <c r="D892" s="26" t="n">
        <v>45462</v>
      </c>
      <c r="E892" s="26" t="n">
        <v>45490</v>
      </c>
      <c r="F892" s="26" t="n">
        <v>45487</v>
      </c>
      <c r="G892" s="14" t="n">
        <v>27</v>
      </c>
      <c r="H892" s="14" t="n">
        <v>27</v>
      </c>
      <c r="I892" s="14" t="n">
        <v>1</v>
      </c>
      <c r="J892" s="58" t="n">
        <v>3058.56</v>
      </c>
      <c r="K892" s="59">
        <f>(F892-D892)/7</f>
        <v/>
      </c>
      <c r="L892" s="59">
        <f>K892^2</f>
        <v/>
      </c>
      <c r="M892" s="14">
        <f>IF(F892&lt;=E892,1,0)</f>
        <v/>
      </c>
      <c r="N892" s="14">
        <f>MAX(0,F892-E892)</f>
        <v/>
      </c>
    </row>
    <row r="893">
      <c r="A893" s="14" t="inlineStr">
        <is>
          <t>PO-00892</t>
        </is>
      </c>
      <c r="B893" s="14" t="inlineStr">
        <is>
          <t>S04</t>
        </is>
      </c>
      <c r="C893" s="14" t="inlineStr">
        <is>
          <t>NB-0035</t>
        </is>
      </c>
      <c r="D893" s="26" t="n">
        <v>45491</v>
      </c>
      <c r="E893" s="26" t="n">
        <v>45519</v>
      </c>
      <c r="F893" s="26" t="n">
        <v>45518</v>
      </c>
      <c r="G893" s="14" t="n">
        <v>32</v>
      </c>
      <c r="H893" s="14" t="n">
        <v>32</v>
      </c>
      <c r="I893" s="14" t="n">
        <v>1</v>
      </c>
      <c r="J893" s="58" t="n">
        <v>3624.96</v>
      </c>
      <c r="K893" s="59">
        <f>(F893-D893)/7</f>
        <v/>
      </c>
      <c r="L893" s="59">
        <f>K893^2</f>
        <v/>
      </c>
      <c r="M893" s="14">
        <f>IF(F893&lt;=E893,1,0)</f>
        <v/>
      </c>
      <c r="N893" s="14">
        <f>MAX(0,F893-E893)</f>
        <v/>
      </c>
    </row>
    <row r="894">
      <c r="A894" s="14" t="inlineStr">
        <is>
          <t>PO-00893</t>
        </is>
      </c>
      <c r="B894" s="14" t="inlineStr">
        <is>
          <t>S04</t>
        </is>
      </c>
      <c r="C894" s="14" t="inlineStr">
        <is>
          <t>NB-0035</t>
        </is>
      </c>
      <c r="D894" s="26" t="n">
        <v>45516</v>
      </c>
      <c r="E894" s="26" t="n">
        <v>45544</v>
      </c>
      <c r="F894" s="26" t="n">
        <v>45547</v>
      </c>
      <c r="G894" s="14" t="n">
        <v>31</v>
      </c>
      <c r="H894" s="14" t="n">
        <v>31</v>
      </c>
      <c r="I894" s="14" t="n">
        <v>0</v>
      </c>
      <c r="J894" s="58" t="n">
        <v>3511.68</v>
      </c>
      <c r="K894" s="59">
        <f>(F894-D894)/7</f>
        <v/>
      </c>
      <c r="L894" s="59">
        <f>K894^2</f>
        <v/>
      </c>
      <c r="M894" s="14">
        <f>IF(F894&lt;=E894,1,0)</f>
        <v/>
      </c>
      <c r="N894" s="14">
        <f>MAX(0,F894-E894)</f>
        <v/>
      </c>
    </row>
    <row r="895">
      <c r="A895" s="14" t="inlineStr">
        <is>
          <t>PO-00894</t>
        </is>
      </c>
      <c r="B895" s="14" t="inlineStr">
        <is>
          <t>S04</t>
        </is>
      </c>
      <c r="C895" s="14" t="inlineStr">
        <is>
          <t>NB-0035</t>
        </is>
      </c>
      <c r="D895" s="26" t="n">
        <v>45546</v>
      </c>
      <c r="E895" s="26" t="n">
        <v>45574</v>
      </c>
      <c r="F895" s="26" t="n">
        <v>45571</v>
      </c>
      <c r="G895" s="14" t="n">
        <v>30</v>
      </c>
      <c r="H895" s="14" t="n">
        <v>30</v>
      </c>
      <c r="I895" s="14" t="n">
        <v>1</v>
      </c>
      <c r="J895" s="58" t="n">
        <v>3398.4</v>
      </c>
      <c r="K895" s="59">
        <f>(F895-D895)/7</f>
        <v/>
      </c>
      <c r="L895" s="59">
        <f>K895^2</f>
        <v/>
      </c>
      <c r="M895" s="14">
        <f>IF(F895&lt;=E895,1,0)</f>
        <v/>
      </c>
      <c r="N895" s="14">
        <f>MAX(0,F895-E895)</f>
        <v/>
      </c>
    </row>
    <row r="896">
      <c r="A896" s="14" t="inlineStr">
        <is>
          <t>PO-00895</t>
        </is>
      </c>
      <c r="B896" s="14" t="inlineStr">
        <is>
          <t>S04</t>
        </is>
      </c>
      <c r="C896" s="14" t="inlineStr">
        <is>
          <t>NB-0035</t>
        </is>
      </c>
      <c r="D896" s="26" t="n">
        <v>45573</v>
      </c>
      <c r="E896" s="26" t="n">
        <v>45601</v>
      </c>
      <c r="F896" s="26" t="n">
        <v>45599</v>
      </c>
      <c r="G896" s="14" t="n">
        <v>28</v>
      </c>
      <c r="H896" s="14" t="n">
        <v>28</v>
      </c>
      <c r="I896" s="14" t="n">
        <v>0</v>
      </c>
      <c r="J896" s="58" t="n">
        <v>3171.84</v>
      </c>
      <c r="K896" s="59">
        <f>(F896-D896)/7</f>
        <v/>
      </c>
      <c r="L896" s="59">
        <f>K896^2</f>
        <v/>
      </c>
      <c r="M896" s="14">
        <f>IF(F896&lt;=E896,1,0)</f>
        <v/>
      </c>
      <c r="N896" s="14">
        <f>MAX(0,F896-E896)</f>
        <v/>
      </c>
    </row>
    <row r="897">
      <c r="A897" s="14" t="inlineStr">
        <is>
          <t>PO-00896</t>
        </is>
      </c>
      <c r="B897" s="14" t="inlineStr">
        <is>
          <t>S04</t>
        </is>
      </c>
      <c r="C897" s="14" t="inlineStr">
        <is>
          <t>NB-0035</t>
        </is>
      </c>
      <c r="D897" s="26" t="n">
        <v>45604</v>
      </c>
      <c r="E897" s="26" t="n">
        <v>45632</v>
      </c>
      <c r="F897" s="26" t="n">
        <v>45639</v>
      </c>
      <c r="G897" s="14" t="n">
        <v>28</v>
      </c>
      <c r="H897" s="14" t="n">
        <v>28</v>
      </c>
      <c r="I897" s="14" t="n">
        <v>0</v>
      </c>
      <c r="J897" s="58" t="n">
        <v>3171.84</v>
      </c>
      <c r="K897" s="59">
        <f>(F897-D897)/7</f>
        <v/>
      </c>
      <c r="L897" s="59">
        <f>K897^2</f>
        <v/>
      </c>
      <c r="M897" s="14">
        <f>IF(F897&lt;=E897,1,0)</f>
        <v/>
      </c>
      <c r="N897" s="14">
        <f>MAX(0,F897-E897)</f>
        <v/>
      </c>
    </row>
    <row r="898">
      <c r="A898" s="14" t="inlineStr">
        <is>
          <t>PO-00897</t>
        </is>
      </c>
      <c r="B898" s="14" t="inlineStr">
        <is>
          <t>S04</t>
        </is>
      </c>
      <c r="C898" s="14" t="inlineStr">
        <is>
          <t>NB-0035</t>
        </is>
      </c>
      <c r="D898" s="26" t="n">
        <v>45629</v>
      </c>
      <c r="E898" s="26" t="n">
        <v>45657</v>
      </c>
      <c r="F898" s="26" t="n">
        <v>45657</v>
      </c>
      <c r="G898" s="14" t="n">
        <v>35</v>
      </c>
      <c r="H898" s="14" t="n">
        <v>35</v>
      </c>
      <c r="I898" s="14" t="n">
        <v>0</v>
      </c>
      <c r="J898" s="58" t="n">
        <v>3964.8</v>
      </c>
      <c r="K898" s="59">
        <f>(F898-D898)/7</f>
        <v/>
      </c>
      <c r="L898" s="59">
        <f>K898^2</f>
        <v/>
      </c>
      <c r="M898" s="14">
        <f>IF(F898&lt;=E898,1,0)</f>
        <v/>
      </c>
      <c r="N898" s="14">
        <f>MAX(0,F898-E898)</f>
        <v/>
      </c>
    </row>
    <row r="899">
      <c r="A899" s="14" t="inlineStr">
        <is>
          <t>PO-00898</t>
        </is>
      </c>
      <c r="B899" s="14" t="inlineStr">
        <is>
          <t>S04</t>
        </is>
      </c>
      <c r="C899" s="14" t="inlineStr">
        <is>
          <t>NB-0035</t>
        </is>
      </c>
      <c r="D899" s="26" t="n">
        <v>45658</v>
      </c>
      <c r="E899" s="26" t="n">
        <v>45686</v>
      </c>
      <c r="F899" s="26" t="n">
        <v>45686</v>
      </c>
      <c r="G899" s="14" t="n">
        <v>28</v>
      </c>
      <c r="H899" s="14" t="n">
        <v>28</v>
      </c>
      <c r="I899" s="14" t="n">
        <v>0</v>
      </c>
      <c r="J899" s="58" t="n">
        <v>3171.84</v>
      </c>
      <c r="K899" s="59">
        <f>(F899-D899)/7</f>
        <v/>
      </c>
      <c r="L899" s="59">
        <f>K899^2</f>
        <v/>
      </c>
      <c r="M899" s="14">
        <f>IF(F899&lt;=E899,1,0)</f>
        <v/>
      </c>
      <c r="N899" s="14">
        <f>MAX(0,F899-E899)</f>
        <v/>
      </c>
    </row>
    <row r="900">
      <c r="A900" s="14" t="inlineStr">
        <is>
          <t>PO-00899</t>
        </is>
      </c>
      <c r="B900" s="14" t="inlineStr">
        <is>
          <t>S04</t>
        </is>
      </c>
      <c r="C900" s="14" t="inlineStr">
        <is>
          <t>NB-0035</t>
        </is>
      </c>
      <c r="D900" s="26" t="n">
        <v>45688</v>
      </c>
      <c r="E900" s="26" t="n">
        <v>45716</v>
      </c>
      <c r="F900" s="26" t="n">
        <v>45715</v>
      </c>
      <c r="G900" s="14" t="n">
        <v>37</v>
      </c>
      <c r="H900" s="14" t="n">
        <v>37</v>
      </c>
      <c r="I900" s="14" t="n">
        <v>1</v>
      </c>
      <c r="J900" s="58" t="n">
        <v>4191.36</v>
      </c>
      <c r="K900" s="59">
        <f>(F900-D900)/7</f>
        <v/>
      </c>
      <c r="L900" s="59">
        <f>K900^2</f>
        <v/>
      </c>
      <c r="M900" s="14">
        <f>IF(F900&lt;=E900,1,0)</f>
        <v/>
      </c>
      <c r="N900" s="14">
        <f>MAX(0,F900-E900)</f>
        <v/>
      </c>
    </row>
    <row r="901">
      <c r="A901" s="14" t="inlineStr">
        <is>
          <t>PO-00900</t>
        </is>
      </c>
      <c r="B901" s="14" t="inlineStr">
        <is>
          <t>S04</t>
        </is>
      </c>
      <c r="C901" s="14" t="inlineStr">
        <is>
          <t>NB-0035</t>
        </is>
      </c>
      <c r="D901" s="26" t="n">
        <v>45713</v>
      </c>
      <c r="E901" s="26" t="n">
        <v>45741</v>
      </c>
      <c r="F901" s="26" t="n">
        <v>45738</v>
      </c>
      <c r="G901" s="14" t="n">
        <v>37</v>
      </c>
      <c r="H901" s="14" t="n">
        <v>37</v>
      </c>
      <c r="I901" s="14" t="n">
        <v>0</v>
      </c>
      <c r="J901" s="58" t="n">
        <v>4191.36</v>
      </c>
      <c r="K901" s="59">
        <f>(F901-D901)/7</f>
        <v/>
      </c>
      <c r="L901" s="59">
        <f>K901^2</f>
        <v/>
      </c>
      <c r="M901" s="14">
        <f>IF(F901&lt;=E901,1,0)</f>
        <v/>
      </c>
      <c r="N901" s="14">
        <f>MAX(0,F901-E901)</f>
        <v/>
      </c>
    </row>
    <row r="902">
      <c r="A902" s="14" t="inlineStr">
        <is>
          <t>PO-00901</t>
        </is>
      </c>
      <c r="B902" s="14" t="inlineStr">
        <is>
          <t>S04</t>
        </is>
      </c>
      <c r="C902" s="14" t="inlineStr">
        <is>
          <t>NB-0035</t>
        </is>
      </c>
      <c r="D902" s="26" t="n">
        <v>45743</v>
      </c>
      <c r="E902" s="26" t="n">
        <v>45771</v>
      </c>
      <c r="F902" s="26" t="n">
        <v>45775</v>
      </c>
      <c r="G902" s="14" t="n">
        <v>37</v>
      </c>
      <c r="H902" s="14" t="n">
        <v>37</v>
      </c>
      <c r="I902" s="14" t="n">
        <v>0</v>
      </c>
      <c r="J902" s="58" t="n">
        <v>4191.36</v>
      </c>
      <c r="K902" s="59">
        <f>(F902-D902)/7</f>
        <v/>
      </c>
      <c r="L902" s="59">
        <f>K902^2</f>
        <v/>
      </c>
      <c r="M902" s="14">
        <f>IF(F902&lt;=E902,1,0)</f>
        <v/>
      </c>
      <c r="N902" s="14">
        <f>MAX(0,F902-E902)</f>
        <v/>
      </c>
    </row>
    <row r="903">
      <c r="A903" s="14" t="inlineStr">
        <is>
          <t>PO-00902</t>
        </is>
      </c>
      <c r="B903" s="14" t="inlineStr">
        <is>
          <t>S04</t>
        </is>
      </c>
      <c r="C903" s="14" t="inlineStr">
        <is>
          <t>NB-0035</t>
        </is>
      </c>
      <c r="D903" s="26" t="n">
        <v>45772</v>
      </c>
      <c r="E903" s="26" t="n">
        <v>45800</v>
      </c>
      <c r="F903" s="26" t="n">
        <v>45799</v>
      </c>
      <c r="G903" s="14" t="n">
        <v>36</v>
      </c>
      <c r="H903" s="14" t="n">
        <v>36</v>
      </c>
      <c r="I903" s="14" t="n">
        <v>2</v>
      </c>
      <c r="J903" s="58" t="n">
        <v>4078.08</v>
      </c>
      <c r="K903" s="59">
        <f>(F903-D903)/7</f>
        <v/>
      </c>
      <c r="L903" s="59">
        <f>K903^2</f>
        <v/>
      </c>
      <c r="M903" s="14">
        <f>IF(F903&lt;=E903,1,0)</f>
        <v/>
      </c>
      <c r="N903" s="14">
        <f>MAX(0,F903-E903)</f>
        <v/>
      </c>
    </row>
    <row r="904">
      <c r="A904" s="14" t="inlineStr">
        <is>
          <t>PO-00903</t>
        </is>
      </c>
      <c r="B904" s="14" t="inlineStr">
        <is>
          <t>S04</t>
        </is>
      </c>
      <c r="C904" s="14" t="inlineStr">
        <is>
          <t>NB-0035</t>
        </is>
      </c>
      <c r="D904" s="26" t="n">
        <v>45796</v>
      </c>
      <c r="E904" s="26" t="n">
        <v>45824</v>
      </c>
      <c r="F904" s="26" t="n">
        <v>45822</v>
      </c>
      <c r="G904" s="14" t="n">
        <v>31</v>
      </c>
      <c r="H904" s="14" t="n">
        <v>31</v>
      </c>
      <c r="I904" s="14" t="n">
        <v>0</v>
      </c>
      <c r="J904" s="58" t="n">
        <v>3511.68</v>
      </c>
      <c r="K904" s="59">
        <f>(F904-D904)/7</f>
        <v/>
      </c>
      <c r="L904" s="59">
        <f>K904^2</f>
        <v/>
      </c>
      <c r="M904" s="14">
        <f>IF(F904&lt;=E904,1,0)</f>
        <v/>
      </c>
      <c r="N904" s="14">
        <f>MAX(0,F904-E904)</f>
        <v/>
      </c>
    </row>
    <row r="905">
      <c r="A905" s="14" t="inlineStr">
        <is>
          <t>PO-00904</t>
        </is>
      </c>
      <c r="B905" s="14" t="inlineStr">
        <is>
          <t>S04</t>
        </is>
      </c>
      <c r="C905" s="14" t="inlineStr">
        <is>
          <t>NB-0035</t>
        </is>
      </c>
      <c r="D905" s="26" t="n">
        <v>45825</v>
      </c>
      <c r="E905" s="26" t="n">
        <v>45853</v>
      </c>
      <c r="F905" s="26" t="n">
        <v>45853</v>
      </c>
      <c r="G905" s="14" t="n">
        <v>28</v>
      </c>
      <c r="H905" s="14" t="n">
        <v>28</v>
      </c>
      <c r="I905" s="14" t="n">
        <v>0</v>
      </c>
      <c r="J905" s="58" t="n">
        <v>3171.84</v>
      </c>
      <c r="K905" s="59">
        <f>(F905-D905)/7</f>
        <v/>
      </c>
      <c r="L905" s="59">
        <f>K905^2</f>
        <v/>
      </c>
      <c r="M905" s="14">
        <f>IF(F905&lt;=E905,1,0)</f>
        <v/>
      </c>
      <c r="N905" s="14">
        <f>MAX(0,F905-E905)</f>
        <v/>
      </c>
    </row>
    <row r="906">
      <c r="A906" s="14" t="inlineStr">
        <is>
          <t>PO-00905</t>
        </is>
      </c>
      <c r="B906" s="14" t="inlineStr">
        <is>
          <t>S04</t>
        </is>
      </c>
      <c r="C906" s="14" t="inlineStr">
        <is>
          <t>NB-0035</t>
        </is>
      </c>
      <c r="D906" s="26" t="n">
        <v>45852</v>
      </c>
      <c r="E906" s="26" t="n">
        <v>45880</v>
      </c>
      <c r="F906" s="26" t="n">
        <v>45877</v>
      </c>
      <c r="G906" s="14" t="n">
        <v>28</v>
      </c>
      <c r="H906" s="14" t="n">
        <v>28</v>
      </c>
      <c r="I906" s="14" t="n">
        <v>0</v>
      </c>
      <c r="J906" s="58" t="n">
        <v>3171.84</v>
      </c>
      <c r="K906" s="59">
        <f>(F906-D906)/7</f>
        <v/>
      </c>
      <c r="L906" s="59">
        <f>K906^2</f>
        <v/>
      </c>
      <c r="M906" s="14">
        <f>IF(F906&lt;=E906,1,0)</f>
        <v/>
      </c>
      <c r="N906" s="14">
        <f>MAX(0,F906-E906)</f>
        <v/>
      </c>
    </row>
    <row r="907">
      <c r="A907" s="14" t="inlineStr">
        <is>
          <t>PO-00906</t>
        </is>
      </c>
      <c r="B907" s="14" t="inlineStr">
        <is>
          <t>S04</t>
        </is>
      </c>
      <c r="C907" s="14" t="inlineStr">
        <is>
          <t>NB-0035</t>
        </is>
      </c>
      <c r="D907" s="26" t="n">
        <v>45882</v>
      </c>
      <c r="E907" s="26" t="n">
        <v>45910</v>
      </c>
      <c r="F907" s="26" t="n">
        <v>45909</v>
      </c>
      <c r="G907" s="14" t="n">
        <v>36</v>
      </c>
      <c r="H907" s="14" t="n">
        <v>36</v>
      </c>
      <c r="I907" s="14" t="n">
        <v>1</v>
      </c>
      <c r="J907" s="58" t="n">
        <v>4078.08</v>
      </c>
      <c r="K907" s="59">
        <f>(F907-D907)/7</f>
        <v/>
      </c>
      <c r="L907" s="59">
        <f>K907^2</f>
        <v/>
      </c>
      <c r="M907" s="14">
        <f>IF(F907&lt;=E907,1,0)</f>
        <v/>
      </c>
      <c r="N907" s="14">
        <f>MAX(0,F907-E907)</f>
        <v/>
      </c>
    </row>
    <row r="908">
      <c r="A908" s="14" t="inlineStr">
        <is>
          <t>PO-00907</t>
        </is>
      </c>
      <c r="B908" s="14" t="inlineStr">
        <is>
          <t>S04</t>
        </is>
      </c>
      <c r="C908" s="14" t="inlineStr">
        <is>
          <t>NB-0035</t>
        </is>
      </c>
      <c r="D908" s="26" t="n">
        <v>45910</v>
      </c>
      <c r="E908" s="26" t="n">
        <v>45938</v>
      </c>
      <c r="F908" s="26" t="n">
        <v>45936</v>
      </c>
      <c r="G908" s="14" t="n">
        <v>30</v>
      </c>
      <c r="H908" s="14" t="n">
        <v>28</v>
      </c>
      <c r="I908" s="14" t="n">
        <v>0</v>
      </c>
      <c r="J908" s="58" t="n">
        <v>3398.4</v>
      </c>
      <c r="K908" s="59">
        <f>(F908-D908)/7</f>
        <v/>
      </c>
      <c r="L908" s="59">
        <f>K908^2</f>
        <v/>
      </c>
      <c r="M908" s="14">
        <f>IF(F908&lt;=E908,1,0)</f>
        <v/>
      </c>
      <c r="N908" s="14">
        <f>MAX(0,F908-E908)</f>
        <v/>
      </c>
    </row>
    <row r="909">
      <c r="A909" s="14" t="inlineStr">
        <is>
          <t>PO-00908</t>
        </is>
      </c>
      <c r="B909" s="14" t="inlineStr">
        <is>
          <t>S04</t>
        </is>
      </c>
      <c r="C909" s="14" t="inlineStr">
        <is>
          <t>NB-0035</t>
        </is>
      </c>
      <c r="D909" s="26" t="n">
        <v>45940</v>
      </c>
      <c r="E909" s="26" t="n">
        <v>45968</v>
      </c>
      <c r="F909" s="26" t="n">
        <v>45976</v>
      </c>
      <c r="G909" s="14" t="n">
        <v>32</v>
      </c>
      <c r="H909" s="14" t="n">
        <v>32</v>
      </c>
      <c r="I909" s="14" t="n">
        <v>0</v>
      </c>
      <c r="J909" s="58" t="n">
        <v>3624.96</v>
      </c>
      <c r="K909" s="59">
        <f>(F909-D909)/7</f>
        <v/>
      </c>
      <c r="L909" s="59">
        <f>K909^2</f>
        <v/>
      </c>
      <c r="M909" s="14">
        <f>IF(F909&lt;=E909,1,0)</f>
        <v/>
      </c>
      <c r="N909" s="14">
        <f>MAX(0,F909-E909)</f>
        <v/>
      </c>
    </row>
    <row r="910">
      <c r="A910" s="14" t="inlineStr">
        <is>
          <t>PO-00909</t>
        </is>
      </c>
      <c r="B910" s="14" t="inlineStr">
        <is>
          <t>S04</t>
        </is>
      </c>
      <c r="C910" s="14" t="inlineStr">
        <is>
          <t>NB-0035</t>
        </is>
      </c>
      <c r="D910" s="26" t="n">
        <v>45964</v>
      </c>
      <c r="E910" s="26" t="n">
        <v>45992</v>
      </c>
      <c r="F910" s="26" t="n">
        <v>45989</v>
      </c>
      <c r="G910" s="14" t="n">
        <v>34</v>
      </c>
      <c r="H910" s="14" t="n">
        <v>30</v>
      </c>
      <c r="I910" s="14" t="n">
        <v>0</v>
      </c>
      <c r="J910" s="58" t="n">
        <v>3851.52</v>
      </c>
      <c r="K910" s="59">
        <f>(F910-D910)/7</f>
        <v/>
      </c>
      <c r="L910" s="59">
        <f>K910^2</f>
        <v/>
      </c>
      <c r="M910" s="14">
        <f>IF(F910&lt;=E910,1,0)</f>
        <v/>
      </c>
      <c r="N910" s="14">
        <f>MAX(0,F910-E910)</f>
        <v/>
      </c>
    </row>
    <row r="911">
      <c r="A911" s="14" t="inlineStr">
        <is>
          <t>PO-00910</t>
        </is>
      </c>
      <c r="B911" s="14" t="inlineStr">
        <is>
          <t>S04</t>
        </is>
      </c>
      <c r="C911" s="14" t="inlineStr">
        <is>
          <t>NB-0035</t>
        </is>
      </c>
      <c r="D911" s="26" t="n">
        <v>45996</v>
      </c>
      <c r="E911" s="26" t="n">
        <v>46024</v>
      </c>
      <c r="F911" s="26" t="n">
        <v>46024</v>
      </c>
      <c r="G911" s="14" t="n">
        <v>30</v>
      </c>
      <c r="H911" s="14" t="n">
        <v>30</v>
      </c>
      <c r="I911" s="14" t="n">
        <v>1</v>
      </c>
      <c r="J911" s="58" t="n">
        <v>3398.4</v>
      </c>
      <c r="K911" s="59">
        <f>(F911-D911)/7</f>
        <v/>
      </c>
      <c r="L911" s="59">
        <f>K911^2</f>
        <v/>
      </c>
      <c r="M911" s="14">
        <f>IF(F911&lt;=E911,1,0)</f>
        <v/>
      </c>
      <c r="N911" s="14">
        <f>MAX(0,F911-E911)</f>
        <v/>
      </c>
    </row>
    <row r="912">
      <c r="A912" s="14" t="inlineStr">
        <is>
          <t>PO-00911</t>
        </is>
      </c>
      <c r="B912" s="14" t="inlineStr">
        <is>
          <t>S03</t>
        </is>
      </c>
      <c r="C912" s="14" t="inlineStr">
        <is>
          <t>NB-0036</t>
        </is>
      </c>
      <c r="D912" s="26" t="n">
        <v>45295</v>
      </c>
      <c r="E912" s="26" t="n">
        <v>45337</v>
      </c>
      <c r="F912" s="26" t="n">
        <v>45336</v>
      </c>
      <c r="G912" s="14" t="n">
        <v>81</v>
      </c>
      <c r="H912" s="14" t="n">
        <v>81</v>
      </c>
      <c r="I912" s="14" t="n">
        <v>0</v>
      </c>
      <c r="J912" s="58" t="n">
        <v>2205.63</v>
      </c>
      <c r="K912" s="59">
        <f>(F912-D912)/7</f>
        <v/>
      </c>
      <c r="L912" s="59">
        <f>K912^2</f>
        <v/>
      </c>
      <c r="M912" s="14">
        <f>IF(F912&lt;=E912,1,0)</f>
        <v/>
      </c>
      <c r="N912" s="14">
        <f>MAX(0,F912-E912)</f>
        <v/>
      </c>
    </row>
    <row r="913">
      <c r="A913" s="14" t="inlineStr">
        <is>
          <t>PO-00912</t>
        </is>
      </c>
      <c r="B913" s="14" t="inlineStr">
        <is>
          <t>S03</t>
        </is>
      </c>
      <c r="C913" s="14" t="inlineStr">
        <is>
          <t>NB-0036</t>
        </is>
      </c>
      <c r="D913" s="26" t="n">
        <v>45321</v>
      </c>
      <c r="E913" s="26" t="n">
        <v>45363</v>
      </c>
      <c r="F913" s="26" t="n">
        <v>45362</v>
      </c>
      <c r="G913" s="14" t="n">
        <v>107</v>
      </c>
      <c r="H913" s="14" t="n">
        <v>107</v>
      </c>
      <c r="I913" s="14" t="n">
        <v>0</v>
      </c>
      <c r="J913" s="58" t="n">
        <v>2913.61</v>
      </c>
      <c r="K913" s="59">
        <f>(F913-D913)/7</f>
        <v/>
      </c>
      <c r="L913" s="59">
        <f>K913^2</f>
        <v/>
      </c>
      <c r="M913" s="14">
        <f>IF(F913&lt;=E913,1,0)</f>
        <v/>
      </c>
      <c r="N913" s="14">
        <f>MAX(0,F913-E913)</f>
        <v/>
      </c>
    </row>
    <row r="914">
      <c r="A914" s="14" t="inlineStr">
        <is>
          <t>PO-00913</t>
        </is>
      </c>
      <c r="B914" s="14" t="inlineStr">
        <is>
          <t>S03</t>
        </is>
      </c>
      <c r="C914" s="14" t="inlineStr">
        <is>
          <t>NB-0036</t>
        </is>
      </c>
      <c r="D914" s="26" t="n">
        <v>45352</v>
      </c>
      <c r="E914" s="26" t="n">
        <v>45394</v>
      </c>
      <c r="F914" s="26" t="n">
        <v>45391</v>
      </c>
      <c r="G914" s="14" t="n">
        <v>93</v>
      </c>
      <c r="H914" s="14" t="n">
        <v>93</v>
      </c>
      <c r="I914" s="14" t="n">
        <v>0</v>
      </c>
      <c r="J914" s="58" t="n">
        <v>2532.39</v>
      </c>
      <c r="K914" s="59">
        <f>(F914-D914)/7</f>
        <v/>
      </c>
      <c r="L914" s="59">
        <f>K914^2</f>
        <v/>
      </c>
      <c r="M914" s="14">
        <f>IF(F914&lt;=E914,1,0)</f>
        <v/>
      </c>
      <c r="N914" s="14">
        <f>MAX(0,F914-E914)</f>
        <v/>
      </c>
    </row>
    <row r="915">
      <c r="A915" s="14" t="inlineStr">
        <is>
          <t>PO-00914</t>
        </is>
      </c>
      <c r="B915" s="14" t="inlineStr">
        <is>
          <t>S03</t>
        </is>
      </c>
      <c r="C915" s="14" t="inlineStr">
        <is>
          <t>NB-0036</t>
        </is>
      </c>
      <c r="D915" s="26" t="n">
        <v>45380</v>
      </c>
      <c r="E915" s="26" t="n">
        <v>45422</v>
      </c>
      <c r="F915" s="26" t="n">
        <v>45420</v>
      </c>
      <c r="G915" s="14" t="n">
        <v>98</v>
      </c>
      <c r="H915" s="14" t="n">
        <v>98</v>
      </c>
      <c r="I915" s="14" t="n">
        <v>0</v>
      </c>
      <c r="J915" s="58" t="n">
        <v>2668.54</v>
      </c>
      <c r="K915" s="59">
        <f>(F915-D915)/7</f>
        <v/>
      </c>
      <c r="L915" s="59">
        <f>K915^2</f>
        <v/>
      </c>
      <c r="M915" s="14">
        <f>IF(F915&lt;=E915,1,0)</f>
        <v/>
      </c>
      <c r="N915" s="14">
        <f>MAX(0,F915-E915)</f>
        <v/>
      </c>
    </row>
    <row r="916">
      <c r="A916" s="14" t="inlineStr">
        <is>
          <t>PO-00915</t>
        </is>
      </c>
      <c r="B916" s="14" t="inlineStr">
        <is>
          <t>S03</t>
        </is>
      </c>
      <c r="C916" s="14" t="inlineStr">
        <is>
          <t>NB-0036</t>
        </is>
      </c>
      <c r="D916" s="26" t="n">
        <v>45407</v>
      </c>
      <c r="E916" s="26" t="n">
        <v>45449</v>
      </c>
      <c r="F916" s="26" t="n">
        <v>45446</v>
      </c>
      <c r="G916" s="14" t="n">
        <v>104</v>
      </c>
      <c r="H916" s="14" t="n">
        <v>89</v>
      </c>
      <c r="I916" s="14" t="n">
        <v>0</v>
      </c>
      <c r="J916" s="58" t="n">
        <v>2831.92</v>
      </c>
      <c r="K916" s="59">
        <f>(F916-D916)/7</f>
        <v/>
      </c>
      <c r="L916" s="59">
        <f>K916^2</f>
        <v/>
      </c>
      <c r="M916" s="14">
        <f>IF(F916&lt;=E916,1,0)</f>
        <v/>
      </c>
      <c r="N916" s="14">
        <f>MAX(0,F916-E916)</f>
        <v/>
      </c>
    </row>
    <row r="917">
      <c r="A917" s="14" t="inlineStr">
        <is>
          <t>PO-00916</t>
        </is>
      </c>
      <c r="B917" s="14" t="inlineStr">
        <is>
          <t>S03</t>
        </is>
      </c>
      <c r="C917" s="14" t="inlineStr">
        <is>
          <t>NB-0036</t>
        </is>
      </c>
      <c r="D917" s="26" t="n">
        <v>45433</v>
      </c>
      <c r="E917" s="26" t="n">
        <v>45475</v>
      </c>
      <c r="F917" s="26" t="n">
        <v>45474</v>
      </c>
      <c r="G917" s="14" t="n">
        <v>95</v>
      </c>
      <c r="H917" s="14" t="n">
        <v>95</v>
      </c>
      <c r="I917" s="14" t="n">
        <v>1</v>
      </c>
      <c r="J917" s="58" t="n">
        <v>2586.85</v>
      </c>
      <c r="K917" s="59">
        <f>(F917-D917)/7</f>
        <v/>
      </c>
      <c r="L917" s="59">
        <f>K917^2</f>
        <v/>
      </c>
      <c r="M917" s="14">
        <f>IF(F917&lt;=E917,1,0)</f>
        <v/>
      </c>
      <c r="N917" s="14">
        <f>MAX(0,F917-E917)</f>
        <v/>
      </c>
    </row>
    <row r="918">
      <c r="A918" s="14" t="inlineStr">
        <is>
          <t>PO-00917</t>
        </is>
      </c>
      <c r="B918" s="14" t="inlineStr">
        <is>
          <t>S03</t>
        </is>
      </c>
      <c r="C918" s="14" t="inlineStr">
        <is>
          <t>NB-0036</t>
        </is>
      </c>
      <c r="D918" s="26" t="n">
        <v>45461</v>
      </c>
      <c r="E918" s="26" t="n">
        <v>45503</v>
      </c>
      <c r="F918" s="26" t="n">
        <v>45503</v>
      </c>
      <c r="G918" s="14" t="n">
        <v>80</v>
      </c>
      <c r="H918" s="14" t="n">
        <v>77</v>
      </c>
      <c r="I918" s="14" t="n">
        <v>0</v>
      </c>
      <c r="J918" s="58" t="n">
        <v>2178.4</v>
      </c>
      <c r="K918" s="59">
        <f>(F918-D918)/7</f>
        <v/>
      </c>
      <c r="L918" s="59">
        <f>K918^2</f>
        <v/>
      </c>
      <c r="M918" s="14">
        <f>IF(F918&lt;=E918,1,0)</f>
        <v/>
      </c>
      <c r="N918" s="14">
        <f>MAX(0,F918-E918)</f>
        <v/>
      </c>
    </row>
    <row r="919">
      <c r="A919" s="14" t="inlineStr">
        <is>
          <t>PO-00918</t>
        </is>
      </c>
      <c r="B919" s="14" t="inlineStr">
        <is>
          <t>S03</t>
        </is>
      </c>
      <c r="C919" s="14" t="inlineStr">
        <is>
          <t>NB-0036</t>
        </is>
      </c>
      <c r="D919" s="26" t="n">
        <v>45490</v>
      </c>
      <c r="E919" s="26" t="n">
        <v>45532</v>
      </c>
      <c r="F919" s="26" t="n">
        <v>45532</v>
      </c>
      <c r="G919" s="14" t="n">
        <v>98</v>
      </c>
      <c r="H919" s="14" t="n">
        <v>98</v>
      </c>
      <c r="I919" s="14" t="n">
        <v>1</v>
      </c>
      <c r="J919" s="58" t="n">
        <v>2668.54</v>
      </c>
      <c r="K919" s="59">
        <f>(F919-D919)/7</f>
        <v/>
      </c>
      <c r="L919" s="59">
        <f>K919^2</f>
        <v/>
      </c>
      <c r="M919" s="14">
        <f>IF(F919&lt;=E919,1,0)</f>
        <v/>
      </c>
      <c r="N919" s="14">
        <f>MAX(0,F919-E919)</f>
        <v/>
      </c>
    </row>
    <row r="920">
      <c r="A920" s="14" t="inlineStr">
        <is>
          <t>PO-00919</t>
        </is>
      </c>
      <c r="B920" s="14" t="inlineStr">
        <is>
          <t>S03</t>
        </is>
      </c>
      <c r="C920" s="14" t="inlineStr">
        <is>
          <t>NB-0036</t>
        </is>
      </c>
      <c r="D920" s="26" t="n">
        <v>45520</v>
      </c>
      <c r="E920" s="26" t="n">
        <v>45562</v>
      </c>
      <c r="F920" s="26" t="n">
        <v>45560</v>
      </c>
      <c r="G920" s="14" t="n">
        <v>90</v>
      </c>
      <c r="H920" s="14" t="n">
        <v>90</v>
      </c>
      <c r="I920" s="14" t="n">
        <v>0</v>
      </c>
      <c r="J920" s="58" t="n">
        <v>2450.7</v>
      </c>
      <c r="K920" s="59">
        <f>(F920-D920)/7</f>
        <v/>
      </c>
      <c r="L920" s="59">
        <f>K920^2</f>
        <v/>
      </c>
      <c r="M920" s="14">
        <f>IF(F920&lt;=E920,1,0)</f>
        <v/>
      </c>
      <c r="N920" s="14">
        <f>MAX(0,F920-E920)</f>
        <v/>
      </c>
    </row>
    <row r="921">
      <c r="A921" s="14" t="inlineStr">
        <is>
          <t>PO-00920</t>
        </is>
      </c>
      <c r="B921" s="14" t="inlineStr">
        <is>
          <t>S03</t>
        </is>
      </c>
      <c r="C921" s="14" t="inlineStr">
        <is>
          <t>NB-0036</t>
        </is>
      </c>
      <c r="D921" s="26" t="n">
        <v>45547</v>
      </c>
      <c r="E921" s="26" t="n">
        <v>45589</v>
      </c>
      <c r="F921" s="26" t="n">
        <v>45589</v>
      </c>
      <c r="G921" s="14" t="n">
        <v>83</v>
      </c>
      <c r="H921" s="14" t="n">
        <v>75</v>
      </c>
      <c r="I921" s="14" t="n">
        <v>0</v>
      </c>
      <c r="J921" s="58" t="n">
        <v>2260.09</v>
      </c>
      <c r="K921" s="59">
        <f>(F921-D921)/7</f>
        <v/>
      </c>
      <c r="L921" s="59">
        <f>K921^2</f>
        <v/>
      </c>
      <c r="M921" s="14">
        <f>IF(F921&lt;=E921,1,0)</f>
        <v/>
      </c>
      <c r="N921" s="14">
        <f>MAX(0,F921-E921)</f>
        <v/>
      </c>
    </row>
    <row r="922">
      <c r="A922" s="14" t="inlineStr">
        <is>
          <t>PO-00921</t>
        </is>
      </c>
      <c r="B922" s="14" t="inlineStr">
        <is>
          <t>S03</t>
        </is>
      </c>
      <c r="C922" s="14" t="inlineStr">
        <is>
          <t>NB-0036</t>
        </is>
      </c>
      <c r="D922" s="26" t="n">
        <v>45573</v>
      </c>
      <c r="E922" s="26" t="n">
        <v>45615</v>
      </c>
      <c r="F922" s="26" t="n">
        <v>45614</v>
      </c>
      <c r="G922" s="14" t="n">
        <v>95</v>
      </c>
      <c r="H922" s="14" t="n">
        <v>95</v>
      </c>
      <c r="I922" s="14" t="n">
        <v>0</v>
      </c>
      <c r="J922" s="58" t="n">
        <v>2586.85</v>
      </c>
      <c r="K922" s="59">
        <f>(F922-D922)/7</f>
        <v/>
      </c>
      <c r="L922" s="59">
        <f>K922^2</f>
        <v/>
      </c>
      <c r="M922" s="14">
        <f>IF(F922&lt;=E922,1,0)</f>
        <v/>
      </c>
      <c r="N922" s="14">
        <f>MAX(0,F922-E922)</f>
        <v/>
      </c>
    </row>
    <row r="923">
      <c r="A923" s="14" t="inlineStr">
        <is>
          <t>PO-00922</t>
        </is>
      </c>
      <c r="B923" s="14" t="inlineStr">
        <is>
          <t>S03</t>
        </is>
      </c>
      <c r="C923" s="14" t="inlineStr">
        <is>
          <t>NB-0036</t>
        </is>
      </c>
      <c r="D923" s="26" t="n">
        <v>45602</v>
      </c>
      <c r="E923" s="26" t="n">
        <v>45644</v>
      </c>
      <c r="F923" s="26" t="n">
        <v>45643</v>
      </c>
      <c r="G923" s="14" t="n">
        <v>79</v>
      </c>
      <c r="H923" s="14" t="n">
        <v>79</v>
      </c>
      <c r="I923" s="14" t="n">
        <v>0</v>
      </c>
      <c r="J923" s="58" t="n">
        <v>2151.17</v>
      </c>
      <c r="K923" s="59">
        <f>(F923-D923)/7</f>
        <v/>
      </c>
      <c r="L923" s="59">
        <f>K923^2</f>
        <v/>
      </c>
      <c r="M923" s="14">
        <f>IF(F923&lt;=E923,1,0)</f>
        <v/>
      </c>
      <c r="N923" s="14">
        <f>MAX(0,F923-E923)</f>
        <v/>
      </c>
    </row>
    <row r="924">
      <c r="A924" s="14" t="inlineStr">
        <is>
          <t>PO-00923</t>
        </is>
      </c>
      <c r="B924" s="14" t="inlineStr">
        <is>
          <t>S03</t>
        </is>
      </c>
      <c r="C924" s="14" t="inlineStr">
        <is>
          <t>NB-0036</t>
        </is>
      </c>
      <c r="D924" s="26" t="n">
        <v>45632</v>
      </c>
      <c r="E924" s="26" t="n">
        <v>45674</v>
      </c>
      <c r="F924" s="26" t="n">
        <v>45673</v>
      </c>
      <c r="G924" s="14" t="n">
        <v>99</v>
      </c>
      <c r="H924" s="14" t="n">
        <v>99</v>
      </c>
      <c r="I924" s="14" t="n">
        <v>0</v>
      </c>
      <c r="J924" s="58" t="n">
        <v>2695.77</v>
      </c>
      <c r="K924" s="59">
        <f>(F924-D924)/7</f>
        <v/>
      </c>
      <c r="L924" s="59">
        <f>K924^2</f>
        <v/>
      </c>
      <c r="M924" s="14">
        <f>IF(F924&lt;=E924,1,0)</f>
        <v/>
      </c>
      <c r="N924" s="14">
        <f>MAX(0,F924-E924)</f>
        <v/>
      </c>
    </row>
    <row r="925">
      <c r="A925" s="14" t="inlineStr">
        <is>
          <t>PO-00924</t>
        </is>
      </c>
      <c r="B925" s="14" t="inlineStr">
        <is>
          <t>S03</t>
        </is>
      </c>
      <c r="C925" s="14" t="inlineStr">
        <is>
          <t>NB-0036</t>
        </is>
      </c>
      <c r="D925" s="26" t="n">
        <v>45659</v>
      </c>
      <c r="E925" s="26" t="n">
        <v>45701</v>
      </c>
      <c r="F925" s="26" t="n">
        <v>45700</v>
      </c>
      <c r="G925" s="14" t="n">
        <v>79</v>
      </c>
      <c r="H925" s="14" t="n">
        <v>79</v>
      </c>
      <c r="I925" s="14" t="n">
        <v>0</v>
      </c>
      <c r="J925" s="58" t="n">
        <v>2151.17</v>
      </c>
      <c r="K925" s="59">
        <f>(F925-D925)/7</f>
        <v/>
      </c>
      <c r="L925" s="59">
        <f>K925^2</f>
        <v/>
      </c>
      <c r="M925" s="14">
        <f>IF(F925&lt;=E925,1,0)</f>
        <v/>
      </c>
      <c r="N925" s="14">
        <f>MAX(0,F925-E925)</f>
        <v/>
      </c>
    </row>
    <row r="926">
      <c r="A926" s="14" t="inlineStr">
        <is>
          <t>PO-00925</t>
        </is>
      </c>
      <c r="B926" s="14" t="inlineStr">
        <is>
          <t>S03</t>
        </is>
      </c>
      <c r="C926" s="14" t="inlineStr">
        <is>
          <t>NB-0036</t>
        </is>
      </c>
      <c r="D926" s="26" t="n">
        <v>45686</v>
      </c>
      <c r="E926" s="26" t="n">
        <v>45728</v>
      </c>
      <c r="F926" s="26" t="n">
        <v>45726</v>
      </c>
      <c r="G926" s="14" t="n">
        <v>85</v>
      </c>
      <c r="H926" s="14" t="n">
        <v>85</v>
      </c>
      <c r="I926" s="14" t="n">
        <v>0</v>
      </c>
      <c r="J926" s="58" t="n">
        <v>2314.55</v>
      </c>
      <c r="K926" s="59">
        <f>(F926-D926)/7</f>
        <v/>
      </c>
      <c r="L926" s="59">
        <f>K926^2</f>
        <v/>
      </c>
      <c r="M926" s="14">
        <f>IF(F926&lt;=E926,1,0)</f>
        <v/>
      </c>
      <c r="N926" s="14">
        <f>MAX(0,F926-E926)</f>
        <v/>
      </c>
    </row>
    <row r="927">
      <c r="A927" s="14" t="inlineStr">
        <is>
          <t>PO-00926</t>
        </is>
      </c>
      <c r="B927" s="14" t="inlineStr">
        <is>
          <t>S03</t>
        </is>
      </c>
      <c r="C927" s="14" t="inlineStr">
        <is>
          <t>NB-0036</t>
        </is>
      </c>
      <c r="D927" s="26" t="n">
        <v>45713</v>
      </c>
      <c r="E927" s="26" t="n">
        <v>45755</v>
      </c>
      <c r="F927" s="26" t="n">
        <v>45752</v>
      </c>
      <c r="G927" s="14" t="n">
        <v>88</v>
      </c>
      <c r="H927" s="14" t="n">
        <v>77</v>
      </c>
      <c r="I927" s="14" t="n">
        <v>0</v>
      </c>
      <c r="J927" s="58" t="n">
        <v>2396.24</v>
      </c>
      <c r="K927" s="59">
        <f>(F927-D927)/7</f>
        <v/>
      </c>
      <c r="L927" s="59">
        <f>K927^2</f>
        <v/>
      </c>
      <c r="M927" s="14">
        <f>IF(F927&lt;=E927,1,0)</f>
        <v/>
      </c>
      <c r="N927" s="14">
        <f>MAX(0,F927-E927)</f>
        <v/>
      </c>
    </row>
    <row r="928">
      <c r="A928" s="14" t="inlineStr">
        <is>
          <t>PO-00927</t>
        </is>
      </c>
      <c r="B928" s="14" t="inlineStr">
        <is>
          <t>S03</t>
        </is>
      </c>
      <c r="C928" s="14" t="inlineStr">
        <is>
          <t>NB-0036</t>
        </is>
      </c>
      <c r="D928" s="26" t="n">
        <v>45741</v>
      </c>
      <c r="E928" s="26" t="n">
        <v>45783</v>
      </c>
      <c r="F928" s="26" t="n">
        <v>45780</v>
      </c>
      <c r="G928" s="14" t="n">
        <v>87</v>
      </c>
      <c r="H928" s="14" t="n">
        <v>87</v>
      </c>
      <c r="I928" s="14" t="n">
        <v>0</v>
      </c>
      <c r="J928" s="58" t="n">
        <v>2369.01</v>
      </c>
      <c r="K928" s="59">
        <f>(F928-D928)/7</f>
        <v/>
      </c>
      <c r="L928" s="59">
        <f>K928^2</f>
        <v/>
      </c>
      <c r="M928" s="14">
        <f>IF(F928&lt;=E928,1,0)</f>
        <v/>
      </c>
      <c r="N928" s="14">
        <f>MAX(0,F928-E928)</f>
        <v/>
      </c>
    </row>
    <row r="929">
      <c r="A929" s="14" t="inlineStr">
        <is>
          <t>PO-00928</t>
        </is>
      </c>
      <c r="B929" s="14" t="inlineStr">
        <is>
          <t>S03</t>
        </is>
      </c>
      <c r="C929" s="14" t="inlineStr">
        <is>
          <t>NB-0036</t>
        </is>
      </c>
      <c r="D929" s="26" t="n">
        <v>45768</v>
      </c>
      <c r="E929" s="26" t="n">
        <v>45810</v>
      </c>
      <c r="F929" s="26" t="n">
        <v>45810</v>
      </c>
      <c r="G929" s="14" t="n">
        <v>106</v>
      </c>
      <c r="H929" s="14" t="n">
        <v>106</v>
      </c>
      <c r="I929" s="14" t="n">
        <v>0</v>
      </c>
      <c r="J929" s="58" t="n">
        <v>2886.38</v>
      </c>
      <c r="K929" s="59">
        <f>(F929-D929)/7</f>
        <v/>
      </c>
      <c r="L929" s="59">
        <f>K929^2</f>
        <v/>
      </c>
      <c r="M929" s="14">
        <f>IF(F929&lt;=E929,1,0)</f>
        <v/>
      </c>
      <c r="N929" s="14">
        <f>MAX(0,F929-E929)</f>
        <v/>
      </c>
    </row>
    <row r="930">
      <c r="A930" s="14" t="inlineStr">
        <is>
          <t>PO-00929</t>
        </is>
      </c>
      <c r="B930" s="14" t="inlineStr">
        <is>
          <t>S03</t>
        </is>
      </c>
      <c r="C930" s="14" t="inlineStr">
        <is>
          <t>NB-0036</t>
        </is>
      </c>
      <c r="D930" s="26" t="n">
        <v>45800</v>
      </c>
      <c r="E930" s="26" t="n">
        <v>45842</v>
      </c>
      <c r="F930" s="26" t="n">
        <v>45842</v>
      </c>
      <c r="G930" s="14" t="n">
        <v>99</v>
      </c>
      <c r="H930" s="14" t="n">
        <v>99</v>
      </c>
      <c r="I930" s="14" t="n">
        <v>0</v>
      </c>
      <c r="J930" s="58" t="n">
        <v>2695.77</v>
      </c>
      <c r="K930" s="59">
        <f>(F930-D930)/7</f>
        <v/>
      </c>
      <c r="L930" s="59">
        <f>K930^2</f>
        <v/>
      </c>
      <c r="M930" s="14">
        <f>IF(F930&lt;=E930,1,0)</f>
        <v/>
      </c>
      <c r="N930" s="14">
        <f>MAX(0,F930-E930)</f>
        <v/>
      </c>
    </row>
    <row r="931">
      <c r="A931" s="14" t="inlineStr">
        <is>
          <t>PO-00930</t>
        </is>
      </c>
      <c r="B931" s="14" t="inlineStr">
        <is>
          <t>S03</t>
        </is>
      </c>
      <c r="C931" s="14" t="inlineStr">
        <is>
          <t>NB-0036</t>
        </is>
      </c>
      <c r="D931" s="26" t="n">
        <v>45828</v>
      </c>
      <c r="E931" s="26" t="n">
        <v>45870</v>
      </c>
      <c r="F931" s="26" t="n">
        <v>45870</v>
      </c>
      <c r="G931" s="14" t="n">
        <v>106</v>
      </c>
      <c r="H931" s="14" t="n">
        <v>106</v>
      </c>
      <c r="I931" s="14" t="n">
        <v>0</v>
      </c>
      <c r="J931" s="58" t="n">
        <v>2886.38</v>
      </c>
      <c r="K931" s="59">
        <f>(F931-D931)/7</f>
        <v/>
      </c>
      <c r="L931" s="59">
        <f>K931^2</f>
        <v/>
      </c>
      <c r="M931" s="14">
        <f>IF(F931&lt;=E931,1,0)</f>
        <v/>
      </c>
      <c r="N931" s="14">
        <f>MAX(0,F931-E931)</f>
        <v/>
      </c>
    </row>
    <row r="932">
      <c r="A932" s="14" t="inlineStr">
        <is>
          <t>PO-00931</t>
        </is>
      </c>
      <c r="B932" s="14" t="inlineStr">
        <is>
          <t>S03</t>
        </is>
      </c>
      <c r="C932" s="14" t="inlineStr">
        <is>
          <t>NB-0036</t>
        </is>
      </c>
      <c r="D932" s="26" t="n">
        <v>45856</v>
      </c>
      <c r="E932" s="26" t="n">
        <v>45898</v>
      </c>
      <c r="F932" s="26" t="n">
        <v>45898</v>
      </c>
      <c r="G932" s="14" t="n">
        <v>86</v>
      </c>
      <c r="H932" s="14" t="n">
        <v>86</v>
      </c>
      <c r="I932" s="14" t="n">
        <v>1</v>
      </c>
      <c r="J932" s="58" t="n">
        <v>2341.78</v>
      </c>
      <c r="K932" s="59">
        <f>(F932-D932)/7</f>
        <v/>
      </c>
      <c r="L932" s="59">
        <f>K932^2</f>
        <v/>
      </c>
      <c r="M932" s="14">
        <f>IF(F932&lt;=E932,1,0)</f>
        <v/>
      </c>
      <c r="N932" s="14">
        <f>MAX(0,F932-E932)</f>
        <v/>
      </c>
    </row>
    <row r="933">
      <c r="A933" s="14" t="inlineStr">
        <is>
          <t>PO-00932</t>
        </is>
      </c>
      <c r="B933" s="14" t="inlineStr">
        <is>
          <t>S03</t>
        </is>
      </c>
      <c r="C933" s="14" t="inlineStr">
        <is>
          <t>NB-0036</t>
        </is>
      </c>
      <c r="D933" s="26" t="n">
        <v>45882</v>
      </c>
      <c r="E933" s="26" t="n">
        <v>45924</v>
      </c>
      <c r="F933" s="26" t="n">
        <v>45924</v>
      </c>
      <c r="G933" s="14" t="n">
        <v>84</v>
      </c>
      <c r="H933" s="14" t="n">
        <v>84</v>
      </c>
      <c r="I933" s="14" t="n">
        <v>0</v>
      </c>
      <c r="J933" s="58" t="n">
        <v>2287.32</v>
      </c>
      <c r="K933" s="59">
        <f>(F933-D933)/7</f>
        <v/>
      </c>
      <c r="L933" s="59">
        <f>K933^2</f>
        <v/>
      </c>
      <c r="M933" s="14">
        <f>IF(F933&lt;=E933,1,0)</f>
        <v/>
      </c>
      <c r="N933" s="14">
        <f>MAX(0,F933-E933)</f>
        <v/>
      </c>
    </row>
    <row r="934">
      <c r="A934" s="14" t="inlineStr">
        <is>
          <t>PO-00933</t>
        </is>
      </c>
      <c r="B934" s="14" t="inlineStr">
        <is>
          <t>S03</t>
        </is>
      </c>
      <c r="C934" s="14" t="inlineStr">
        <is>
          <t>NB-0036</t>
        </is>
      </c>
      <c r="D934" s="26" t="n">
        <v>45912</v>
      </c>
      <c r="E934" s="26" t="n">
        <v>45954</v>
      </c>
      <c r="F934" s="26" t="n">
        <v>45954</v>
      </c>
      <c r="G934" s="14" t="n">
        <v>83</v>
      </c>
      <c r="H934" s="14" t="n">
        <v>83</v>
      </c>
      <c r="I934" s="14" t="n">
        <v>0</v>
      </c>
      <c r="J934" s="58" t="n">
        <v>2260.09</v>
      </c>
      <c r="K934" s="59">
        <f>(F934-D934)/7</f>
        <v/>
      </c>
      <c r="L934" s="59">
        <f>K934^2</f>
        <v/>
      </c>
      <c r="M934" s="14">
        <f>IF(F934&lt;=E934,1,0)</f>
        <v/>
      </c>
      <c r="N934" s="14">
        <f>MAX(0,F934-E934)</f>
        <v/>
      </c>
    </row>
    <row r="935">
      <c r="A935" s="14" t="inlineStr">
        <is>
          <t>PO-00934</t>
        </is>
      </c>
      <c r="B935" s="14" t="inlineStr">
        <is>
          <t>S03</t>
        </is>
      </c>
      <c r="C935" s="14" t="inlineStr">
        <is>
          <t>NB-0036</t>
        </is>
      </c>
      <c r="D935" s="26" t="n">
        <v>45939</v>
      </c>
      <c r="E935" s="26" t="n">
        <v>45981</v>
      </c>
      <c r="F935" s="26" t="n">
        <v>45981</v>
      </c>
      <c r="G935" s="14" t="n">
        <v>108</v>
      </c>
      <c r="H935" s="14" t="n">
        <v>108</v>
      </c>
      <c r="I935" s="14" t="n">
        <v>1</v>
      </c>
      <c r="J935" s="58" t="n">
        <v>2940.84</v>
      </c>
      <c r="K935" s="59">
        <f>(F935-D935)/7</f>
        <v/>
      </c>
      <c r="L935" s="59">
        <f>K935^2</f>
        <v/>
      </c>
      <c r="M935" s="14">
        <f>IF(F935&lt;=E935,1,0)</f>
        <v/>
      </c>
      <c r="N935" s="14">
        <f>MAX(0,F935-E935)</f>
        <v/>
      </c>
    </row>
    <row r="936">
      <c r="A936" s="14" t="inlineStr">
        <is>
          <t>PO-00935</t>
        </is>
      </c>
      <c r="B936" s="14" t="inlineStr">
        <is>
          <t>S03</t>
        </is>
      </c>
      <c r="C936" s="14" t="inlineStr">
        <is>
          <t>NB-0036</t>
        </is>
      </c>
      <c r="D936" s="26" t="n">
        <v>45968</v>
      </c>
      <c r="E936" s="26" t="n">
        <v>46010</v>
      </c>
      <c r="F936" s="26" t="n">
        <v>46009</v>
      </c>
      <c r="G936" s="14" t="n">
        <v>83</v>
      </c>
      <c r="H936" s="14" t="n">
        <v>83</v>
      </c>
      <c r="I936" s="14" t="n">
        <v>0</v>
      </c>
      <c r="J936" s="58" t="n">
        <v>2260.09</v>
      </c>
      <c r="K936" s="59">
        <f>(F936-D936)/7</f>
        <v/>
      </c>
      <c r="L936" s="59">
        <f>K936^2</f>
        <v/>
      </c>
      <c r="M936" s="14">
        <f>IF(F936&lt;=E936,1,0)</f>
        <v/>
      </c>
      <c r="N936" s="14">
        <f>MAX(0,F936-E936)</f>
        <v/>
      </c>
    </row>
    <row r="937">
      <c r="A937" s="14" t="inlineStr">
        <is>
          <t>PO-00936</t>
        </is>
      </c>
      <c r="B937" s="14" t="inlineStr">
        <is>
          <t>S03</t>
        </is>
      </c>
      <c r="C937" s="14" t="inlineStr">
        <is>
          <t>NB-0036</t>
        </is>
      </c>
      <c r="D937" s="26" t="n">
        <v>45996</v>
      </c>
      <c r="E937" s="26" t="n">
        <v>46038</v>
      </c>
      <c r="F937" s="26" t="n">
        <v>46038</v>
      </c>
      <c r="G937" s="14" t="n">
        <v>81</v>
      </c>
      <c r="H937" s="14" t="n">
        <v>81</v>
      </c>
      <c r="I937" s="14" t="n">
        <v>0</v>
      </c>
      <c r="J937" s="58" t="n">
        <v>2205.63</v>
      </c>
      <c r="K937" s="59">
        <f>(F937-D937)/7</f>
        <v/>
      </c>
      <c r="L937" s="59">
        <f>K937^2</f>
        <v/>
      </c>
      <c r="M937" s="14">
        <f>IF(F937&lt;=E937,1,0)</f>
        <v/>
      </c>
      <c r="N937" s="14">
        <f>MAX(0,F937-E937)</f>
        <v/>
      </c>
    </row>
    <row r="938">
      <c r="A938" s="14" t="inlineStr">
        <is>
          <t>PO-00937</t>
        </is>
      </c>
      <c r="B938" s="14" t="inlineStr">
        <is>
          <t>S07</t>
        </is>
      </c>
      <c r="C938" s="14" t="inlineStr">
        <is>
          <t>NB-0037</t>
        </is>
      </c>
      <c r="D938" s="26" t="n">
        <v>45295</v>
      </c>
      <c r="E938" s="26" t="n">
        <v>45351</v>
      </c>
      <c r="F938" s="26" t="n">
        <v>45350</v>
      </c>
      <c r="G938" s="14" t="n">
        <v>70</v>
      </c>
      <c r="H938" s="14" t="n">
        <v>70</v>
      </c>
      <c r="I938" s="14" t="n">
        <v>1</v>
      </c>
      <c r="J938" s="58" t="n">
        <v>1013.6</v>
      </c>
      <c r="K938" s="59">
        <f>(F938-D938)/7</f>
        <v/>
      </c>
      <c r="L938" s="59">
        <f>K938^2</f>
        <v/>
      </c>
      <c r="M938" s="14">
        <f>IF(F938&lt;=E938,1,0)</f>
        <v/>
      </c>
      <c r="N938" s="14">
        <f>MAX(0,F938-E938)</f>
        <v/>
      </c>
    </row>
    <row r="939">
      <c r="A939" s="14" t="inlineStr">
        <is>
          <t>PO-00938</t>
        </is>
      </c>
      <c r="B939" s="14" t="inlineStr">
        <is>
          <t>S07</t>
        </is>
      </c>
      <c r="C939" s="14" t="inlineStr">
        <is>
          <t>NB-0037</t>
        </is>
      </c>
      <c r="D939" s="26" t="n">
        <v>45323</v>
      </c>
      <c r="E939" s="26" t="n">
        <v>45379</v>
      </c>
      <c r="F939" s="26" t="n">
        <v>45379</v>
      </c>
      <c r="G939" s="14" t="n">
        <v>96</v>
      </c>
      <c r="H939" s="14" t="n">
        <v>96</v>
      </c>
      <c r="I939" s="14" t="n">
        <v>2</v>
      </c>
      <c r="J939" s="58" t="n">
        <v>1390.08</v>
      </c>
      <c r="K939" s="59">
        <f>(F939-D939)/7</f>
        <v/>
      </c>
      <c r="L939" s="59">
        <f>K939^2</f>
        <v/>
      </c>
      <c r="M939" s="14">
        <f>IF(F939&lt;=E939,1,0)</f>
        <v/>
      </c>
      <c r="N939" s="14">
        <f>MAX(0,F939-E939)</f>
        <v/>
      </c>
    </row>
    <row r="940">
      <c r="A940" s="14" t="inlineStr">
        <is>
          <t>PO-00939</t>
        </is>
      </c>
      <c r="B940" s="14" t="inlineStr">
        <is>
          <t>S07</t>
        </is>
      </c>
      <c r="C940" s="14" t="inlineStr">
        <is>
          <t>NB-0037</t>
        </is>
      </c>
      <c r="D940" s="26" t="n">
        <v>45350</v>
      </c>
      <c r="E940" s="26" t="n">
        <v>45406</v>
      </c>
      <c r="F940" s="26" t="n">
        <v>45406</v>
      </c>
      <c r="G940" s="14" t="n">
        <v>93</v>
      </c>
      <c r="H940" s="14" t="n">
        <v>93</v>
      </c>
      <c r="I940" s="14" t="n">
        <v>2</v>
      </c>
      <c r="J940" s="58" t="n">
        <v>1346.64</v>
      </c>
      <c r="K940" s="59">
        <f>(F940-D940)/7</f>
        <v/>
      </c>
      <c r="L940" s="59">
        <f>K940^2</f>
        <v/>
      </c>
      <c r="M940" s="14">
        <f>IF(F940&lt;=E940,1,0)</f>
        <v/>
      </c>
      <c r="N940" s="14">
        <f>MAX(0,F940-E940)</f>
        <v/>
      </c>
    </row>
    <row r="941">
      <c r="A941" s="14" t="inlineStr">
        <is>
          <t>PO-00940</t>
        </is>
      </c>
      <c r="B941" s="14" t="inlineStr">
        <is>
          <t>S07</t>
        </is>
      </c>
      <c r="C941" s="14" t="inlineStr">
        <is>
          <t>NB-0037</t>
        </is>
      </c>
      <c r="D941" s="26" t="n">
        <v>45378</v>
      </c>
      <c r="E941" s="26" t="n">
        <v>45434</v>
      </c>
      <c r="F941" s="26" t="n">
        <v>45433</v>
      </c>
      <c r="G941" s="14" t="n">
        <v>72</v>
      </c>
      <c r="H941" s="14" t="n">
        <v>72</v>
      </c>
      <c r="I941" s="14" t="n">
        <v>6</v>
      </c>
      <c r="J941" s="58" t="n">
        <v>1042.56</v>
      </c>
      <c r="K941" s="59">
        <f>(F941-D941)/7</f>
        <v/>
      </c>
      <c r="L941" s="59">
        <f>K941^2</f>
        <v/>
      </c>
      <c r="M941" s="14">
        <f>IF(F941&lt;=E941,1,0)</f>
        <v/>
      </c>
      <c r="N941" s="14">
        <f>MAX(0,F941-E941)</f>
        <v/>
      </c>
    </row>
    <row r="942">
      <c r="A942" s="14" t="inlineStr">
        <is>
          <t>PO-00941</t>
        </is>
      </c>
      <c r="B942" s="14" t="inlineStr">
        <is>
          <t>S07</t>
        </is>
      </c>
      <c r="C942" s="14" t="inlineStr">
        <is>
          <t>NB-0037</t>
        </is>
      </c>
      <c r="D942" s="26" t="n">
        <v>45406</v>
      </c>
      <c r="E942" s="26" t="n">
        <v>45462</v>
      </c>
      <c r="F942" s="26" t="n">
        <v>45479</v>
      </c>
      <c r="G942" s="14" t="n">
        <v>88</v>
      </c>
      <c r="H942" s="14" t="n">
        <v>88</v>
      </c>
      <c r="I942" s="14" t="n">
        <v>4</v>
      </c>
      <c r="J942" s="58" t="n">
        <v>1274.24</v>
      </c>
      <c r="K942" s="59">
        <f>(F942-D942)/7</f>
        <v/>
      </c>
      <c r="L942" s="59">
        <f>K942^2</f>
        <v/>
      </c>
      <c r="M942" s="14">
        <f>IF(F942&lt;=E942,1,0)</f>
        <v/>
      </c>
      <c r="N942" s="14">
        <f>MAX(0,F942-E942)</f>
        <v/>
      </c>
    </row>
    <row r="943">
      <c r="A943" s="14" t="inlineStr">
        <is>
          <t>PO-00942</t>
        </is>
      </c>
      <c r="B943" s="14" t="inlineStr">
        <is>
          <t>S07</t>
        </is>
      </c>
      <c r="C943" s="14" t="inlineStr">
        <is>
          <t>NB-0037</t>
        </is>
      </c>
      <c r="D943" s="26" t="n">
        <v>45432</v>
      </c>
      <c r="E943" s="26" t="n">
        <v>45488</v>
      </c>
      <c r="F943" s="26" t="n">
        <v>45487</v>
      </c>
      <c r="G943" s="14" t="n">
        <v>91</v>
      </c>
      <c r="H943" s="14" t="n">
        <v>91</v>
      </c>
      <c r="I943" s="14" t="n">
        <v>2</v>
      </c>
      <c r="J943" s="58" t="n">
        <v>1317.68</v>
      </c>
      <c r="K943" s="59">
        <f>(F943-D943)/7</f>
        <v/>
      </c>
      <c r="L943" s="59">
        <f>K943^2</f>
        <v/>
      </c>
      <c r="M943" s="14">
        <f>IF(F943&lt;=E943,1,0)</f>
        <v/>
      </c>
      <c r="N943" s="14">
        <f>MAX(0,F943-E943)</f>
        <v/>
      </c>
    </row>
    <row r="944">
      <c r="A944" s="14" t="inlineStr">
        <is>
          <t>PO-00943</t>
        </is>
      </c>
      <c r="B944" s="14" t="inlineStr">
        <is>
          <t>S07</t>
        </is>
      </c>
      <c r="C944" s="14" t="inlineStr">
        <is>
          <t>NB-0037</t>
        </is>
      </c>
      <c r="D944" s="26" t="n">
        <v>45461</v>
      </c>
      <c r="E944" s="26" t="n">
        <v>45517</v>
      </c>
      <c r="F944" s="26" t="n">
        <v>45517</v>
      </c>
      <c r="G944" s="14" t="n">
        <v>68</v>
      </c>
      <c r="H944" s="14" t="n">
        <v>68</v>
      </c>
      <c r="I944" s="14" t="n">
        <v>1</v>
      </c>
      <c r="J944" s="58" t="n">
        <v>984.64</v>
      </c>
      <c r="K944" s="59">
        <f>(F944-D944)/7</f>
        <v/>
      </c>
      <c r="L944" s="59">
        <f>K944^2</f>
        <v/>
      </c>
      <c r="M944" s="14">
        <f>IF(F944&lt;=E944,1,0)</f>
        <v/>
      </c>
      <c r="N944" s="14">
        <f>MAX(0,F944-E944)</f>
        <v/>
      </c>
    </row>
    <row r="945">
      <c r="A945" s="14" t="inlineStr">
        <is>
          <t>PO-00944</t>
        </is>
      </c>
      <c r="B945" s="14" t="inlineStr">
        <is>
          <t>S07</t>
        </is>
      </c>
      <c r="C945" s="14" t="inlineStr">
        <is>
          <t>NB-0037</t>
        </is>
      </c>
      <c r="D945" s="26" t="n">
        <v>45488</v>
      </c>
      <c r="E945" s="26" t="n">
        <v>45544</v>
      </c>
      <c r="F945" s="26" t="n">
        <v>45563</v>
      </c>
      <c r="G945" s="14" t="n">
        <v>79</v>
      </c>
      <c r="H945" s="14" t="n">
        <v>69</v>
      </c>
      <c r="I945" s="14" t="n">
        <v>3</v>
      </c>
      <c r="J945" s="58" t="n">
        <v>1143.92</v>
      </c>
      <c r="K945" s="59">
        <f>(F945-D945)/7</f>
        <v/>
      </c>
      <c r="L945" s="59">
        <f>K945^2</f>
        <v/>
      </c>
      <c r="M945" s="14">
        <f>IF(F945&lt;=E945,1,0)</f>
        <v/>
      </c>
      <c r="N945" s="14">
        <f>MAX(0,F945-E945)</f>
        <v/>
      </c>
    </row>
    <row r="946">
      <c r="A946" s="14" t="inlineStr">
        <is>
          <t>PO-00945</t>
        </is>
      </c>
      <c r="B946" s="14" t="inlineStr">
        <is>
          <t>S07</t>
        </is>
      </c>
      <c r="C946" s="14" t="inlineStr">
        <is>
          <t>NB-0037</t>
        </is>
      </c>
      <c r="D946" s="26" t="n">
        <v>45520</v>
      </c>
      <c r="E946" s="26" t="n">
        <v>45576</v>
      </c>
      <c r="F946" s="26" t="n">
        <v>45585</v>
      </c>
      <c r="G946" s="14" t="n">
        <v>85</v>
      </c>
      <c r="H946" s="14" t="n">
        <v>85</v>
      </c>
      <c r="I946" s="14" t="n">
        <v>2</v>
      </c>
      <c r="J946" s="58" t="n">
        <v>1230.8</v>
      </c>
      <c r="K946" s="59">
        <f>(F946-D946)/7</f>
        <v/>
      </c>
      <c r="L946" s="59">
        <f>K946^2</f>
        <v/>
      </c>
      <c r="M946" s="14">
        <f>IF(F946&lt;=E946,1,0)</f>
        <v/>
      </c>
      <c r="N946" s="14">
        <f>MAX(0,F946-E946)</f>
        <v/>
      </c>
    </row>
    <row r="947">
      <c r="A947" s="14" t="inlineStr">
        <is>
          <t>PO-00946</t>
        </is>
      </c>
      <c r="B947" s="14" t="inlineStr">
        <is>
          <t>S07</t>
        </is>
      </c>
      <c r="C947" s="14" t="inlineStr">
        <is>
          <t>NB-0037</t>
        </is>
      </c>
      <c r="D947" s="26" t="n">
        <v>45546</v>
      </c>
      <c r="E947" s="26" t="n">
        <v>45602</v>
      </c>
      <c r="F947" s="26" t="n">
        <v>45617</v>
      </c>
      <c r="G947" s="14" t="n">
        <v>69</v>
      </c>
      <c r="H947" s="14" t="n">
        <v>69</v>
      </c>
      <c r="I947" s="14" t="n">
        <v>1</v>
      </c>
      <c r="J947" s="58" t="n">
        <v>999.12</v>
      </c>
      <c r="K947" s="59">
        <f>(F947-D947)/7</f>
        <v/>
      </c>
      <c r="L947" s="59">
        <f>K947^2</f>
        <v/>
      </c>
      <c r="M947" s="14">
        <f>IF(F947&lt;=E947,1,0)</f>
        <v/>
      </c>
      <c r="N947" s="14">
        <f>MAX(0,F947-E947)</f>
        <v/>
      </c>
    </row>
    <row r="948">
      <c r="A948" s="14" t="inlineStr">
        <is>
          <t>PO-00947</t>
        </is>
      </c>
      <c r="B948" s="14" t="inlineStr">
        <is>
          <t>S07</t>
        </is>
      </c>
      <c r="C948" s="14" t="inlineStr">
        <is>
          <t>NB-0037</t>
        </is>
      </c>
      <c r="D948" s="26" t="n">
        <v>45576</v>
      </c>
      <c r="E948" s="26" t="n">
        <v>45632</v>
      </c>
      <c r="F948" s="26" t="n">
        <v>45631</v>
      </c>
      <c r="G948" s="14" t="n">
        <v>84</v>
      </c>
      <c r="H948" s="14" t="n">
        <v>84</v>
      </c>
      <c r="I948" s="14" t="n">
        <v>1</v>
      </c>
      <c r="J948" s="58" t="n">
        <v>1216.32</v>
      </c>
      <c r="K948" s="59">
        <f>(F948-D948)/7</f>
        <v/>
      </c>
      <c r="L948" s="59">
        <f>K948^2</f>
        <v/>
      </c>
      <c r="M948" s="14">
        <f>IF(F948&lt;=E948,1,0)</f>
        <v/>
      </c>
      <c r="N948" s="14">
        <f>MAX(0,F948-E948)</f>
        <v/>
      </c>
    </row>
    <row r="949">
      <c r="A949" s="14" t="inlineStr">
        <is>
          <t>PO-00948</t>
        </is>
      </c>
      <c r="B949" s="14" t="inlineStr">
        <is>
          <t>S07</t>
        </is>
      </c>
      <c r="C949" s="14" t="inlineStr">
        <is>
          <t>NB-0037</t>
        </is>
      </c>
      <c r="D949" s="26" t="n">
        <v>45604</v>
      </c>
      <c r="E949" s="26" t="n">
        <v>45660</v>
      </c>
      <c r="F949" s="26" t="n">
        <v>45660</v>
      </c>
      <c r="G949" s="14" t="n">
        <v>84</v>
      </c>
      <c r="H949" s="14" t="n">
        <v>84</v>
      </c>
      <c r="I949" s="14" t="n">
        <v>1</v>
      </c>
      <c r="J949" s="58" t="n">
        <v>1216.32</v>
      </c>
      <c r="K949" s="59">
        <f>(F949-D949)/7</f>
        <v/>
      </c>
      <c r="L949" s="59">
        <f>K949^2</f>
        <v/>
      </c>
      <c r="M949" s="14">
        <f>IF(F949&lt;=E949,1,0)</f>
        <v/>
      </c>
      <c r="N949" s="14">
        <f>MAX(0,F949-E949)</f>
        <v/>
      </c>
    </row>
    <row r="950">
      <c r="A950" s="14" t="inlineStr">
        <is>
          <t>PO-00949</t>
        </is>
      </c>
      <c r="B950" s="14" t="inlineStr">
        <is>
          <t>S07</t>
        </is>
      </c>
      <c r="C950" s="14" t="inlineStr">
        <is>
          <t>NB-0037</t>
        </is>
      </c>
      <c r="D950" s="26" t="n">
        <v>45630</v>
      </c>
      <c r="E950" s="26" t="n">
        <v>45686</v>
      </c>
      <c r="F950" s="26" t="n">
        <v>45683</v>
      </c>
      <c r="G950" s="14" t="n">
        <v>87</v>
      </c>
      <c r="H950" s="14" t="n">
        <v>87</v>
      </c>
      <c r="I950" s="14" t="n">
        <v>2</v>
      </c>
      <c r="J950" s="58" t="n">
        <v>1259.76</v>
      </c>
      <c r="K950" s="59">
        <f>(F950-D950)/7</f>
        <v/>
      </c>
      <c r="L950" s="59">
        <f>K950^2</f>
        <v/>
      </c>
      <c r="M950" s="14">
        <f>IF(F950&lt;=E950,1,0)</f>
        <v/>
      </c>
      <c r="N950" s="14">
        <f>MAX(0,F950-E950)</f>
        <v/>
      </c>
    </row>
    <row r="951">
      <c r="A951" s="14" t="inlineStr">
        <is>
          <t>PO-00950</t>
        </is>
      </c>
      <c r="B951" s="14" t="inlineStr">
        <is>
          <t>S07</t>
        </is>
      </c>
      <c r="C951" s="14" t="inlineStr">
        <is>
          <t>NB-0037</t>
        </is>
      </c>
      <c r="D951" s="26" t="n">
        <v>45659</v>
      </c>
      <c r="E951" s="26" t="n">
        <v>45715</v>
      </c>
      <c r="F951" s="26" t="n">
        <v>45713</v>
      </c>
      <c r="G951" s="14" t="n">
        <v>74</v>
      </c>
      <c r="H951" s="14" t="n">
        <v>74</v>
      </c>
      <c r="I951" s="14" t="n">
        <v>2</v>
      </c>
      <c r="J951" s="58" t="n">
        <v>1071.52</v>
      </c>
      <c r="K951" s="59">
        <f>(F951-D951)/7</f>
        <v/>
      </c>
      <c r="L951" s="59">
        <f>K951^2</f>
        <v/>
      </c>
      <c r="M951" s="14">
        <f>IF(F951&lt;=E951,1,0)</f>
        <v/>
      </c>
      <c r="N951" s="14">
        <f>MAX(0,F951-E951)</f>
        <v/>
      </c>
    </row>
    <row r="952">
      <c r="A952" s="14" t="inlineStr">
        <is>
          <t>PO-00951</t>
        </is>
      </c>
      <c r="B952" s="14" t="inlineStr">
        <is>
          <t>S07</t>
        </is>
      </c>
      <c r="C952" s="14" t="inlineStr">
        <is>
          <t>NB-0037</t>
        </is>
      </c>
      <c r="D952" s="26" t="n">
        <v>45684</v>
      </c>
      <c r="E952" s="26" t="n">
        <v>45740</v>
      </c>
      <c r="F952" s="26" t="n">
        <v>45740</v>
      </c>
      <c r="G952" s="14" t="n">
        <v>81</v>
      </c>
      <c r="H952" s="14" t="n">
        <v>81</v>
      </c>
      <c r="I952" s="14" t="n">
        <v>0</v>
      </c>
      <c r="J952" s="58" t="n">
        <v>1172.88</v>
      </c>
      <c r="K952" s="59">
        <f>(F952-D952)/7</f>
        <v/>
      </c>
      <c r="L952" s="59">
        <f>K952^2</f>
        <v/>
      </c>
      <c r="M952" s="14">
        <f>IF(F952&lt;=E952,1,0)</f>
        <v/>
      </c>
      <c r="N952" s="14">
        <f>MAX(0,F952-E952)</f>
        <v/>
      </c>
    </row>
    <row r="953">
      <c r="A953" s="14" t="inlineStr">
        <is>
          <t>PO-00952</t>
        </is>
      </c>
      <c r="B953" s="14" t="inlineStr">
        <is>
          <t>S07</t>
        </is>
      </c>
      <c r="C953" s="14" t="inlineStr">
        <is>
          <t>NB-0037</t>
        </is>
      </c>
      <c r="D953" s="26" t="n">
        <v>45716</v>
      </c>
      <c r="E953" s="26" t="n">
        <v>45772</v>
      </c>
      <c r="F953" s="26" t="n">
        <v>45771</v>
      </c>
      <c r="G953" s="14" t="n">
        <v>72</v>
      </c>
      <c r="H953" s="14" t="n">
        <v>72</v>
      </c>
      <c r="I953" s="14" t="n">
        <v>1</v>
      </c>
      <c r="J953" s="58" t="n">
        <v>1042.56</v>
      </c>
      <c r="K953" s="59">
        <f>(F953-D953)/7</f>
        <v/>
      </c>
      <c r="L953" s="59">
        <f>K953^2</f>
        <v/>
      </c>
      <c r="M953" s="14">
        <f>IF(F953&lt;=E953,1,0)</f>
        <v/>
      </c>
      <c r="N953" s="14">
        <f>MAX(0,F953-E953)</f>
        <v/>
      </c>
    </row>
    <row r="954">
      <c r="A954" s="14" t="inlineStr">
        <is>
          <t>PO-00953</t>
        </is>
      </c>
      <c r="B954" s="14" t="inlineStr">
        <is>
          <t>S07</t>
        </is>
      </c>
      <c r="C954" s="14" t="inlineStr">
        <is>
          <t>NB-0037</t>
        </is>
      </c>
      <c r="D954" s="26" t="n">
        <v>45743</v>
      </c>
      <c r="E954" s="26" t="n">
        <v>45799</v>
      </c>
      <c r="F954" s="26" t="n">
        <v>45797</v>
      </c>
      <c r="G954" s="14" t="n">
        <v>76</v>
      </c>
      <c r="H954" s="14" t="n">
        <v>76</v>
      </c>
      <c r="I954" s="14" t="n">
        <v>2</v>
      </c>
      <c r="J954" s="58" t="n">
        <v>1100.48</v>
      </c>
      <c r="K954" s="59">
        <f>(F954-D954)/7</f>
        <v/>
      </c>
      <c r="L954" s="59">
        <f>K954^2</f>
        <v/>
      </c>
      <c r="M954" s="14">
        <f>IF(F954&lt;=E954,1,0)</f>
        <v/>
      </c>
      <c r="N954" s="14">
        <f>MAX(0,F954-E954)</f>
        <v/>
      </c>
    </row>
    <row r="955">
      <c r="A955" s="14" t="inlineStr">
        <is>
          <t>PO-00954</t>
        </is>
      </c>
      <c r="B955" s="14" t="inlineStr">
        <is>
          <t>S07</t>
        </is>
      </c>
      <c r="C955" s="14" t="inlineStr">
        <is>
          <t>NB-0037</t>
        </is>
      </c>
      <c r="D955" s="26" t="n">
        <v>45768</v>
      </c>
      <c r="E955" s="26" t="n">
        <v>45824</v>
      </c>
      <c r="F955" s="26" t="n">
        <v>45839</v>
      </c>
      <c r="G955" s="14" t="n">
        <v>69</v>
      </c>
      <c r="H955" s="14" t="n">
        <v>69</v>
      </c>
      <c r="I955" s="14" t="n">
        <v>1</v>
      </c>
      <c r="J955" s="58" t="n">
        <v>999.12</v>
      </c>
      <c r="K955" s="59">
        <f>(F955-D955)/7</f>
        <v/>
      </c>
      <c r="L955" s="59">
        <f>K955^2</f>
        <v/>
      </c>
      <c r="M955" s="14">
        <f>IF(F955&lt;=E955,1,0)</f>
        <v/>
      </c>
      <c r="N955" s="14">
        <f>MAX(0,F955-E955)</f>
        <v/>
      </c>
    </row>
    <row r="956">
      <c r="A956" s="14" t="inlineStr">
        <is>
          <t>PO-00955</t>
        </is>
      </c>
      <c r="B956" s="14" t="inlineStr">
        <is>
          <t>S07</t>
        </is>
      </c>
      <c r="C956" s="14" t="inlineStr">
        <is>
          <t>NB-0037</t>
        </is>
      </c>
      <c r="D956" s="26" t="n">
        <v>45800</v>
      </c>
      <c r="E956" s="26" t="n">
        <v>45856</v>
      </c>
      <c r="F956" s="26" t="n">
        <v>45854</v>
      </c>
      <c r="G956" s="14" t="n">
        <v>72</v>
      </c>
      <c r="H956" s="14" t="n">
        <v>72</v>
      </c>
      <c r="I956" s="14" t="n">
        <v>3</v>
      </c>
      <c r="J956" s="58" t="n">
        <v>1042.56</v>
      </c>
      <c r="K956" s="59">
        <f>(F956-D956)/7</f>
        <v/>
      </c>
      <c r="L956" s="59">
        <f>K956^2</f>
        <v/>
      </c>
      <c r="M956" s="14">
        <f>IF(F956&lt;=E956,1,0)</f>
        <v/>
      </c>
      <c r="N956" s="14">
        <f>MAX(0,F956-E956)</f>
        <v/>
      </c>
    </row>
    <row r="957">
      <c r="A957" s="14" t="inlineStr">
        <is>
          <t>PO-00956</t>
        </is>
      </c>
      <c r="B957" s="14" t="inlineStr">
        <is>
          <t>S07</t>
        </is>
      </c>
      <c r="C957" s="14" t="inlineStr">
        <is>
          <t>NB-0037</t>
        </is>
      </c>
      <c r="D957" s="26" t="n">
        <v>45826</v>
      </c>
      <c r="E957" s="26" t="n">
        <v>45882</v>
      </c>
      <c r="F957" s="26" t="n">
        <v>45880</v>
      </c>
      <c r="G957" s="14" t="n">
        <v>84</v>
      </c>
      <c r="H957" s="14" t="n">
        <v>84</v>
      </c>
      <c r="I957" s="14" t="n">
        <v>0</v>
      </c>
      <c r="J957" s="58" t="n">
        <v>1216.32</v>
      </c>
      <c r="K957" s="59">
        <f>(F957-D957)/7</f>
        <v/>
      </c>
      <c r="L957" s="59">
        <f>K957^2</f>
        <v/>
      </c>
      <c r="M957" s="14">
        <f>IF(F957&lt;=E957,1,0)</f>
        <v/>
      </c>
      <c r="N957" s="14">
        <f>MAX(0,F957-E957)</f>
        <v/>
      </c>
    </row>
    <row r="958">
      <c r="A958" s="14" t="inlineStr">
        <is>
          <t>PO-00957</t>
        </is>
      </c>
      <c r="B958" s="14" t="inlineStr">
        <is>
          <t>S07</t>
        </is>
      </c>
      <c r="C958" s="14" t="inlineStr">
        <is>
          <t>NB-0037</t>
        </is>
      </c>
      <c r="D958" s="26" t="n">
        <v>45854</v>
      </c>
      <c r="E958" s="26" t="n">
        <v>45910</v>
      </c>
      <c r="F958" s="26" t="n">
        <v>45919</v>
      </c>
      <c r="G958" s="14" t="n">
        <v>94</v>
      </c>
      <c r="H958" s="14" t="n">
        <v>94</v>
      </c>
      <c r="I958" s="14" t="n">
        <v>2</v>
      </c>
      <c r="J958" s="58" t="n">
        <v>1361.12</v>
      </c>
      <c r="K958" s="59">
        <f>(F958-D958)/7</f>
        <v/>
      </c>
      <c r="L958" s="59">
        <f>K958^2</f>
        <v/>
      </c>
      <c r="M958" s="14">
        <f>IF(F958&lt;=E958,1,0)</f>
        <v/>
      </c>
      <c r="N958" s="14">
        <f>MAX(0,F958-E958)</f>
        <v/>
      </c>
    </row>
    <row r="959">
      <c r="A959" s="14" t="inlineStr">
        <is>
          <t>PO-00958</t>
        </is>
      </c>
      <c r="B959" s="14" t="inlineStr">
        <is>
          <t>S07</t>
        </is>
      </c>
      <c r="C959" s="14" t="inlineStr">
        <is>
          <t>NB-0037</t>
        </is>
      </c>
      <c r="D959" s="26" t="n">
        <v>45881</v>
      </c>
      <c r="E959" s="26" t="n">
        <v>45937</v>
      </c>
      <c r="F959" s="26" t="n">
        <v>45937</v>
      </c>
      <c r="G959" s="14" t="n">
        <v>85</v>
      </c>
      <c r="H959" s="14" t="n">
        <v>85</v>
      </c>
      <c r="I959" s="14" t="n">
        <v>2</v>
      </c>
      <c r="J959" s="58" t="n">
        <v>1230.8</v>
      </c>
      <c r="K959" s="59">
        <f>(F959-D959)/7</f>
        <v/>
      </c>
      <c r="L959" s="59">
        <f>K959^2</f>
        <v/>
      </c>
      <c r="M959" s="14">
        <f>IF(F959&lt;=E959,1,0)</f>
        <v/>
      </c>
      <c r="N959" s="14">
        <f>MAX(0,F959-E959)</f>
        <v/>
      </c>
    </row>
    <row r="960">
      <c r="A960" s="14" t="inlineStr">
        <is>
          <t>PO-00959</t>
        </is>
      </c>
      <c r="B960" s="14" t="inlineStr">
        <is>
          <t>S07</t>
        </is>
      </c>
      <c r="C960" s="14" t="inlineStr">
        <is>
          <t>NB-0037</t>
        </is>
      </c>
      <c r="D960" s="26" t="n">
        <v>45909</v>
      </c>
      <c r="E960" s="26" t="n">
        <v>45965</v>
      </c>
      <c r="F960" s="26" t="n">
        <v>45962</v>
      </c>
      <c r="G960" s="14" t="n">
        <v>87</v>
      </c>
      <c r="H960" s="14" t="n">
        <v>75</v>
      </c>
      <c r="I960" s="14" t="n">
        <v>1</v>
      </c>
      <c r="J960" s="58" t="n">
        <v>1259.76</v>
      </c>
      <c r="K960" s="59">
        <f>(F960-D960)/7</f>
        <v/>
      </c>
      <c r="L960" s="59">
        <f>K960^2</f>
        <v/>
      </c>
      <c r="M960" s="14">
        <f>IF(F960&lt;=E960,1,0)</f>
        <v/>
      </c>
      <c r="N960" s="14">
        <f>MAX(0,F960-E960)</f>
        <v/>
      </c>
    </row>
    <row r="961">
      <c r="A961" s="14" t="inlineStr">
        <is>
          <t>PO-00960</t>
        </is>
      </c>
      <c r="B961" s="14" t="inlineStr">
        <is>
          <t>S07</t>
        </is>
      </c>
      <c r="C961" s="14" t="inlineStr">
        <is>
          <t>NB-0037</t>
        </is>
      </c>
      <c r="D961" s="26" t="n">
        <v>45938</v>
      </c>
      <c r="E961" s="26" t="n">
        <v>45994</v>
      </c>
      <c r="F961" s="26" t="n">
        <v>46015</v>
      </c>
      <c r="G961" s="14" t="n">
        <v>77</v>
      </c>
      <c r="H961" s="14" t="n">
        <v>77</v>
      </c>
      <c r="I961" s="14" t="n">
        <v>0</v>
      </c>
      <c r="J961" s="58" t="n">
        <v>1114.96</v>
      </c>
      <c r="K961" s="59">
        <f>(F961-D961)/7</f>
        <v/>
      </c>
      <c r="L961" s="59">
        <f>K961^2</f>
        <v/>
      </c>
      <c r="M961" s="14">
        <f>IF(F961&lt;=E961,1,0)</f>
        <v/>
      </c>
      <c r="N961" s="14">
        <f>MAX(0,F961-E961)</f>
        <v/>
      </c>
    </row>
    <row r="962">
      <c r="A962" s="14" t="inlineStr">
        <is>
          <t>PO-00961</t>
        </is>
      </c>
      <c r="B962" s="14" t="inlineStr">
        <is>
          <t>S07</t>
        </is>
      </c>
      <c r="C962" s="14" t="inlineStr">
        <is>
          <t>NB-0037</t>
        </is>
      </c>
      <c r="D962" s="26" t="n">
        <v>45965</v>
      </c>
      <c r="E962" s="26" t="n">
        <v>46021</v>
      </c>
      <c r="F962" s="26" t="n">
        <v>46019</v>
      </c>
      <c r="G962" s="14" t="n">
        <v>73</v>
      </c>
      <c r="H962" s="14" t="n">
        <v>73</v>
      </c>
      <c r="I962" s="14" t="n">
        <v>0</v>
      </c>
      <c r="J962" s="58" t="n">
        <v>1057.04</v>
      </c>
      <c r="K962" s="59">
        <f>(F962-D962)/7</f>
        <v/>
      </c>
      <c r="L962" s="59">
        <f>K962^2</f>
        <v/>
      </c>
      <c r="M962" s="14">
        <f>IF(F962&lt;=E962,1,0)</f>
        <v/>
      </c>
      <c r="N962" s="14">
        <f>MAX(0,F962-E962)</f>
        <v/>
      </c>
    </row>
    <row r="963">
      <c r="A963" s="14" t="inlineStr">
        <is>
          <t>PO-00962</t>
        </is>
      </c>
      <c r="B963" s="14" t="inlineStr">
        <is>
          <t>S07</t>
        </is>
      </c>
      <c r="C963" s="14" t="inlineStr">
        <is>
          <t>NB-0037</t>
        </is>
      </c>
      <c r="D963" s="26" t="n">
        <v>45996</v>
      </c>
      <c r="E963" s="26" t="n">
        <v>46052</v>
      </c>
      <c r="F963" s="26" t="n">
        <v>46050</v>
      </c>
      <c r="G963" s="14" t="n">
        <v>82</v>
      </c>
      <c r="H963" s="14" t="n">
        <v>82</v>
      </c>
      <c r="I963" s="14" t="n">
        <v>1</v>
      </c>
      <c r="J963" s="58" t="n">
        <v>1187.36</v>
      </c>
      <c r="K963" s="59">
        <f>(F963-D963)/7</f>
        <v/>
      </c>
      <c r="L963" s="59">
        <f>K963^2</f>
        <v/>
      </c>
      <c r="M963" s="14">
        <f>IF(F963&lt;=E963,1,0)</f>
        <v/>
      </c>
      <c r="N963" s="14">
        <f>MAX(0,F963-E963)</f>
        <v/>
      </c>
    </row>
    <row r="964">
      <c r="A964" s="14" t="inlineStr">
        <is>
          <t>PO-00963</t>
        </is>
      </c>
      <c r="B964" s="14" t="inlineStr">
        <is>
          <t>S07</t>
        </is>
      </c>
      <c r="C964" s="14" t="inlineStr">
        <is>
          <t>NB-0038</t>
        </is>
      </c>
      <c r="D964" s="26" t="n">
        <v>45296</v>
      </c>
      <c r="E964" s="26" t="n">
        <v>45352</v>
      </c>
      <c r="F964" s="26" t="n">
        <v>45350</v>
      </c>
      <c r="G964" s="14" t="n">
        <v>125</v>
      </c>
      <c r="H964" s="14" t="n">
        <v>125</v>
      </c>
      <c r="I964" s="14" t="n">
        <v>2</v>
      </c>
      <c r="J964" s="58" t="n">
        <v>1437.5</v>
      </c>
      <c r="K964" s="59">
        <f>(F964-D964)/7</f>
        <v/>
      </c>
      <c r="L964" s="59">
        <f>K964^2</f>
        <v/>
      </c>
      <c r="M964" s="14">
        <f>IF(F964&lt;=E964,1,0)</f>
        <v/>
      </c>
      <c r="N964" s="14">
        <f>MAX(0,F964-E964)</f>
        <v/>
      </c>
    </row>
    <row r="965">
      <c r="A965" s="14" t="inlineStr">
        <is>
          <t>PO-00964</t>
        </is>
      </c>
      <c r="B965" s="14" t="inlineStr">
        <is>
          <t>S07</t>
        </is>
      </c>
      <c r="C965" s="14" t="inlineStr">
        <is>
          <t>NB-0038</t>
        </is>
      </c>
      <c r="D965" s="26" t="n">
        <v>45323</v>
      </c>
      <c r="E965" s="26" t="n">
        <v>45379</v>
      </c>
      <c r="F965" s="26" t="n">
        <v>45378</v>
      </c>
      <c r="G965" s="14" t="n">
        <v>176</v>
      </c>
      <c r="H965" s="14" t="n">
        <v>176</v>
      </c>
      <c r="I965" s="14" t="n">
        <v>6</v>
      </c>
      <c r="J965" s="58" t="n">
        <v>2024</v>
      </c>
      <c r="K965" s="59">
        <f>(F965-D965)/7</f>
        <v/>
      </c>
      <c r="L965" s="59">
        <f>K965^2</f>
        <v/>
      </c>
      <c r="M965" s="14">
        <f>IF(F965&lt;=E965,1,0)</f>
        <v/>
      </c>
      <c r="N965" s="14">
        <f>MAX(0,F965-E965)</f>
        <v/>
      </c>
    </row>
    <row r="966">
      <c r="A966" s="14" t="inlineStr">
        <is>
          <t>PO-00965</t>
        </is>
      </c>
      <c r="B966" s="14" t="inlineStr">
        <is>
          <t>S07</t>
        </is>
      </c>
      <c r="C966" s="14" t="inlineStr">
        <is>
          <t>NB-0038</t>
        </is>
      </c>
      <c r="D966" s="26" t="n">
        <v>45352</v>
      </c>
      <c r="E966" s="26" t="n">
        <v>45408</v>
      </c>
      <c r="F966" s="26" t="n">
        <v>45407</v>
      </c>
      <c r="G966" s="14" t="n">
        <v>140</v>
      </c>
      <c r="H966" s="14" t="n">
        <v>140</v>
      </c>
      <c r="I966" s="14" t="n">
        <v>3</v>
      </c>
      <c r="J966" s="58" t="n">
        <v>1610</v>
      </c>
      <c r="K966" s="59">
        <f>(F966-D966)/7</f>
        <v/>
      </c>
      <c r="L966" s="59">
        <f>K966^2</f>
        <v/>
      </c>
      <c r="M966" s="14">
        <f>IF(F966&lt;=E966,1,0)</f>
        <v/>
      </c>
      <c r="N966" s="14">
        <f>MAX(0,F966-E966)</f>
        <v/>
      </c>
    </row>
    <row r="967">
      <c r="A967" s="14" t="inlineStr">
        <is>
          <t>PO-00966</t>
        </is>
      </c>
      <c r="B967" s="14" t="inlineStr">
        <is>
          <t>S07</t>
        </is>
      </c>
      <c r="C967" s="14" t="inlineStr">
        <is>
          <t>NB-0038</t>
        </is>
      </c>
      <c r="D967" s="26" t="n">
        <v>45380</v>
      </c>
      <c r="E967" s="26" t="n">
        <v>45436</v>
      </c>
      <c r="F967" s="26" t="n">
        <v>45461</v>
      </c>
      <c r="G967" s="14" t="n">
        <v>127</v>
      </c>
      <c r="H967" s="14" t="n">
        <v>112</v>
      </c>
      <c r="I967" s="14" t="n">
        <v>2</v>
      </c>
      <c r="J967" s="58" t="n">
        <v>1460.5</v>
      </c>
      <c r="K967" s="59">
        <f>(F967-D967)/7</f>
        <v/>
      </c>
      <c r="L967" s="59">
        <f>K967^2</f>
        <v/>
      </c>
      <c r="M967" s="14">
        <f>IF(F967&lt;=E967,1,0)</f>
        <v/>
      </c>
      <c r="N967" s="14">
        <f>MAX(0,F967-E967)</f>
        <v/>
      </c>
    </row>
    <row r="968">
      <c r="A968" s="14" t="inlineStr">
        <is>
          <t>PO-00967</t>
        </is>
      </c>
      <c r="B968" s="14" t="inlineStr">
        <is>
          <t>S07</t>
        </is>
      </c>
      <c r="C968" s="14" t="inlineStr">
        <is>
          <t>NB-0038</t>
        </is>
      </c>
      <c r="D968" s="26" t="n">
        <v>45406</v>
      </c>
      <c r="E968" s="26" t="n">
        <v>45462</v>
      </c>
      <c r="F968" s="26" t="n">
        <v>45469</v>
      </c>
      <c r="G968" s="14" t="n">
        <v>171</v>
      </c>
      <c r="H968" s="14" t="n">
        <v>171</v>
      </c>
      <c r="I968" s="14" t="n">
        <v>4</v>
      </c>
      <c r="J968" s="58" t="n">
        <v>1966.5</v>
      </c>
      <c r="K968" s="59">
        <f>(F968-D968)/7</f>
        <v/>
      </c>
      <c r="L968" s="59">
        <f>K968^2</f>
        <v/>
      </c>
      <c r="M968" s="14">
        <f>IF(F968&lt;=E968,1,0)</f>
        <v/>
      </c>
      <c r="N968" s="14">
        <f>MAX(0,F968-E968)</f>
        <v/>
      </c>
    </row>
    <row r="969">
      <c r="A969" s="14" t="inlineStr">
        <is>
          <t>PO-00968</t>
        </is>
      </c>
      <c r="B969" s="14" t="inlineStr">
        <is>
          <t>S07</t>
        </is>
      </c>
      <c r="C969" s="14" t="inlineStr">
        <is>
          <t>NB-0038</t>
        </is>
      </c>
      <c r="D969" s="26" t="n">
        <v>45436</v>
      </c>
      <c r="E969" s="26" t="n">
        <v>45492</v>
      </c>
      <c r="F969" s="26" t="n">
        <v>45490</v>
      </c>
      <c r="G969" s="14" t="n">
        <v>134</v>
      </c>
      <c r="H969" s="14" t="n">
        <v>134</v>
      </c>
      <c r="I969" s="14" t="n">
        <v>6</v>
      </c>
      <c r="J969" s="58" t="n">
        <v>1541</v>
      </c>
      <c r="K969" s="59">
        <f>(F969-D969)/7</f>
        <v/>
      </c>
      <c r="L969" s="59">
        <f>K969^2</f>
        <v/>
      </c>
      <c r="M969" s="14">
        <f>IF(F969&lt;=E969,1,0)</f>
        <v/>
      </c>
      <c r="N969" s="14">
        <f>MAX(0,F969-E969)</f>
        <v/>
      </c>
    </row>
    <row r="970">
      <c r="A970" s="14" t="inlineStr">
        <is>
          <t>PO-00969</t>
        </is>
      </c>
      <c r="B970" s="14" t="inlineStr">
        <is>
          <t>S07</t>
        </is>
      </c>
      <c r="C970" s="14" t="inlineStr">
        <is>
          <t>NB-0038</t>
        </is>
      </c>
      <c r="D970" s="26" t="n">
        <v>45463</v>
      </c>
      <c r="E970" s="26" t="n">
        <v>45519</v>
      </c>
      <c r="F970" s="26" t="n">
        <v>45517</v>
      </c>
      <c r="G970" s="14" t="n">
        <v>126</v>
      </c>
      <c r="H970" s="14" t="n">
        <v>126</v>
      </c>
      <c r="I970" s="14" t="n">
        <v>4</v>
      </c>
      <c r="J970" s="58" t="n">
        <v>1449</v>
      </c>
      <c r="K970" s="59">
        <f>(F970-D970)/7</f>
        <v/>
      </c>
      <c r="L970" s="59">
        <f>K970^2</f>
        <v/>
      </c>
      <c r="M970" s="14">
        <f>IF(F970&lt;=E970,1,0)</f>
        <v/>
      </c>
      <c r="N970" s="14">
        <f>MAX(0,F970-E970)</f>
        <v/>
      </c>
    </row>
    <row r="971">
      <c r="A971" s="14" t="inlineStr">
        <is>
          <t>PO-00970</t>
        </is>
      </c>
      <c r="B971" s="14" t="inlineStr">
        <is>
          <t>S07</t>
        </is>
      </c>
      <c r="C971" s="14" t="inlineStr">
        <is>
          <t>NB-0038</t>
        </is>
      </c>
      <c r="D971" s="26" t="n">
        <v>45488</v>
      </c>
      <c r="E971" s="26" t="n">
        <v>45544</v>
      </c>
      <c r="F971" s="26" t="n">
        <v>45543</v>
      </c>
      <c r="G971" s="14" t="n">
        <v>135</v>
      </c>
      <c r="H971" s="14" t="n">
        <v>135</v>
      </c>
      <c r="I971" s="14" t="n">
        <v>1</v>
      </c>
      <c r="J971" s="58" t="n">
        <v>1552.5</v>
      </c>
      <c r="K971" s="59">
        <f>(F971-D971)/7</f>
        <v/>
      </c>
      <c r="L971" s="59">
        <f>K971^2</f>
        <v/>
      </c>
      <c r="M971" s="14">
        <f>IF(F971&lt;=E971,1,0)</f>
        <v/>
      </c>
      <c r="N971" s="14">
        <f>MAX(0,F971-E971)</f>
        <v/>
      </c>
    </row>
    <row r="972">
      <c r="A972" s="14" t="inlineStr">
        <is>
          <t>PO-00971</t>
        </is>
      </c>
      <c r="B972" s="14" t="inlineStr">
        <is>
          <t>S07</t>
        </is>
      </c>
      <c r="C972" s="14" t="inlineStr">
        <is>
          <t>NB-0038</t>
        </is>
      </c>
      <c r="D972" s="26" t="n">
        <v>45517</v>
      </c>
      <c r="E972" s="26" t="n">
        <v>45573</v>
      </c>
      <c r="F972" s="26" t="n">
        <v>45588</v>
      </c>
      <c r="G972" s="14" t="n">
        <v>164</v>
      </c>
      <c r="H972" s="14" t="n">
        <v>164</v>
      </c>
      <c r="I972" s="14" t="n">
        <v>3</v>
      </c>
      <c r="J972" s="58" t="n">
        <v>1886</v>
      </c>
      <c r="K972" s="59">
        <f>(F972-D972)/7</f>
        <v/>
      </c>
      <c r="L972" s="59">
        <f>K972^2</f>
        <v/>
      </c>
      <c r="M972" s="14">
        <f>IF(F972&lt;=E972,1,0)</f>
        <v/>
      </c>
      <c r="N972" s="14">
        <f>MAX(0,F972-E972)</f>
        <v/>
      </c>
    </row>
    <row r="973">
      <c r="A973" s="14" t="inlineStr">
        <is>
          <t>PO-00972</t>
        </is>
      </c>
      <c r="B973" s="14" t="inlineStr">
        <is>
          <t>S07</t>
        </is>
      </c>
      <c r="C973" s="14" t="inlineStr">
        <is>
          <t>NB-0038</t>
        </is>
      </c>
      <c r="D973" s="26" t="n">
        <v>45546</v>
      </c>
      <c r="E973" s="26" t="n">
        <v>45602</v>
      </c>
      <c r="F973" s="26" t="n">
        <v>45599</v>
      </c>
      <c r="G973" s="14" t="n">
        <v>147</v>
      </c>
      <c r="H973" s="14" t="n">
        <v>147</v>
      </c>
      <c r="I973" s="14" t="n">
        <v>0</v>
      </c>
      <c r="J973" s="58" t="n">
        <v>1690.5</v>
      </c>
      <c r="K973" s="59">
        <f>(F973-D973)/7</f>
        <v/>
      </c>
      <c r="L973" s="59">
        <f>K973^2</f>
        <v/>
      </c>
      <c r="M973" s="14">
        <f>IF(F973&lt;=E973,1,0)</f>
        <v/>
      </c>
      <c r="N973" s="14">
        <f>MAX(0,F973-E973)</f>
        <v/>
      </c>
    </row>
    <row r="974">
      <c r="A974" s="14" t="inlineStr">
        <is>
          <t>PO-00973</t>
        </is>
      </c>
      <c r="B974" s="14" t="inlineStr">
        <is>
          <t>S07</t>
        </is>
      </c>
      <c r="C974" s="14" t="inlineStr">
        <is>
          <t>NB-0038</t>
        </is>
      </c>
      <c r="D974" s="26" t="n">
        <v>45576</v>
      </c>
      <c r="E974" s="26" t="n">
        <v>45632</v>
      </c>
      <c r="F974" s="26" t="n">
        <v>45629</v>
      </c>
      <c r="G974" s="14" t="n">
        <v>166</v>
      </c>
      <c r="H974" s="14" t="n">
        <v>166</v>
      </c>
      <c r="I974" s="14" t="n">
        <v>1</v>
      </c>
      <c r="J974" s="58" t="n">
        <v>1909</v>
      </c>
      <c r="K974" s="59">
        <f>(F974-D974)/7</f>
        <v/>
      </c>
      <c r="L974" s="59">
        <f>K974^2</f>
        <v/>
      </c>
      <c r="M974" s="14">
        <f>IF(F974&lt;=E974,1,0)</f>
        <v/>
      </c>
      <c r="N974" s="14">
        <f>MAX(0,F974-E974)</f>
        <v/>
      </c>
    </row>
    <row r="975">
      <c r="A975" s="14" t="inlineStr">
        <is>
          <t>PO-00974</t>
        </is>
      </c>
      <c r="B975" s="14" t="inlineStr">
        <is>
          <t>S07</t>
        </is>
      </c>
      <c r="C975" s="14" t="inlineStr">
        <is>
          <t>NB-0038</t>
        </is>
      </c>
      <c r="D975" s="26" t="n">
        <v>45601</v>
      </c>
      <c r="E975" s="26" t="n">
        <v>45657</v>
      </c>
      <c r="F975" s="26" t="n">
        <v>45672</v>
      </c>
      <c r="G975" s="14" t="n">
        <v>128</v>
      </c>
      <c r="H975" s="14" t="n">
        <v>128</v>
      </c>
      <c r="I975" s="14" t="n">
        <v>2</v>
      </c>
      <c r="J975" s="58" t="n">
        <v>1472</v>
      </c>
      <c r="K975" s="59">
        <f>(F975-D975)/7</f>
        <v/>
      </c>
      <c r="L975" s="59">
        <f>K975^2</f>
        <v/>
      </c>
      <c r="M975" s="14">
        <f>IF(F975&lt;=E975,1,0)</f>
        <v/>
      </c>
      <c r="N975" s="14">
        <f>MAX(0,F975-E975)</f>
        <v/>
      </c>
    </row>
    <row r="976">
      <c r="A976" s="14" t="inlineStr">
        <is>
          <t>PO-00975</t>
        </is>
      </c>
      <c r="B976" s="14" t="inlineStr">
        <is>
          <t>S07</t>
        </is>
      </c>
      <c r="C976" s="14" t="inlineStr">
        <is>
          <t>NB-0038</t>
        </is>
      </c>
      <c r="D976" s="26" t="n">
        <v>45629</v>
      </c>
      <c r="E976" s="26" t="n">
        <v>45685</v>
      </c>
      <c r="F976" s="26" t="n">
        <v>45711</v>
      </c>
      <c r="G976" s="14" t="n">
        <v>147</v>
      </c>
      <c r="H976" s="14" t="n">
        <v>147</v>
      </c>
      <c r="I976" s="14" t="n">
        <v>3</v>
      </c>
      <c r="J976" s="58" t="n">
        <v>1690.5</v>
      </c>
      <c r="K976" s="59">
        <f>(F976-D976)/7</f>
        <v/>
      </c>
      <c r="L976" s="59">
        <f>K976^2</f>
        <v/>
      </c>
      <c r="M976" s="14">
        <f>IF(F976&lt;=E976,1,0)</f>
        <v/>
      </c>
      <c r="N976" s="14">
        <f>MAX(0,F976-E976)</f>
        <v/>
      </c>
    </row>
    <row r="977">
      <c r="A977" s="14" t="inlineStr">
        <is>
          <t>PO-00976</t>
        </is>
      </c>
      <c r="B977" s="14" t="inlineStr">
        <is>
          <t>S07</t>
        </is>
      </c>
      <c r="C977" s="14" t="inlineStr">
        <is>
          <t>NB-0038</t>
        </is>
      </c>
      <c r="D977" s="26" t="n">
        <v>45660</v>
      </c>
      <c r="E977" s="26" t="n">
        <v>45716</v>
      </c>
      <c r="F977" s="26" t="n">
        <v>45742</v>
      </c>
      <c r="G977" s="14" t="n">
        <v>159</v>
      </c>
      <c r="H977" s="14" t="n">
        <v>159</v>
      </c>
      <c r="I977" s="14" t="n">
        <v>1</v>
      </c>
      <c r="J977" s="58" t="n">
        <v>1828.5</v>
      </c>
      <c r="K977" s="59">
        <f>(F977-D977)/7</f>
        <v/>
      </c>
      <c r="L977" s="59">
        <f>K977^2</f>
        <v/>
      </c>
      <c r="M977" s="14">
        <f>IF(F977&lt;=E977,1,0)</f>
        <v/>
      </c>
      <c r="N977" s="14">
        <f>MAX(0,F977-E977)</f>
        <v/>
      </c>
    </row>
    <row r="978">
      <c r="A978" s="14" t="inlineStr">
        <is>
          <t>PO-00977</t>
        </is>
      </c>
      <c r="B978" s="14" t="inlineStr">
        <is>
          <t>S07</t>
        </is>
      </c>
      <c r="C978" s="14" t="inlineStr">
        <is>
          <t>NB-0038</t>
        </is>
      </c>
      <c r="D978" s="26" t="n">
        <v>45687</v>
      </c>
      <c r="E978" s="26" t="n">
        <v>45743</v>
      </c>
      <c r="F978" s="26" t="n">
        <v>45741</v>
      </c>
      <c r="G978" s="14" t="n">
        <v>165</v>
      </c>
      <c r="H978" s="14" t="n">
        <v>165</v>
      </c>
      <c r="I978" s="14" t="n">
        <v>1</v>
      </c>
      <c r="J978" s="58" t="n">
        <v>1897.5</v>
      </c>
      <c r="K978" s="59">
        <f>(F978-D978)/7</f>
        <v/>
      </c>
      <c r="L978" s="59">
        <f>K978^2</f>
        <v/>
      </c>
      <c r="M978" s="14">
        <f>IF(F978&lt;=E978,1,0)</f>
        <v/>
      </c>
      <c r="N978" s="14">
        <f>MAX(0,F978-E978)</f>
        <v/>
      </c>
    </row>
    <row r="979">
      <c r="A979" s="14" t="inlineStr">
        <is>
          <t>PO-00978</t>
        </is>
      </c>
      <c r="B979" s="14" t="inlineStr">
        <is>
          <t>S07</t>
        </is>
      </c>
      <c r="C979" s="14" t="inlineStr">
        <is>
          <t>NB-0038</t>
        </is>
      </c>
      <c r="D979" s="26" t="n">
        <v>45713</v>
      </c>
      <c r="E979" s="26" t="n">
        <v>45769</v>
      </c>
      <c r="F979" s="26" t="n">
        <v>45769</v>
      </c>
      <c r="G979" s="14" t="n">
        <v>165</v>
      </c>
      <c r="H979" s="14" t="n">
        <v>165</v>
      </c>
      <c r="I979" s="14" t="n">
        <v>1</v>
      </c>
      <c r="J979" s="58" t="n">
        <v>1897.5</v>
      </c>
      <c r="K979" s="59">
        <f>(F979-D979)/7</f>
        <v/>
      </c>
      <c r="L979" s="59">
        <f>K979^2</f>
        <v/>
      </c>
      <c r="M979" s="14">
        <f>IF(F979&lt;=E979,1,0)</f>
        <v/>
      </c>
      <c r="N979" s="14">
        <f>MAX(0,F979-E979)</f>
        <v/>
      </c>
    </row>
    <row r="980">
      <c r="A980" s="14" t="inlineStr">
        <is>
          <t>PO-00979</t>
        </is>
      </c>
      <c r="B980" s="14" t="inlineStr">
        <is>
          <t>S07</t>
        </is>
      </c>
      <c r="C980" s="14" t="inlineStr">
        <is>
          <t>NB-0038</t>
        </is>
      </c>
      <c r="D980" s="26" t="n">
        <v>45740</v>
      </c>
      <c r="E980" s="26" t="n">
        <v>45796</v>
      </c>
      <c r="F980" s="26" t="n">
        <v>45795</v>
      </c>
      <c r="G980" s="14" t="n">
        <v>172</v>
      </c>
      <c r="H980" s="14" t="n">
        <v>172</v>
      </c>
      <c r="I980" s="14" t="n">
        <v>4</v>
      </c>
      <c r="J980" s="58" t="n">
        <v>1978</v>
      </c>
      <c r="K980" s="59">
        <f>(F980-D980)/7</f>
        <v/>
      </c>
      <c r="L980" s="59">
        <f>K980^2</f>
        <v/>
      </c>
      <c r="M980" s="14">
        <f>IF(F980&lt;=E980,1,0)</f>
        <v/>
      </c>
      <c r="N980" s="14">
        <f>MAX(0,F980-E980)</f>
        <v/>
      </c>
    </row>
    <row r="981">
      <c r="A981" s="14" t="inlineStr">
        <is>
          <t>PO-00980</t>
        </is>
      </c>
      <c r="B981" s="14" t="inlineStr">
        <is>
          <t>S07</t>
        </is>
      </c>
      <c r="C981" s="14" t="inlineStr">
        <is>
          <t>NB-0038</t>
        </is>
      </c>
      <c r="D981" s="26" t="n">
        <v>45769</v>
      </c>
      <c r="E981" s="26" t="n">
        <v>45825</v>
      </c>
      <c r="F981" s="26" t="n">
        <v>45829</v>
      </c>
      <c r="G981" s="14" t="n">
        <v>174</v>
      </c>
      <c r="H981" s="14" t="n">
        <v>174</v>
      </c>
      <c r="I981" s="14" t="n">
        <v>5</v>
      </c>
      <c r="J981" s="58" t="n">
        <v>2001</v>
      </c>
      <c r="K981" s="59">
        <f>(F981-D981)/7</f>
        <v/>
      </c>
      <c r="L981" s="59">
        <f>K981^2</f>
        <v/>
      </c>
      <c r="M981" s="14">
        <f>IF(F981&lt;=E981,1,0)</f>
        <v/>
      </c>
      <c r="N981" s="14">
        <f>MAX(0,F981-E981)</f>
        <v/>
      </c>
    </row>
    <row r="982">
      <c r="A982" s="14" t="inlineStr">
        <is>
          <t>PO-00981</t>
        </is>
      </c>
      <c r="B982" s="14" t="inlineStr">
        <is>
          <t>S07</t>
        </is>
      </c>
      <c r="C982" s="14" t="inlineStr">
        <is>
          <t>NB-0038</t>
        </is>
      </c>
      <c r="D982" s="26" t="n">
        <v>45798</v>
      </c>
      <c r="E982" s="26" t="n">
        <v>45854</v>
      </c>
      <c r="F982" s="26" t="n">
        <v>45866</v>
      </c>
      <c r="G982" s="14" t="n">
        <v>147</v>
      </c>
      <c r="H982" s="14" t="n">
        <v>147</v>
      </c>
      <c r="I982" s="14" t="n">
        <v>3</v>
      </c>
      <c r="J982" s="58" t="n">
        <v>1690.5</v>
      </c>
      <c r="K982" s="59">
        <f>(F982-D982)/7</f>
        <v/>
      </c>
      <c r="L982" s="59">
        <f>K982^2</f>
        <v/>
      </c>
      <c r="M982" s="14">
        <f>IF(F982&lt;=E982,1,0)</f>
        <v/>
      </c>
      <c r="N982" s="14">
        <f>MAX(0,F982-E982)</f>
        <v/>
      </c>
    </row>
    <row r="983">
      <c r="A983" s="14" t="inlineStr">
        <is>
          <t>PO-00982</t>
        </is>
      </c>
      <c r="B983" s="14" t="inlineStr">
        <is>
          <t>S07</t>
        </is>
      </c>
      <c r="C983" s="14" t="inlineStr">
        <is>
          <t>NB-0038</t>
        </is>
      </c>
      <c r="D983" s="26" t="n">
        <v>45824</v>
      </c>
      <c r="E983" s="26" t="n">
        <v>45880</v>
      </c>
      <c r="F983" s="26" t="n">
        <v>45878</v>
      </c>
      <c r="G983" s="14" t="n">
        <v>128</v>
      </c>
      <c r="H983" s="14" t="n">
        <v>128</v>
      </c>
      <c r="I983" s="14" t="n">
        <v>1</v>
      </c>
      <c r="J983" s="58" t="n">
        <v>1472</v>
      </c>
      <c r="K983" s="59">
        <f>(F983-D983)/7</f>
        <v/>
      </c>
      <c r="L983" s="59">
        <f>K983^2</f>
        <v/>
      </c>
      <c r="M983" s="14">
        <f>IF(F983&lt;=E983,1,0)</f>
        <v/>
      </c>
      <c r="N983" s="14">
        <f>MAX(0,F983-E983)</f>
        <v/>
      </c>
    </row>
    <row r="984">
      <c r="A984" s="14" t="inlineStr">
        <is>
          <t>PO-00983</t>
        </is>
      </c>
      <c r="B984" s="14" t="inlineStr">
        <is>
          <t>S07</t>
        </is>
      </c>
      <c r="C984" s="14" t="inlineStr">
        <is>
          <t>NB-0038</t>
        </is>
      </c>
      <c r="D984" s="26" t="n">
        <v>45856</v>
      </c>
      <c r="E984" s="26" t="n">
        <v>45912</v>
      </c>
      <c r="F984" s="26" t="n">
        <v>45928</v>
      </c>
      <c r="G984" s="14" t="n">
        <v>160</v>
      </c>
      <c r="H984" s="14" t="n">
        <v>160</v>
      </c>
      <c r="I984" s="14" t="n">
        <v>5</v>
      </c>
      <c r="J984" s="58" t="n">
        <v>1840</v>
      </c>
      <c r="K984" s="59">
        <f>(F984-D984)/7</f>
        <v/>
      </c>
      <c r="L984" s="59">
        <f>K984^2</f>
        <v/>
      </c>
      <c r="M984" s="14">
        <f>IF(F984&lt;=E984,1,0)</f>
        <v/>
      </c>
      <c r="N984" s="14">
        <f>MAX(0,F984-E984)</f>
        <v/>
      </c>
    </row>
    <row r="985">
      <c r="A985" s="14" t="inlineStr">
        <is>
          <t>PO-00984</t>
        </is>
      </c>
      <c r="B985" s="14" t="inlineStr">
        <is>
          <t>S07</t>
        </is>
      </c>
      <c r="C985" s="14" t="inlineStr">
        <is>
          <t>NB-0038</t>
        </is>
      </c>
      <c r="D985" s="26" t="n">
        <v>45881</v>
      </c>
      <c r="E985" s="26" t="n">
        <v>45937</v>
      </c>
      <c r="F985" s="26" t="n">
        <v>45934</v>
      </c>
      <c r="G985" s="14" t="n">
        <v>149</v>
      </c>
      <c r="H985" s="14" t="n">
        <v>149</v>
      </c>
      <c r="I985" s="14" t="n">
        <v>4</v>
      </c>
      <c r="J985" s="58" t="n">
        <v>1713.5</v>
      </c>
      <c r="K985" s="59">
        <f>(F985-D985)/7</f>
        <v/>
      </c>
      <c r="L985" s="59">
        <f>K985^2</f>
        <v/>
      </c>
      <c r="M985" s="14">
        <f>IF(F985&lt;=E985,1,0)</f>
        <v/>
      </c>
      <c r="N985" s="14">
        <f>MAX(0,F985-E985)</f>
        <v/>
      </c>
    </row>
    <row r="986">
      <c r="A986" s="14" t="inlineStr">
        <is>
          <t>PO-00985</t>
        </is>
      </c>
      <c r="B986" s="14" t="inlineStr">
        <is>
          <t>S07</t>
        </is>
      </c>
      <c r="C986" s="14" t="inlineStr">
        <is>
          <t>NB-0038</t>
        </is>
      </c>
      <c r="D986" s="26" t="n">
        <v>45911</v>
      </c>
      <c r="E986" s="26" t="n">
        <v>45967</v>
      </c>
      <c r="F986" s="26" t="n">
        <v>45967</v>
      </c>
      <c r="G986" s="14" t="n">
        <v>155</v>
      </c>
      <c r="H986" s="14" t="n">
        <v>155</v>
      </c>
      <c r="I986" s="14" t="n">
        <v>5</v>
      </c>
      <c r="J986" s="58" t="n">
        <v>1782.5</v>
      </c>
      <c r="K986" s="59">
        <f>(F986-D986)/7</f>
        <v/>
      </c>
      <c r="L986" s="59">
        <f>K986^2</f>
        <v/>
      </c>
      <c r="M986" s="14">
        <f>IF(F986&lt;=E986,1,0)</f>
        <v/>
      </c>
      <c r="N986" s="14">
        <f>MAX(0,F986-E986)</f>
        <v/>
      </c>
    </row>
    <row r="987">
      <c r="A987" s="14" t="inlineStr">
        <is>
          <t>PO-00986</t>
        </is>
      </c>
      <c r="B987" s="14" t="inlineStr">
        <is>
          <t>S07</t>
        </is>
      </c>
      <c r="C987" s="14" t="inlineStr">
        <is>
          <t>NB-0038</t>
        </is>
      </c>
      <c r="D987" s="26" t="n">
        <v>45938</v>
      </c>
      <c r="E987" s="26" t="n">
        <v>45994</v>
      </c>
      <c r="F987" s="26" t="n">
        <v>46011</v>
      </c>
      <c r="G987" s="14" t="n">
        <v>136</v>
      </c>
      <c r="H987" s="14" t="n">
        <v>136</v>
      </c>
      <c r="I987" s="14" t="n">
        <v>5</v>
      </c>
      <c r="J987" s="58" t="n">
        <v>1564</v>
      </c>
      <c r="K987" s="59">
        <f>(F987-D987)/7</f>
        <v/>
      </c>
      <c r="L987" s="59">
        <f>K987^2</f>
        <v/>
      </c>
      <c r="M987" s="14">
        <f>IF(F987&lt;=E987,1,0)</f>
        <v/>
      </c>
      <c r="N987" s="14">
        <f>MAX(0,F987-E987)</f>
        <v/>
      </c>
    </row>
    <row r="988">
      <c r="A988" s="14" t="inlineStr">
        <is>
          <t>PO-00987</t>
        </is>
      </c>
      <c r="B988" s="14" t="inlineStr">
        <is>
          <t>S07</t>
        </is>
      </c>
      <c r="C988" s="14" t="inlineStr">
        <is>
          <t>NB-0038</t>
        </is>
      </c>
      <c r="D988" s="26" t="n">
        <v>45965</v>
      </c>
      <c r="E988" s="26" t="n">
        <v>46021</v>
      </c>
      <c r="F988" s="26" t="n">
        <v>46030</v>
      </c>
      <c r="G988" s="14" t="n">
        <v>129</v>
      </c>
      <c r="H988" s="14" t="n">
        <v>129</v>
      </c>
      <c r="I988" s="14" t="n">
        <v>2</v>
      </c>
      <c r="J988" s="58" t="n">
        <v>1483.5</v>
      </c>
      <c r="K988" s="59">
        <f>(F988-D988)/7</f>
        <v/>
      </c>
      <c r="L988" s="59">
        <f>K988^2</f>
        <v/>
      </c>
      <c r="M988" s="14">
        <f>IF(F988&lt;=E988,1,0)</f>
        <v/>
      </c>
      <c r="N988" s="14">
        <f>MAX(0,F988-E988)</f>
        <v/>
      </c>
    </row>
    <row r="989">
      <c r="A989" s="14" t="inlineStr">
        <is>
          <t>PO-00988</t>
        </is>
      </c>
      <c r="B989" s="14" t="inlineStr">
        <is>
          <t>S07</t>
        </is>
      </c>
      <c r="C989" s="14" t="inlineStr">
        <is>
          <t>NB-0038</t>
        </is>
      </c>
      <c r="D989" s="26" t="n">
        <v>45993</v>
      </c>
      <c r="E989" s="26" t="n">
        <v>46049</v>
      </c>
      <c r="F989" s="26" t="n">
        <v>46047</v>
      </c>
      <c r="G989" s="14" t="n">
        <v>166</v>
      </c>
      <c r="H989" s="14" t="n">
        <v>166</v>
      </c>
      <c r="I989" s="14" t="n">
        <v>1</v>
      </c>
      <c r="J989" s="58" t="n">
        <v>1909</v>
      </c>
      <c r="K989" s="59">
        <f>(F989-D989)/7</f>
        <v/>
      </c>
      <c r="L989" s="59">
        <f>K989^2</f>
        <v/>
      </c>
      <c r="M989" s="14">
        <f>IF(F989&lt;=E989,1,0)</f>
        <v/>
      </c>
      <c r="N989" s="14">
        <f>MAX(0,F989-E989)</f>
        <v/>
      </c>
    </row>
    <row r="990">
      <c r="A990" s="14" t="inlineStr">
        <is>
          <t>PO-00989</t>
        </is>
      </c>
      <c r="B990" s="14" t="inlineStr">
        <is>
          <t>S07</t>
        </is>
      </c>
      <c r="C990" s="14" t="inlineStr">
        <is>
          <t>NB-0039</t>
        </is>
      </c>
      <c r="D990" s="26" t="n">
        <v>45295</v>
      </c>
      <c r="E990" s="26" t="n">
        <v>45351</v>
      </c>
      <c r="F990" s="26" t="n">
        <v>45350</v>
      </c>
      <c r="G990" s="14" t="n">
        <v>44</v>
      </c>
      <c r="H990" s="14" t="n">
        <v>44</v>
      </c>
      <c r="I990" s="14" t="n">
        <v>1</v>
      </c>
      <c r="J990" s="58" t="n">
        <v>1262.36</v>
      </c>
      <c r="K990" s="59">
        <f>(F990-D990)/7</f>
        <v/>
      </c>
      <c r="L990" s="59">
        <f>K990^2</f>
        <v/>
      </c>
      <c r="M990" s="14">
        <f>IF(F990&lt;=E990,1,0)</f>
        <v/>
      </c>
      <c r="N990" s="14">
        <f>MAX(0,F990-E990)</f>
        <v/>
      </c>
    </row>
    <row r="991">
      <c r="A991" s="14" t="inlineStr">
        <is>
          <t>PO-00990</t>
        </is>
      </c>
      <c r="B991" s="14" t="inlineStr">
        <is>
          <t>S07</t>
        </is>
      </c>
      <c r="C991" s="14" t="inlineStr">
        <is>
          <t>NB-0039</t>
        </is>
      </c>
      <c r="D991" s="26" t="n">
        <v>45324</v>
      </c>
      <c r="E991" s="26" t="n">
        <v>45380</v>
      </c>
      <c r="F991" s="26" t="n">
        <v>45378</v>
      </c>
      <c r="G991" s="14" t="n">
        <v>38</v>
      </c>
      <c r="H991" s="14" t="n">
        <v>38</v>
      </c>
      <c r="I991" s="14" t="n">
        <v>1</v>
      </c>
      <c r="J991" s="58" t="n">
        <v>1090.22</v>
      </c>
      <c r="K991" s="59">
        <f>(F991-D991)/7</f>
        <v/>
      </c>
      <c r="L991" s="59">
        <f>K991^2</f>
        <v/>
      </c>
      <c r="M991" s="14">
        <f>IF(F991&lt;=E991,1,0)</f>
        <v/>
      </c>
      <c r="N991" s="14">
        <f>MAX(0,F991-E991)</f>
        <v/>
      </c>
    </row>
    <row r="992">
      <c r="A992" s="14" t="inlineStr">
        <is>
          <t>PO-00991</t>
        </is>
      </c>
      <c r="B992" s="14" t="inlineStr">
        <is>
          <t>S07</t>
        </is>
      </c>
      <c r="C992" s="14" t="inlineStr">
        <is>
          <t>NB-0039</t>
        </is>
      </c>
      <c r="D992" s="26" t="n">
        <v>45352</v>
      </c>
      <c r="E992" s="26" t="n">
        <v>45408</v>
      </c>
      <c r="F992" s="26" t="n">
        <v>45406</v>
      </c>
      <c r="G992" s="14" t="n">
        <v>38</v>
      </c>
      <c r="H992" s="14" t="n">
        <v>38</v>
      </c>
      <c r="I992" s="14" t="n">
        <v>0</v>
      </c>
      <c r="J992" s="58" t="n">
        <v>1090.22</v>
      </c>
      <c r="K992" s="59">
        <f>(F992-D992)/7</f>
        <v/>
      </c>
      <c r="L992" s="59">
        <f>K992^2</f>
        <v/>
      </c>
      <c r="M992" s="14">
        <f>IF(F992&lt;=E992,1,0)</f>
        <v/>
      </c>
      <c r="N992" s="14">
        <f>MAX(0,F992-E992)</f>
        <v/>
      </c>
    </row>
    <row r="993">
      <c r="A993" s="14" t="inlineStr">
        <is>
          <t>PO-00992</t>
        </is>
      </c>
      <c r="B993" s="14" t="inlineStr">
        <is>
          <t>S07</t>
        </is>
      </c>
      <c r="C993" s="14" t="inlineStr">
        <is>
          <t>NB-0039</t>
        </is>
      </c>
      <c r="D993" s="26" t="n">
        <v>45376</v>
      </c>
      <c r="E993" s="26" t="n">
        <v>45432</v>
      </c>
      <c r="F993" s="26" t="n">
        <v>45432</v>
      </c>
      <c r="G993" s="14" t="n">
        <v>39</v>
      </c>
      <c r="H993" s="14" t="n">
        <v>39</v>
      </c>
      <c r="I993" s="14" t="n">
        <v>1</v>
      </c>
      <c r="J993" s="58" t="n">
        <v>1118.91</v>
      </c>
      <c r="K993" s="59">
        <f>(F993-D993)/7</f>
        <v/>
      </c>
      <c r="L993" s="59">
        <f>K993^2</f>
        <v/>
      </c>
      <c r="M993" s="14">
        <f>IF(F993&lt;=E993,1,0)</f>
        <v/>
      </c>
      <c r="N993" s="14">
        <f>MAX(0,F993-E993)</f>
        <v/>
      </c>
    </row>
    <row r="994">
      <c r="A994" s="14" t="inlineStr">
        <is>
          <t>PO-00993</t>
        </is>
      </c>
      <c r="B994" s="14" t="inlineStr">
        <is>
          <t>S07</t>
        </is>
      </c>
      <c r="C994" s="14" t="inlineStr">
        <is>
          <t>NB-0039</t>
        </is>
      </c>
      <c r="D994" s="26" t="n">
        <v>45406</v>
      </c>
      <c r="E994" s="26" t="n">
        <v>45462</v>
      </c>
      <c r="F994" s="26" t="n">
        <v>45459</v>
      </c>
      <c r="G994" s="14" t="n">
        <v>46</v>
      </c>
      <c r="H994" s="14" t="n">
        <v>46</v>
      </c>
      <c r="I994" s="14" t="n">
        <v>2</v>
      </c>
      <c r="J994" s="58" t="n">
        <v>1319.74</v>
      </c>
      <c r="K994" s="59">
        <f>(F994-D994)/7</f>
        <v/>
      </c>
      <c r="L994" s="59">
        <f>K994^2</f>
        <v/>
      </c>
      <c r="M994" s="14">
        <f>IF(F994&lt;=E994,1,0)</f>
        <v/>
      </c>
      <c r="N994" s="14">
        <f>MAX(0,F994-E994)</f>
        <v/>
      </c>
    </row>
    <row r="995">
      <c r="A995" s="14" t="inlineStr">
        <is>
          <t>PO-00994</t>
        </is>
      </c>
      <c r="B995" s="14" t="inlineStr">
        <is>
          <t>S07</t>
        </is>
      </c>
      <c r="C995" s="14" t="inlineStr">
        <is>
          <t>NB-0039</t>
        </is>
      </c>
      <c r="D995" s="26" t="n">
        <v>45434</v>
      </c>
      <c r="E995" s="26" t="n">
        <v>45490</v>
      </c>
      <c r="F995" s="26" t="n">
        <v>45489</v>
      </c>
      <c r="G995" s="14" t="n">
        <v>41</v>
      </c>
      <c r="H995" s="14" t="n">
        <v>41</v>
      </c>
      <c r="I995" s="14" t="n">
        <v>0</v>
      </c>
      <c r="J995" s="58" t="n">
        <v>1176.29</v>
      </c>
      <c r="K995" s="59">
        <f>(F995-D995)/7</f>
        <v/>
      </c>
      <c r="L995" s="59">
        <f>K995^2</f>
        <v/>
      </c>
      <c r="M995" s="14">
        <f>IF(F995&lt;=E995,1,0)</f>
        <v/>
      </c>
      <c r="N995" s="14">
        <f>MAX(0,F995-E995)</f>
        <v/>
      </c>
    </row>
    <row r="996">
      <c r="A996" s="14" t="inlineStr">
        <is>
          <t>PO-00995</t>
        </is>
      </c>
      <c r="B996" s="14" t="inlineStr">
        <is>
          <t>S07</t>
        </is>
      </c>
      <c r="C996" s="14" t="inlineStr">
        <is>
          <t>NB-0039</t>
        </is>
      </c>
      <c r="D996" s="26" t="n">
        <v>45464</v>
      </c>
      <c r="E996" s="26" t="n">
        <v>45520</v>
      </c>
      <c r="F996" s="26" t="n">
        <v>45519</v>
      </c>
      <c r="G996" s="14" t="n">
        <v>39</v>
      </c>
      <c r="H996" s="14" t="n">
        <v>39</v>
      </c>
      <c r="I996" s="14" t="n">
        <v>1</v>
      </c>
      <c r="J996" s="58" t="n">
        <v>1118.91</v>
      </c>
      <c r="K996" s="59">
        <f>(F996-D996)/7</f>
        <v/>
      </c>
      <c r="L996" s="59">
        <f>K996^2</f>
        <v/>
      </c>
      <c r="M996" s="14">
        <f>IF(F996&lt;=E996,1,0)</f>
        <v/>
      </c>
      <c r="N996" s="14">
        <f>MAX(0,F996-E996)</f>
        <v/>
      </c>
    </row>
    <row r="997">
      <c r="A997" s="14" t="inlineStr">
        <is>
          <t>PO-00996</t>
        </is>
      </c>
      <c r="B997" s="14" t="inlineStr">
        <is>
          <t>S07</t>
        </is>
      </c>
      <c r="C997" s="14" t="inlineStr">
        <is>
          <t>NB-0039</t>
        </is>
      </c>
      <c r="D997" s="26" t="n">
        <v>45492</v>
      </c>
      <c r="E997" s="26" t="n">
        <v>45548</v>
      </c>
      <c r="F997" s="26" t="n">
        <v>45569</v>
      </c>
      <c r="G997" s="14" t="n">
        <v>44</v>
      </c>
      <c r="H997" s="14" t="n">
        <v>44</v>
      </c>
      <c r="I997" s="14" t="n">
        <v>0</v>
      </c>
      <c r="J997" s="58" t="n">
        <v>1262.36</v>
      </c>
      <c r="K997" s="59">
        <f>(F997-D997)/7</f>
        <v/>
      </c>
      <c r="L997" s="59">
        <f>K997^2</f>
        <v/>
      </c>
      <c r="M997" s="14">
        <f>IF(F997&lt;=E997,1,0)</f>
        <v/>
      </c>
      <c r="N997" s="14">
        <f>MAX(0,F997-E997)</f>
        <v/>
      </c>
    </row>
    <row r="998">
      <c r="A998" s="14" t="inlineStr">
        <is>
          <t>PO-00997</t>
        </is>
      </c>
      <c r="B998" s="14" t="inlineStr">
        <is>
          <t>S07</t>
        </is>
      </c>
      <c r="C998" s="14" t="inlineStr">
        <is>
          <t>NB-0039</t>
        </is>
      </c>
      <c r="D998" s="26" t="n">
        <v>45520</v>
      </c>
      <c r="E998" s="26" t="n">
        <v>45576</v>
      </c>
      <c r="F998" s="26" t="n">
        <v>45583</v>
      </c>
      <c r="G998" s="14" t="n">
        <v>45</v>
      </c>
      <c r="H998" s="14" t="n">
        <v>45</v>
      </c>
      <c r="I998" s="14" t="n">
        <v>2</v>
      </c>
      <c r="J998" s="58" t="n">
        <v>1291.05</v>
      </c>
      <c r="K998" s="59">
        <f>(F998-D998)/7</f>
        <v/>
      </c>
      <c r="L998" s="59">
        <f>K998^2</f>
        <v/>
      </c>
      <c r="M998" s="14">
        <f>IF(F998&lt;=E998,1,0)</f>
        <v/>
      </c>
      <c r="N998" s="14">
        <f>MAX(0,F998-E998)</f>
        <v/>
      </c>
    </row>
    <row r="999">
      <c r="A999" s="14" t="inlineStr">
        <is>
          <t>PO-00998</t>
        </is>
      </c>
      <c r="B999" s="14" t="inlineStr">
        <is>
          <t>S07</t>
        </is>
      </c>
      <c r="C999" s="14" t="inlineStr">
        <is>
          <t>NB-0039</t>
        </is>
      </c>
      <c r="D999" s="26" t="n">
        <v>45548</v>
      </c>
      <c r="E999" s="26" t="n">
        <v>45604</v>
      </c>
      <c r="F999" s="26" t="n">
        <v>45604</v>
      </c>
      <c r="G999" s="14" t="n">
        <v>34</v>
      </c>
      <c r="H999" s="14" t="n">
        <v>34</v>
      </c>
      <c r="I999" s="14" t="n">
        <v>1</v>
      </c>
      <c r="J999" s="58" t="n">
        <v>975.46</v>
      </c>
      <c r="K999" s="59">
        <f>(F999-D999)/7</f>
        <v/>
      </c>
      <c r="L999" s="59">
        <f>K999^2</f>
        <v/>
      </c>
      <c r="M999" s="14">
        <f>IF(F999&lt;=E999,1,0)</f>
        <v/>
      </c>
      <c r="N999" s="14">
        <f>MAX(0,F999-E999)</f>
        <v/>
      </c>
    </row>
    <row r="1000">
      <c r="A1000" s="14" t="inlineStr">
        <is>
          <t>PO-00999</t>
        </is>
      </c>
      <c r="B1000" s="14" t="inlineStr">
        <is>
          <t>S07</t>
        </is>
      </c>
      <c r="C1000" s="14" t="inlineStr">
        <is>
          <t>NB-0039</t>
        </is>
      </c>
      <c r="D1000" s="26" t="n">
        <v>45573</v>
      </c>
      <c r="E1000" s="26" t="n">
        <v>45629</v>
      </c>
      <c r="F1000" s="26" t="n">
        <v>45657</v>
      </c>
      <c r="G1000" s="14" t="n">
        <v>45</v>
      </c>
      <c r="H1000" s="14" t="n">
        <v>45</v>
      </c>
      <c r="I1000" s="14" t="n">
        <v>2</v>
      </c>
      <c r="J1000" s="58" t="n">
        <v>1291.05</v>
      </c>
      <c r="K1000" s="59">
        <f>(F1000-D1000)/7</f>
        <v/>
      </c>
      <c r="L1000" s="59">
        <f>K1000^2</f>
        <v/>
      </c>
      <c r="M1000" s="14">
        <f>IF(F1000&lt;=E1000,1,0)</f>
        <v/>
      </c>
      <c r="N1000" s="14">
        <f>MAX(0,F1000-E1000)</f>
        <v/>
      </c>
    </row>
    <row r="1001">
      <c r="A1001" s="14" t="inlineStr">
        <is>
          <t>PO-01000</t>
        </is>
      </c>
      <c r="B1001" s="14" t="inlineStr">
        <is>
          <t>S07</t>
        </is>
      </c>
      <c r="C1001" s="14" t="inlineStr">
        <is>
          <t>NB-0039</t>
        </is>
      </c>
      <c r="D1001" s="26" t="n">
        <v>45602</v>
      </c>
      <c r="E1001" s="26" t="n">
        <v>45658</v>
      </c>
      <c r="F1001" s="26" t="n">
        <v>45656</v>
      </c>
      <c r="G1001" s="14" t="n">
        <v>39</v>
      </c>
      <c r="H1001" s="14" t="n">
        <v>39</v>
      </c>
      <c r="I1001" s="14" t="n">
        <v>0</v>
      </c>
      <c r="J1001" s="58" t="n">
        <v>1118.91</v>
      </c>
      <c r="K1001" s="59">
        <f>(F1001-D1001)/7</f>
        <v/>
      </c>
      <c r="L1001" s="59">
        <f>K1001^2</f>
        <v/>
      </c>
      <c r="M1001" s="14">
        <f>IF(F1001&lt;=E1001,1,0)</f>
        <v/>
      </c>
      <c r="N1001" s="14">
        <f>MAX(0,F1001-E1001)</f>
        <v/>
      </c>
    </row>
    <row r="1002">
      <c r="A1002" s="14" t="inlineStr">
        <is>
          <t>PO-01001</t>
        </is>
      </c>
      <c r="B1002" s="14" t="inlineStr">
        <is>
          <t>S07</t>
        </is>
      </c>
      <c r="C1002" s="14" t="inlineStr">
        <is>
          <t>NB-0039</t>
        </is>
      </c>
      <c r="D1002" s="26" t="n">
        <v>45629</v>
      </c>
      <c r="E1002" s="26" t="n">
        <v>45685</v>
      </c>
      <c r="F1002" s="26" t="n">
        <v>45682</v>
      </c>
      <c r="G1002" s="14" t="n">
        <v>41</v>
      </c>
      <c r="H1002" s="14" t="n">
        <v>41</v>
      </c>
      <c r="I1002" s="14" t="n">
        <v>3</v>
      </c>
      <c r="J1002" s="58" t="n">
        <v>1176.29</v>
      </c>
      <c r="K1002" s="59">
        <f>(F1002-D1002)/7</f>
        <v/>
      </c>
      <c r="L1002" s="59">
        <f>K1002^2</f>
        <v/>
      </c>
      <c r="M1002" s="14">
        <f>IF(F1002&lt;=E1002,1,0)</f>
        <v/>
      </c>
      <c r="N1002" s="14">
        <f>MAX(0,F1002-E1002)</f>
        <v/>
      </c>
    </row>
    <row r="1003">
      <c r="A1003" s="14" t="inlineStr">
        <is>
          <t>PO-01002</t>
        </is>
      </c>
      <c r="B1003" s="14" t="inlineStr">
        <is>
          <t>S07</t>
        </is>
      </c>
      <c r="C1003" s="14" t="inlineStr">
        <is>
          <t>NB-0039</t>
        </is>
      </c>
      <c r="D1003" s="26" t="n">
        <v>45657</v>
      </c>
      <c r="E1003" s="26" t="n">
        <v>45713</v>
      </c>
      <c r="F1003" s="26" t="n">
        <v>45711</v>
      </c>
      <c r="G1003" s="14" t="n">
        <v>41</v>
      </c>
      <c r="H1003" s="14" t="n">
        <v>41</v>
      </c>
      <c r="I1003" s="14" t="n">
        <v>2</v>
      </c>
      <c r="J1003" s="58" t="n">
        <v>1176.29</v>
      </c>
      <c r="K1003" s="59">
        <f>(F1003-D1003)/7</f>
        <v/>
      </c>
      <c r="L1003" s="59">
        <f>K1003^2</f>
        <v/>
      </c>
      <c r="M1003" s="14">
        <f>IF(F1003&lt;=E1003,1,0)</f>
        <v/>
      </c>
      <c r="N1003" s="14">
        <f>MAX(0,F1003-E1003)</f>
        <v/>
      </c>
    </row>
    <row r="1004">
      <c r="A1004" s="14" t="inlineStr">
        <is>
          <t>PO-01003</t>
        </is>
      </c>
      <c r="B1004" s="14" t="inlineStr">
        <is>
          <t>S07</t>
        </is>
      </c>
      <c r="C1004" s="14" t="inlineStr">
        <is>
          <t>NB-0039</t>
        </is>
      </c>
      <c r="D1004" s="26" t="n">
        <v>45688</v>
      </c>
      <c r="E1004" s="26" t="n">
        <v>45744</v>
      </c>
      <c r="F1004" s="26" t="n">
        <v>45742</v>
      </c>
      <c r="G1004" s="14" t="n">
        <v>37</v>
      </c>
      <c r="H1004" s="14" t="n">
        <v>37</v>
      </c>
      <c r="I1004" s="14" t="n">
        <v>1</v>
      </c>
      <c r="J1004" s="58" t="n">
        <v>1061.53</v>
      </c>
      <c r="K1004" s="59">
        <f>(F1004-D1004)/7</f>
        <v/>
      </c>
      <c r="L1004" s="59">
        <f>K1004^2</f>
        <v/>
      </c>
      <c r="M1004" s="14">
        <f>IF(F1004&lt;=E1004,1,0)</f>
        <v/>
      </c>
      <c r="N1004" s="14">
        <f>MAX(0,F1004-E1004)</f>
        <v/>
      </c>
    </row>
    <row r="1005">
      <c r="A1005" s="14" t="inlineStr">
        <is>
          <t>PO-01004</t>
        </is>
      </c>
      <c r="B1005" s="14" t="inlineStr">
        <is>
          <t>S07</t>
        </is>
      </c>
      <c r="C1005" s="14" t="inlineStr">
        <is>
          <t>NB-0039</t>
        </is>
      </c>
      <c r="D1005" s="26" t="n">
        <v>45714</v>
      </c>
      <c r="E1005" s="26" t="n">
        <v>45770</v>
      </c>
      <c r="F1005" s="26" t="n">
        <v>45767</v>
      </c>
      <c r="G1005" s="14" t="n">
        <v>41</v>
      </c>
      <c r="H1005" s="14" t="n">
        <v>41</v>
      </c>
      <c r="I1005" s="14" t="n">
        <v>1</v>
      </c>
      <c r="J1005" s="58" t="n">
        <v>1176.29</v>
      </c>
      <c r="K1005" s="59">
        <f>(F1005-D1005)/7</f>
        <v/>
      </c>
      <c r="L1005" s="59">
        <f>K1005^2</f>
        <v/>
      </c>
      <c r="M1005" s="14">
        <f>IF(F1005&lt;=E1005,1,0)</f>
        <v/>
      </c>
      <c r="N1005" s="14">
        <f>MAX(0,F1005-E1005)</f>
        <v/>
      </c>
    </row>
    <row r="1006">
      <c r="A1006" s="14" t="inlineStr">
        <is>
          <t>PO-01005</t>
        </is>
      </c>
      <c r="B1006" s="14" t="inlineStr">
        <is>
          <t>S07</t>
        </is>
      </c>
      <c r="C1006" s="14" t="inlineStr">
        <is>
          <t>NB-0039</t>
        </is>
      </c>
      <c r="D1006" s="26" t="n">
        <v>45741</v>
      </c>
      <c r="E1006" s="26" t="n">
        <v>45797</v>
      </c>
      <c r="F1006" s="26" t="n">
        <v>45796</v>
      </c>
      <c r="G1006" s="14" t="n">
        <v>36</v>
      </c>
      <c r="H1006" s="14" t="n">
        <v>36</v>
      </c>
      <c r="I1006" s="14" t="n">
        <v>1</v>
      </c>
      <c r="J1006" s="58" t="n">
        <v>1032.84</v>
      </c>
      <c r="K1006" s="59">
        <f>(F1006-D1006)/7</f>
        <v/>
      </c>
      <c r="L1006" s="59">
        <f>K1006^2</f>
        <v/>
      </c>
      <c r="M1006" s="14">
        <f>IF(F1006&lt;=E1006,1,0)</f>
        <v/>
      </c>
      <c r="N1006" s="14">
        <f>MAX(0,F1006-E1006)</f>
        <v/>
      </c>
    </row>
    <row r="1007">
      <c r="A1007" s="14" t="inlineStr">
        <is>
          <t>PO-01006</t>
        </is>
      </c>
      <c r="B1007" s="14" t="inlineStr">
        <is>
          <t>S07</t>
        </is>
      </c>
      <c r="C1007" s="14" t="inlineStr">
        <is>
          <t>NB-0039</t>
        </is>
      </c>
      <c r="D1007" s="26" t="n">
        <v>45770</v>
      </c>
      <c r="E1007" s="26" t="n">
        <v>45826</v>
      </c>
      <c r="F1007" s="26" t="n">
        <v>45826</v>
      </c>
      <c r="G1007" s="14" t="n">
        <v>37</v>
      </c>
      <c r="H1007" s="14" t="n">
        <v>37</v>
      </c>
      <c r="I1007" s="14" t="n">
        <v>1</v>
      </c>
      <c r="J1007" s="58" t="n">
        <v>1061.53</v>
      </c>
      <c r="K1007" s="59">
        <f>(F1007-D1007)/7</f>
        <v/>
      </c>
      <c r="L1007" s="59">
        <f>K1007^2</f>
        <v/>
      </c>
      <c r="M1007" s="14">
        <f>IF(F1007&lt;=E1007,1,0)</f>
        <v/>
      </c>
      <c r="N1007" s="14">
        <f>MAX(0,F1007-E1007)</f>
        <v/>
      </c>
    </row>
    <row r="1008">
      <c r="A1008" s="14" t="inlineStr">
        <is>
          <t>PO-01007</t>
        </is>
      </c>
      <c r="B1008" s="14" t="inlineStr">
        <is>
          <t>S07</t>
        </is>
      </c>
      <c r="C1008" s="14" t="inlineStr">
        <is>
          <t>NB-0039</t>
        </is>
      </c>
      <c r="D1008" s="26" t="n">
        <v>45799</v>
      </c>
      <c r="E1008" s="26" t="n">
        <v>45855</v>
      </c>
      <c r="F1008" s="26" t="n">
        <v>45854</v>
      </c>
      <c r="G1008" s="14" t="n">
        <v>39</v>
      </c>
      <c r="H1008" s="14" t="n">
        <v>39</v>
      </c>
      <c r="I1008" s="14" t="n">
        <v>3</v>
      </c>
      <c r="J1008" s="58" t="n">
        <v>1118.91</v>
      </c>
      <c r="K1008" s="59">
        <f>(F1008-D1008)/7</f>
        <v/>
      </c>
      <c r="L1008" s="59">
        <f>K1008^2</f>
        <v/>
      </c>
      <c r="M1008" s="14">
        <f>IF(F1008&lt;=E1008,1,0)</f>
        <v/>
      </c>
      <c r="N1008" s="14">
        <f>MAX(0,F1008-E1008)</f>
        <v/>
      </c>
    </row>
    <row r="1009">
      <c r="A1009" s="14" t="inlineStr">
        <is>
          <t>PO-01008</t>
        </is>
      </c>
      <c r="B1009" s="14" t="inlineStr">
        <is>
          <t>S07</t>
        </is>
      </c>
      <c r="C1009" s="14" t="inlineStr">
        <is>
          <t>NB-0039</t>
        </is>
      </c>
      <c r="D1009" s="26" t="n">
        <v>45825</v>
      </c>
      <c r="E1009" s="26" t="n">
        <v>45881</v>
      </c>
      <c r="F1009" s="26" t="n">
        <v>45878</v>
      </c>
      <c r="G1009" s="14" t="n">
        <v>36</v>
      </c>
      <c r="H1009" s="14" t="n">
        <v>36</v>
      </c>
      <c r="I1009" s="14" t="n">
        <v>0</v>
      </c>
      <c r="J1009" s="58" t="n">
        <v>1032.84</v>
      </c>
      <c r="K1009" s="59">
        <f>(F1009-D1009)/7</f>
        <v/>
      </c>
      <c r="L1009" s="59">
        <f>K1009^2</f>
        <v/>
      </c>
      <c r="M1009" s="14">
        <f>IF(F1009&lt;=E1009,1,0)</f>
        <v/>
      </c>
      <c r="N1009" s="14">
        <f>MAX(0,F1009-E1009)</f>
        <v/>
      </c>
    </row>
    <row r="1010">
      <c r="A1010" s="14" t="inlineStr">
        <is>
          <t>PO-01009</t>
        </is>
      </c>
      <c r="B1010" s="14" t="inlineStr">
        <is>
          <t>S07</t>
        </is>
      </c>
      <c r="C1010" s="14" t="inlineStr">
        <is>
          <t>NB-0039</t>
        </is>
      </c>
      <c r="D1010" s="26" t="n">
        <v>45852</v>
      </c>
      <c r="E1010" s="26" t="n">
        <v>45908</v>
      </c>
      <c r="F1010" s="26" t="n">
        <v>45908</v>
      </c>
      <c r="G1010" s="14" t="n">
        <v>34</v>
      </c>
      <c r="H1010" s="14" t="n">
        <v>34</v>
      </c>
      <c r="I1010" s="14" t="n">
        <v>0</v>
      </c>
      <c r="J1010" s="58" t="n">
        <v>975.46</v>
      </c>
      <c r="K1010" s="59">
        <f>(F1010-D1010)/7</f>
        <v/>
      </c>
      <c r="L1010" s="59">
        <f>K1010^2</f>
        <v/>
      </c>
      <c r="M1010" s="14">
        <f>IF(F1010&lt;=E1010,1,0)</f>
        <v/>
      </c>
      <c r="N1010" s="14">
        <f>MAX(0,F1010-E1010)</f>
        <v/>
      </c>
    </row>
    <row r="1011">
      <c r="A1011" s="14" t="inlineStr">
        <is>
          <t>PO-01010</t>
        </is>
      </c>
      <c r="B1011" s="14" t="inlineStr">
        <is>
          <t>S07</t>
        </is>
      </c>
      <c r="C1011" s="14" t="inlineStr">
        <is>
          <t>NB-0039</t>
        </is>
      </c>
      <c r="D1011" s="26" t="n">
        <v>45880</v>
      </c>
      <c r="E1011" s="26" t="n">
        <v>45936</v>
      </c>
      <c r="F1011" s="26" t="n">
        <v>45933</v>
      </c>
      <c r="G1011" s="14" t="n">
        <v>45</v>
      </c>
      <c r="H1011" s="14" t="n">
        <v>45</v>
      </c>
      <c r="I1011" s="14" t="n">
        <v>1</v>
      </c>
      <c r="J1011" s="58" t="n">
        <v>1291.05</v>
      </c>
      <c r="K1011" s="59">
        <f>(F1011-D1011)/7</f>
        <v/>
      </c>
      <c r="L1011" s="59">
        <f>K1011^2</f>
        <v/>
      </c>
      <c r="M1011" s="14">
        <f>IF(F1011&lt;=E1011,1,0)</f>
        <v/>
      </c>
      <c r="N1011" s="14">
        <f>MAX(0,F1011-E1011)</f>
        <v/>
      </c>
    </row>
    <row r="1012">
      <c r="A1012" s="14" t="inlineStr">
        <is>
          <t>PO-01011</t>
        </is>
      </c>
      <c r="B1012" s="14" t="inlineStr">
        <is>
          <t>S07</t>
        </is>
      </c>
      <c r="C1012" s="14" t="inlineStr">
        <is>
          <t>NB-0039</t>
        </is>
      </c>
      <c r="D1012" s="26" t="n">
        <v>45911</v>
      </c>
      <c r="E1012" s="26" t="n">
        <v>45967</v>
      </c>
      <c r="F1012" s="26" t="n">
        <v>45967</v>
      </c>
      <c r="G1012" s="14" t="n">
        <v>38</v>
      </c>
      <c r="H1012" s="14" t="n">
        <v>38</v>
      </c>
      <c r="I1012" s="14" t="n">
        <v>1</v>
      </c>
      <c r="J1012" s="58" t="n">
        <v>1090.22</v>
      </c>
      <c r="K1012" s="59">
        <f>(F1012-D1012)/7</f>
        <v/>
      </c>
      <c r="L1012" s="59">
        <f>K1012^2</f>
        <v/>
      </c>
      <c r="M1012" s="14">
        <f>IF(F1012&lt;=E1012,1,0)</f>
        <v/>
      </c>
      <c r="N1012" s="14">
        <f>MAX(0,F1012-E1012)</f>
        <v/>
      </c>
    </row>
    <row r="1013">
      <c r="A1013" s="14" t="inlineStr">
        <is>
          <t>PO-01012</t>
        </is>
      </c>
      <c r="B1013" s="14" t="inlineStr">
        <is>
          <t>S07</t>
        </is>
      </c>
      <c r="C1013" s="14" t="inlineStr">
        <is>
          <t>NB-0039</t>
        </is>
      </c>
      <c r="D1013" s="26" t="n">
        <v>45940</v>
      </c>
      <c r="E1013" s="26" t="n">
        <v>45996</v>
      </c>
      <c r="F1013" s="26" t="n">
        <v>45993</v>
      </c>
      <c r="G1013" s="14" t="n">
        <v>42</v>
      </c>
      <c r="H1013" s="14" t="n">
        <v>42</v>
      </c>
      <c r="I1013" s="14" t="n">
        <v>2</v>
      </c>
      <c r="J1013" s="58" t="n">
        <v>1204.98</v>
      </c>
      <c r="K1013" s="59">
        <f>(F1013-D1013)/7</f>
        <v/>
      </c>
      <c r="L1013" s="59">
        <f>K1013^2</f>
        <v/>
      </c>
      <c r="M1013" s="14">
        <f>IF(F1013&lt;=E1013,1,0)</f>
        <v/>
      </c>
      <c r="N1013" s="14">
        <f>MAX(0,F1013-E1013)</f>
        <v/>
      </c>
    </row>
    <row r="1014">
      <c r="A1014" s="14" t="inlineStr">
        <is>
          <t>PO-01013</t>
        </is>
      </c>
      <c r="B1014" s="14" t="inlineStr">
        <is>
          <t>S07</t>
        </is>
      </c>
      <c r="C1014" s="14" t="inlineStr">
        <is>
          <t>NB-0039</t>
        </is>
      </c>
      <c r="D1014" s="26" t="n">
        <v>45967</v>
      </c>
      <c r="E1014" s="26" t="n">
        <v>46023</v>
      </c>
      <c r="F1014" s="26" t="n">
        <v>46039</v>
      </c>
      <c r="G1014" s="14" t="n">
        <v>46</v>
      </c>
      <c r="H1014" s="14" t="n">
        <v>46</v>
      </c>
      <c r="I1014" s="14" t="n">
        <v>0</v>
      </c>
      <c r="J1014" s="58" t="n">
        <v>1319.74</v>
      </c>
      <c r="K1014" s="59">
        <f>(F1014-D1014)/7</f>
        <v/>
      </c>
      <c r="L1014" s="59">
        <f>K1014^2</f>
        <v/>
      </c>
      <c r="M1014" s="14">
        <f>IF(F1014&lt;=E1014,1,0)</f>
        <v/>
      </c>
      <c r="N1014" s="14">
        <f>MAX(0,F1014-E1014)</f>
        <v/>
      </c>
    </row>
    <row r="1015">
      <c r="A1015" s="14" t="inlineStr">
        <is>
          <t>PO-01014</t>
        </is>
      </c>
      <c r="B1015" s="14" t="inlineStr">
        <is>
          <t>S07</t>
        </is>
      </c>
      <c r="C1015" s="14" t="inlineStr">
        <is>
          <t>NB-0039</t>
        </is>
      </c>
      <c r="D1015" s="26" t="n">
        <v>45994</v>
      </c>
      <c r="E1015" s="26" t="n">
        <v>46050</v>
      </c>
      <c r="F1015" s="26" t="n">
        <v>46049</v>
      </c>
      <c r="G1015" s="14" t="n">
        <v>43</v>
      </c>
      <c r="H1015" s="14" t="n">
        <v>43</v>
      </c>
      <c r="I1015" s="14" t="n">
        <v>2</v>
      </c>
      <c r="J1015" s="58" t="n">
        <v>1233.67</v>
      </c>
      <c r="K1015" s="59">
        <f>(F1015-D1015)/7</f>
        <v/>
      </c>
      <c r="L1015" s="59">
        <f>K1015^2</f>
        <v/>
      </c>
      <c r="M1015" s="14">
        <f>IF(F1015&lt;=E1015,1,0)</f>
        <v/>
      </c>
      <c r="N1015" s="14">
        <f>MAX(0,F1015-E1015)</f>
        <v/>
      </c>
    </row>
    <row r="1016">
      <c r="A1016" s="14" t="inlineStr">
        <is>
          <t>PO-01015</t>
        </is>
      </c>
      <c r="B1016" s="14" t="inlineStr">
        <is>
          <t>S04</t>
        </is>
      </c>
      <c r="C1016" s="14" t="inlineStr">
        <is>
          <t>NB-0040</t>
        </is>
      </c>
      <c r="D1016" s="26" t="n">
        <v>45294</v>
      </c>
      <c r="E1016" s="26" t="n">
        <v>45322</v>
      </c>
      <c r="F1016" s="26" t="n">
        <v>45319</v>
      </c>
      <c r="G1016" s="14" t="n">
        <v>82</v>
      </c>
      <c r="H1016" s="14" t="n">
        <v>82</v>
      </c>
      <c r="I1016" s="14" t="n">
        <v>1</v>
      </c>
      <c r="J1016" s="58" t="n">
        <v>643.7</v>
      </c>
      <c r="K1016" s="59">
        <f>(F1016-D1016)/7</f>
        <v/>
      </c>
      <c r="L1016" s="59">
        <f>K1016^2</f>
        <v/>
      </c>
      <c r="M1016" s="14">
        <f>IF(F1016&lt;=E1016,1,0)</f>
        <v/>
      </c>
      <c r="N1016" s="14">
        <f>MAX(0,F1016-E1016)</f>
        <v/>
      </c>
    </row>
    <row r="1017">
      <c r="A1017" s="14" t="inlineStr">
        <is>
          <t>PO-01016</t>
        </is>
      </c>
      <c r="B1017" s="14" t="inlineStr">
        <is>
          <t>S04</t>
        </is>
      </c>
      <c r="C1017" s="14" t="inlineStr">
        <is>
          <t>NB-0040</t>
        </is>
      </c>
      <c r="D1017" s="26" t="n">
        <v>45322</v>
      </c>
      <c r="E1017" s="26" t="n">
        <v>45350</v>
      </c>
      <c r="F1017" s="26" t="n">
        <v>45348</v>
      </c>
      <c r="G1017" s="14" t="n">
        <v>66</v>
      </c>
      <c r="H1017" s="14" t="n">
        <v>66</v>
      </c>
      <c r="I1017" s="14" t="n">
        <v>1</v>
      </c>
      <c r="J1017" s="58" t="n">
        <v>518.1</v>
      </c>
      <c r="K1017" s="59">
        <f>(F1017-D1017)/7</f>
        <v/>
      </c>
      <c r="L1017" s="59">
        <f>K1017^2</f>
        <v/>
      </c>
      <c r="M1017" s="14">
        <f>IF(F1017&lt;=E1017,1,0)</f>
        <v/>
      </c>
      <c r="N1017" s="14">
        <f>MAX(0,F1017-E1017)</f>
        <v/>
      </c>
    </row>
    <row r="1018">
      <c r="A1018" s="14" t="inlineStr">
        <is>
          <t>PO-01017</t>
        </is>
      </c>
      <c r="B1018" s="14" t="inlineStr">
        <is>
          <t>S04</t>
        </is>
      </c>
      <c r="C1018" s="14" t="inlineStr">
        <is>
          <t>NB-0040</t>
        </is>
      </c>
      <c r="D1018" s="26" t="n">
        <v>45352</v>
      </c>
      <c r="E1018" s="26" t="n">
        <v>45380</v>
      </c>
      <c r="F1018" s="26" t="n">
        <v>45377</v>
      </c>
      <c r="G1018" s="14" t="n">
        <v>78</v>
      </c>
      <c r="H1018" s="14" t="n">
        <v>78</v>
      </c>
      <c r="I1018" s="14" t="n">
        <v>0</v>
      </c>
      <c r="J1018" s="58" t="n">
        <v>612.3</v>
      </c>
      <c r="K1018" s="59">
        <f>(F1018-D1018)/7</f>
        <v/>
      </c>
      <c r="L1018" s="59">
        <f>K1018^2</f>
        <v/>
      </c>
      <c r="M1018" s="14">
        <f>IF(F1018&lt;=E1018,1,0)</f>
        <v/>
      </c>
      <c r="N1018" s="14">
        <f>MAX(0,F1018-E1018)</f>
        <v/>
      </c>
    </row>
    <row r="1019">
      <c r="A1019" s="14" t="inlineStr">
        <is>
          <t>PO-01018</t>
        </is>
      </c>
      <c r="B1019" s="14" t="inlineStr">
        <is>
          <t>S04</t>
        </is>
      </c>
      <c r="C1019" s="14" t="inlineStr">
        <is>
          <t>NB-0040</t>
        </is>
      </c>
      <c r="D1019" s="26" t="n">
        <v>45378</v>
      </c>
      <c r="E1019" s="26" t="n">
        <v>45406</v>
      </c>
      <c r="F1019" s="26" t="n">
        <v>45406</v>
      </c>
      <c r="G1019" s="14" t="n">
        <v>76</v>
      </c>
      <c r="H1019" s="14" t="n">
        <v>76</v>
      </c>
      <c r="I1019" s="14" t="n">
        <v>0</v>
      </c>
      <c r="J1019" s="58" t="n">
        <v>596.6</v>
      </c>
      <c r="K1019" s="59">
        <f>(F1019-D1019)/7</f>
        <v/>
      </c>
      <c r="L1019" s="59">
        <f>K1019^2</f>
        <v/>
      </c>
      <c r="M1019" s="14">
        <f>IF(F1019&lt;=E1019,1,0)</f>
        <v/>
      </c>
      <c r="N1019" s="14">
        <f>MAX(0,F1019-E1019)</f>
        <v/>
      </c>
    </row>
    <row r="1020">
      <c r="A1020" s="14" t="inlineStr">
        <is>
          <t>PO-01019</t>
        </is>
      </c>
      <c r="B1020" s="14" t="inlineStr">
        <is>
          <t>S04</t>
        </is>
      </c>
      <c r="C1020" s="14" t="inlineStr">
        <is>
          <t>NB-0040</t>
        </is>
      </c>
      <c r="D1020" s="26" t="n">
        <v>45406</v>
      </c>
      <c r="E1020" s="26" t="n">
        <v>45434</v>
      </c>
      <c r="F1020" s="26" t="n">
        <v>45433</v>
      </c>
      <c r="G1020" s="14" t="n">
        <v>75</v>
      </c>
      <c r="H1020" s="14" t="n">
        <v>65</v>
      </c>
      <c r="I1020" s="14" t="n">
        <v>3</v>
      </c>
      <c r="J1020" s="58" t="n">
        <v>588.75</v>
      </c>
      <c r="K1020" s="59">
        <f>(F1020-D1020)/7</f>
        <v/>
      </c>
      <c r="L1020" s="59">
        <f>K1020^2</f>
        <v/>
      </c>
      <c r="M1020" s="14">
        <f>IF(F1020&lt;=E1020,1,0)</f>
        <v/>
      </c>
      <c r="N1020" s="14">
        <f>MAX(0,F1020-E1020)</f>
        <v/>
      </c>
    </row>
    <row r="1021">
      <c r="A1021" s="14" t="inlineStr">
        <is>
          <t>PO-01020</t>
        </is>
      </c>
      <c r="B1021" s="14" t="inlineStr">
        <is>
          <t>S04</t>
        </is>
      </c>
      <c r="C1021" s="14" t="inlineStr">
        <is>
          <t>NB-0040</t>
        </is>
      </c>
      <c r="D1021" s="26" t="n">
        <v>45433</v>
      </c>
      <c r="E1021" s="26" t="n">
        <v>45461</v>
      </c>
      <c r="F1021" s="26" t="n">
        <v>45461</v>
      </c>
      <c r="G1021" s="14" t="n">
        <v>86</v>
      </c>
      <c r="H1021" s="14" t="n">
        <v>86</v>
      </c>
      <c r="I1021" s="14" t="n">
        <v>2</v>
      </c>
      <c r="J1021" s="58" t="n">
        <v>675.1</v>
      </c>
      <c r="K1021" s="59">
        <f>(F1021-D1021)/7</f>
        <v/>
      </c>
      <c r="L1021" s="59">
        <f>K1021^2</f>
        <v/>
      </c>
      <c r="M1021" s="14">
        <f>IF(F1021&lt;=E1021,1,0)</f>
        <v/>
      </c>
      <c r="N1021" s="14">
        <f>MAX(0,F1021-E1021)</f>
        <v/>
      </c>
    </row>
    <row r="1022">
      <c r="A1022" s="14" t="inlineStr">
        <is>
          <t>PO-01021</t>
        </is>
      </c>
      <c r="B1022" s="14" t="inlineStr">
        <is>
          <t>S04</t>
        </is>
      </c>
      <c r="C1022" s="14" t="inlineStr">
        <is>
          <t>NB-0040</t>
        </is>
      </c>
      <c r="D1022" s="26" t="n">
        <v>45463</v>
      </c>
      <c r="E1022" s="26" t="n">
        <v>45491</v>
      </c>
      <c r="F1022" s="26" t="n">
        <v>45490</v>
      </c>
      <c r="G1022" s="14" t="n">
        <v>74</v>
      </c>
      <c r="H1022" s="14" t="n">
        <v>74</v>
      </c>
      <c r="I1022" s="14" t="n">
        <v>0</v>
      </c>
      <c r="J1022" s="58" t="n">
        <v>580.9</v>
      </c>
      <c r="K1022" s="59">
        <f>(F1022-D1022)/7</f>
        <v/>
      </c>
      <c r="L1022" s="59">
        <f>K1022^2</f>
        <v/>
      </c>
      <c r="M1022" s="14">
        <f>IF(F1022&lt;=E1022,1,0)</f>
        <v/>
      </c>
      <c r="N1022" s="14">
        <f>MAX(0,F1022-E1022)</f>
        <v/>
      </c>
    </row>
    <row r="1023">
      <c r="A1023" s="14" t="inlineStr">
        <is>
          <t>PO-01022</t>
        </is>
      </c>
      <c r="B1023" s="14" t="inlineStr">
        <is>
          <t>S04</t>
        </is>
      </c>
      <c r="C1023" s="14" t="inlineStr">
        <is>
          <t>NB-0040</t>
        </is>
      </c>
      <c r="D1023" s="26" t="n">
        <v>45491</v>
      </c>
      <c r="E1023" s="26" t="n">
        <v>45519</v>
      </c>
      <c r="F1023" s="26" t="n">
        <v>45516</v>
      </c>
      <c r="G1023" s="14" t="n">
        <v>73</v>
      </c>
      <c r="H1023" s="14" t="n">
        <v>73</v>
      </c>
      <c r="I1023" s="14" t="n">
        <v>0</v>
      </c>
      <c r="J1023" s="58" t="n">
        <v>573.05</v>
      </c>
      <c r="K1023" s="59">
        <f>(F1023-D1023)/7</f>
        <v/>
      </c>
      <c r="L1023" s="59">
        <f>K1023^2</f>
        <v/>
      </c>
      <c r="M1023" s="14">
        <f>IF(F1023&lt;=E1023,1,0)</f>
        <v/>
      </c>
      <c r="N1023" s="14">
        <f>MAX(0,F1023-E1023)</f>
        <v/>
      </c>
    </row>
    <row r="1024">
      <c r="A1024" s="14" t="inlineStr">
        <is>
          <t>PO-01023</t>
        </is>
      </c>
      <c r="B1024" s="14" t="inlineStr">
        <is>
          <t>S04</t>
        </is>
      </c>
      <c r="C1024" s="14" t="inlineStr">
        <is>
          <t>NB-0040</t>
        </is>
      </c>
      <c r="D1024" s="26" t="n">
        <v>45517</v>
      </c>
      <c r="E1024" s="26" t="n">
        <v>45545</v>
      </c>
      <c r="F1024" s="26" t="n">
        <v>45543</v>
      </c>
      <c r="G1024" s="14" t="n">
        <v>85</v>
      </c>
      <c r="H1024" s="14" t="n">
        <v>85</v>
      </c>
      <c r="I1024" s="14" t="n">
        <v>2</v>
      </c>
      <c r="J1024" s="58" t="n">
        <v>667.25</v>
      </c>
      <c r="K1024" s="59">
        <f>(F1024-D1024)/7</f>
        <v/>
      </c>
      <c r="L1024" s="59">
        <f>K1024^2</f>
        <v/>
      </c>
      <c r="M1024" s="14">
        <f>IF(F1024&lt;=E1024,1,0)</f>
        <v/>
      </c>
      <c r="N1024" s="14">
        <f>MAX(0,F1024-E1024)</f>
        <v/>
      </c>
    </row>
    <row r="1025">
      <c r="A1025" s="14" t="inlineStr">
        <is>
          <t>PO-01024</t>
        </is>
      </c>
      <c r="B1025" s="14" t="inlineStr">
        <is>
          <t>S04</t>
        </is>
      </c>
      <c r="C1025" s="14" t="inlineStr">
        <is>
          <t>NB-0040</t>
        </is>
      </c>
      <c r="D1025" s="26" t="n">
        <v>45544</v>
      </c>
      <c r="E1025" s="26" t="n">
        <v>45572</v>
      </c>
      <c r="F1025" s="26" t="n">
        <v>45571</v>
      </c>
      <c r="G1025" s="14" t="n">
        <v>74</v>
      </c>
      <c r="H1025" s="14" t="n">
        <v>74</v>
      </c>
      <c r="I1025" s="14" t="n">
        <v>0</v>
      </c>
      <c r="J1025" s="58" t="n">
        <v>580.9</v>
      </c>
      <c r="K1025" s="59">
        <f>(F1025-D1025)/7</f>
        <v/>
      </c>
      <c r="L1025" s="59">
        <f>K1025^2</f>
        <v/>
      </c>
      <c r="M1025" s="14">
        <f>IF(F1025&lt;=E1025,1,0)</f>
        <v/>
      </c>
      <c r="N1025" s="14">
        <f>MAX(0,F1025-E1025)</f>
        <v/>
      </c>
    </row>
    <row r="1026">
      <c r="A1026" s="14" t="inlineStr">
        <is>
          <t>PO-01025</t>
        </is>
      </c>
      <c r="B1026" s="14" t="inlineStr">
        <is>
          <t>S04</t>
        </is>
      </c>
      <c r="C1026" s="14" t="inlineStr">
        <is>
          <t>NB-0040</t>
        </is>
      </c>
      <c r="D1026" s="26" t="n">
        <v>45576</v>
      </c>
      <c r="E1026" s="26" t="n">
        <v>45604</v>
      </c>
      <c r="F1026" s="26" t="n">
        <v>45601</v>
      </c>
      <c r="G1026" s="14" t="n">
        <v>69</v>
      </c>
      <c r="H1026" s="14" t="n">
        <v>69</v>
      </c>
      <c r="I1026" s="14" t="n">
        <v>1</v>
      </c>
      <c r="J1026" s="58" t="n">
        <v>541.65</v>
      </c>
      <c r="K1026" s="59">
        <f>(F1026-D1026)/7</f>
        <v/>
      </c>
      <c r="L1026" s="59">
        <f>K1026^2</f>
        <v/>
      </c>
      <c r="M1026" s="14">
        <f>IF(F1026&lt;=E1026,1,0)</f>
        <v/>
      </c>
      <c r="N1026" s="14">
        <f>MAX(0,F1026-E1026)</f>
        <v/>
      </c>
    </row>
    <row r="1027">
      <c r="A1027" s="14" t="inlineStr">
        <is>
          <t>PO-01026</t>
        </is>
      </c>
      <c r="B1027" s="14" t="inlineStr">
        <is>
          <t>S04</t>
        </is>
      </c>
      <c r="C1027" s="14" t="inlineStr">
        <is>
          <t>NB-0040</t>
        </is>
      </c>
      <c r="D1027" s="26" t="n">
        <v>45603</v>
      </c>
      <c r="E1027" s="26" t="n">
        <v>45631</v>
      </c>
      <c r="F1027" s="26" t="n">
        <v>45629</v>
      </c>
      <c r="G1027" s="14" t="n">
        <v>73</v>
      </c>
      <c r="H1027" s="14" t="n">
        <v>73</v>
      </c>
      <c r="I1027" s="14" t="n">
        <v>2</v>
      </c>
      <c r="J1027" s="58" t="n">
        <v>573.05</v>
      </c>
      <c r="K1027" s="59">
        <f>(F1027-D1027)/7</f>
        <v/>
      </c>
      <c r="L1027" s="59">
        <f>K1027^2</f>
        <v/>
      </c>
      <c r="M1027" s="14">
        <f>IF(F1027&lt;=E1027,1,0)</f>
        <v/>
      </c>
      <c r="N1027" s="14">
        <f>MAX(0,F1027-E1027)</f>
        <v/>
      </c>
    </row>
    <row r="1028">
      <c r="A1028" s="14" t="inlineStr">
        <is>
          <t>PO-01027</t>
        </is>
      </c>
      <c r="B1028" s="14" t="inlineStr">
        <is>
          <t>S04</t>
        </is>
      </c>
      <c r="C1028" s="14" t="inlineStr">
        <is>
          <t>NB-0040</t>
        </is>
      </c>
      <c r="D1028" s="26" t="n">
        <v>45630</v>
      </c>
      <c r="E1028" s="26" t="n">
        <v>45658</v>
      </c>
      <c r="F1028" s="26" t="n">
        <v>45657</v>
      </c>
      <c r="G1028" s="14" t="n">
        <v>66</v>
      </c>
      <c r="H1028" s="14" t="n">
        <v>66</v>
      </c>
      <c r="I1028" s="14" t="n">
        <v>1</v>
      </c>
      <c r="J1028" s="58" t="n">
        <v>518.1</v>
      </c>
      <c r="K1028" s="59">
        <f>(F1028-D1028)/7</f>
        <v/>
      </c>
      <c r="L1028" s="59">
        <f>K1028^2</f>
        <v/>
      </c>
      <c r="M1028" s="14">
        <f>IF(F1028&lt;=E1028,1,0)</f>
        <v/>
      </c>
      <c r="N1028" s="14">
        <f>MAX(0,F1028-E1028)</f>
        <v/>
      </c>
    </row>
    <row r="1029">
      <c r="A1029" s="14" t="inlineStr">
        <is>
          <t>PO-01028</t>
        </is>
      </c>
      <c r="B1029" s="14" t="inlineStr">
        <is>
          <t>S04</t>
        </is>
      </c>
      <c r="C1029" s="14" t="inlineStr">
        <is>
          <t>NB-0040</t>
        </is>
      </c>
      <c r="D1029" s="26" t="n">
        <v>45657</v>
      </c>
      <c r="E1029" s="26" t="n">
        <v>45685</v>
      </c>
      <c r="F1029" s="26" t="n">
        <v>45683</v>
      </c>
      <c r="G1029" s="14" t="n">
        <v>68</v>
      </c>
      <c r="H1029" s="14" t="n">
        <v>68</v>
      </c>
      <c r="I1029" s="14" t="n">
        <v>1</v>
      </c>
      <c r="J1029" s="58" t="n">
        <v>533.8</v>
      </c>
      <c r="K1029" s="59">
        <f>(F1029-D1029)/7</f>
        <v/>
      </c>
      <c r="L1029" s="59">
        <f>K1029^2</f>
        <v/>
      </c>
      <c r="M1029" s="14">
        <f>IF(F1029&lt;=E1029,1,0)</f>
        <v/>
      </c>
      <c r="N1029" s="14">
        <f>MAX(0,F1029-E1029)</f>
        <v/>
      </c>
    </row>
    <row r="1030">
      <c r="A1030" s="14" t="inlineStr">
        <is>
          <t>PO-01029</t>
        </is>
      </c>
      <c r="B1030" s="14" t="inlineStr">
        <is>
          <t>S04</t>
        </is>
      </c>
      <c r="C1030" s="14" t="inlineStr">
        <is>
          <t>NB-0040</t>
        </is>
      </c>
      <c r="D1030" s="26" t="n">
        <v>45686</v>
      </c>
      <c r="E1030" s="26" t="n">
        <v>45714</v>
      </c>
      <c r="F1030" s="26" t="n">
        <v>45714</v>
      </c>
      <c r="G1030" s="14" t="n">
        <v>62</v>
      </c>
      <c r="H1030" s="14" t="n">
        <v>62</v>
      </c>
      <c r="I1030" s="14" t="n">
        <v>0</v>
      </c>
      <c r="J1030" s="58" t="n">
        <v>486.7</v>
      </c>
      <c r="K1030" s="59">
        <f>(F1030-D1030)/7</f>
        <v/>
      </c>
      <c r="L1030" s="59">
        <f>K1030^2</f>
        <v/>
      </c>
      <c r="M1030" s="14">
        <f>IF(F1030&lt;=E1030,1,0)</f>
        <v/>
      </c>
      <c r="N1030" s="14">
        <f>MAX(0,F1030-E1030)</f>
        <v/>
      </c>
    </row>
    <row r="1031">
      <c r="A1031" s="14" t="inlineStr">
        <is>
          <t>PO-01030</t>
        </is>
      </c>
      <c r="B1031" s="14" t="inlineStr">
        <is>
          <t>S04</t>
        </is>
      </c>
      <c r="C1031" s="14" t="inlineStr">
        <is>
          <t>NB-0040</t>
        </is>
      </c>
      <c r="D1031" s="26" t="n">
        <v>45714</v>
      </c>
      <c r="E1031" s="26" t="n">
        <v>45742</v>
      </c>
      <c r="F1031" s="26" t="n">
        <v>45746</v>
      </c>
      <c r="G1031" s="14" t="n">
        <v>69</v>
      </c>
      <c r="H1031" s="14" t="n">
        <v>69</v>
      </c>
      <c r="I1031" s="14" t="n">
        <v>1</v>
      </c>
      <c r="J1031" s="58" t="n">
        <v>541.65</v>
      </c>
      <c r="K1031" s="59">
        <f>(F1031-D1031)/7</f>
        <v/>
      </c>
      <c r="L1031" s="59">
        <f>K1031^2</f>
        <v/>
      </c>
      <c r="M1031" s="14">
        <f>IF(F1031&lt;=E1031,1,0)</f>
        <v/>
      </c>
      <c r="N1031" s="14">
        <f>MAX(0,F1031-E1031)</f>
        <v/>
      </c>
    </row>
    <row r="1032">
      <c r="A1032" s="14" t="inlineStr">
        <is>
          <t>PO-01031</t>
        </is>
      </c>
      <c r="B1032" s="14" t="inlineStr">
        <is>
          <t>S04</t>
        </is>
      </c>
      <c r="C1032" s="14" t="inlineStr">
        <is>
          <t>NB-0040</t>
        </is>
      </c>
      <c r="D1032" s="26" t="n">
        <v>45744</v>
      </c>
      <c r="E1032" s="26" t="n">
        <v>45772</v>
      </c>
      <c r="F1032" s="26" t="n">
        <v>45771</v>
      </c>
      <c r="G1032" s="14" t="n">
        <v>77</v>
      </c>
      <c r="H1032" s="14" t="n">
        <v>77</v>
      </c>
      <c r="I1032" s="14" t="n">
        <v>4</v>
      </c>
      <c r="J1032" s="58" t="n">
        <v>604.45</v>
      </c>
      <c r="K1032" s="59">
        <f>(F1032-D1032)/7</f>
        <v/>
      </c>
      <c r="L1032" s="59">
        <f>K1032^2</f>
        <v/>
      </c>
      <c r="M1032" s="14">
        <f>IF(F1032&lt;=E1032,1,0)</f>
        <v/>
      </c>
      <c r="N1032" s="14">
        <f>MAX(0,F1032-E1032)</f>
        <v/>
      </c>
    </row>
    <row r="1033">
      <c r="A1033" s="14" t="inlineStr">
        <is>
          <t>PO-01032</t>
        </is>
      </c>
      <c r="B1033" s="14" t="inlineStr">
        <is>
          <t>S04</t>
        </is>
      </c>
      <c r="C1033" s="14" t="inlineStr">
        <is>
          <t>NB-0040</t>
        </is>
      </c>
      <c r="D1033" s="26" t="n">
        <v>45770</v>
      </c>
      <c r="E1033" s="26" t="n">
        <v>45798</v>
      </c>
      <c r="F1033" s="26" t="n">
        <v>45795</v>
      </c>
      <c r="G1033" s="14" t="n">
        <v>80</v>
      </c>
      <c r="H1033" s="14" t="n">
        <v>69</v>
      </c>
      <c r="I1033" s="14" t="n">
        <v>2</v>
      </c>
      <c r="J1033" s="58" t="n">
        <v>628</v>
      </c>
      <c r="K1033" s="59">
        <f>(F1033-D1033)/7</f>
        <v/>
      </c>
      <c r="L1033" s="59">
        <f>K1033^2</f>
        <v/>
      </c>
      <c r="M1033" s="14">
        <f>IF(F1033&lt;=E1033,1,0)</f>
        <v/>
      </c>
      <c r="N1033" s="14">
        <f>MAX(0,F1033-E1033)</f>
        <v/>
      </c>
    </row>
    <row r="1034">
      <c r="A1034" s="14" t="inlineStr">
        <is>
          <t>PO-01033</t>
        </is>
      </c>
      <c r="B1034" s="14" t="inlineStr">
        <is>
          <t>S04</t>
        </is>
      </c>
      <c r="C1034" s="14" t="inlineStr">
        <is>
          <t>NB-0040</t>
        </is>
      </c>
      <c r="D1034" s="26" t="n">
        <v>45797</v>
      </c>
      <c r="E1034" s="26" t="n">
        <v>45825</v>
      </c>
      <c r="F1034" s="26" t="n">
        <v>45832</v>
      </c>
      <c r="G1034" s="14" t="n">
        <v>74</v>
      </c>
      <c r="H1034" s="14" t="n">
        <v>74</v>
      </c>
      <c r="I1034" s="14" t="n">
        <v>0</v>
      </c>
      <c r="J1034" s="58" t="n">
        <v>580.9</v>
      </c>
      <c r="K1034" s="59">
        <f>(F1034-D1034)/7</f>
        <v/>
      </c>
      <c r="L1034" s="59">
        <f>K1034^2</f>
        <v/>
      </c>
      <c r="M1034" s="14">
        <f>IF(F1034&lt;=E1034,1,0)</f>
        <v/>
      </c>
      <c r="N1034" s="14">
        <f>MAX(0,F1034-E1034)</f>
        <v/>
      </c>
    </row>
    <row r="1035">
      <c r="A1035" s="14" t="inlineStr">
        <is>
          <t>PO-01034</t>
        </is>
      </c>
      <c r="B1035" s="14" t="inlineStr">
        <is>
          <t>S04</t>
        </is>
      </c>
      <c r="C1035" s="14" t="inlineStr">
        <is>
          <t>NB-0040</t>
        </is>
      </c>
      <c r="D1035" s="26" t="n">
        <v>45828</v>
      </c>
      <c r="E1035" s="26" t="n">
        <v>45856</v>
      </c>
      <c r="F1035" s="26" t="n">
        <v>45860</v>
      </c>
      <c r="G1035" s="14" t="n">
        <v>69</v>
      </c>
      <c r="H1035" s="14" t="n">
        <v>69</v>
      </c>
      <c r="I1035" s="14" t="n">
        <v>0</v>
      </c>
      <c r="J1035" s="58" t="n">
        <v>541.65</v>
      </c>
      <c r="K1035" s="59">
        <f>(F1035-D1035)/7</f>
        <v/>
      </c>
      <c r="L1035" s="59">
        <f>K1035^2</f>
        <v/>
      </c>
      <c r="M1035" s="14">
        <f>IF(F1035&lt;=E1035,1,0)</f>
        <v/>
      </c>
      <c r="N1035" s="14">
        <f>MAX(0,F1035-E1035)</f>
        <v/>
      </c>
    </row>
    <row r="1036">
      <c r="A1036" s="14" t="inlineStr">
        <is>
          <t>PO-01035</t>
        </is>
      </c>
      <c r="B1036" s="14" t="inlineStr">
        <is>
          <t>S04</t>
        </is>
      </c>
      <c r="C1036" s="14" t="inlineStr">
        <is>
          <t>NB-0040</t>
        </is>
      </c>
      <c r="D1036" s="26" t="n">
        <v>45852</v>
      </c>
      <c r="E1036" s="26" t="n">
        <v>45880</v>
      </c>
      <c r="F1036" s="26" t="n">
        <v>45878</v>
      </c>
      <c r="G1036" s="14" t="n">
        <v>63</v>
      </c>
      <c r="H1036" s="14" t="n">
        <v>63</v>
      </c>
      <c r="I1036" s="14" t="n">
        <v>0</v>
      </c>
      <c r="J1036" s="58" t="n">
        <v>494.55</v>
      </c>
      <c r="K1036" s="59">
        <f>(F1036-D1036)/7</f>
        <v/>
      </c>
      <c r="L1036" s="59">
        <f>K1036^2</f>
        <v/>
      </c>
      <c r="M1036" s="14">
        <f>IF(F1036&lt;=E1036,1,0)</f>
        <v/>
      </c>
      <c r="N1036" s="14">
        <f>MAX(0,F1036-E1036)</f>
        <v/>
      </c>
    </row>
    <row r="1037">
      <c r="A1037" s="14" t="inlineStr">
        <is>
          <t>PO-01036</t>
        </is>
      </c>
      <c r="B1037" s="14" t="inlineStr">
        <is>
          <t>S04</t>
        </is>
      </c>
      <c r="C1037" s="14" t="inlineStr">
        <is>
          <t>NB-0040</t>
        </is>
      </c>
      <c r="D1037" s="26" t="n">
        <v>45881</v>
      </c>
      <c r="E1037" s="26" t="n">
        <v>45909</v>
      </c>
      <c r="F1037" s="26" t="n">
        <v>45917</v>
      </c>
      <c r="G1037" s="14" t="n">
        <v>67</v>
      </c>
      <c r="H1037" s="14" t="n">
        <v>67</v>
      </c>
      <c r="I1037" s="14" t="n">
        <v>0</v>
      </c>
      <c r="J1037" s="58" t="n">
        <v>525.95</v>
      </c>
      <c r="K1037" s="59">
        <f>(F1037-D1037)/7</f>
        <v/>
      </c>
      <c r="L1037" s="59">
        <f>K1037^2</f>
        <v/>
      </c>
      <c r="M1037" s="14">
        <f>IF(F1037&lt;=E1037,1,0)</f>
        <v/>
      </c>
      <c r="N1037" s="14">
        <f>MAX(0,F1037-E1037)</f>
        <v/>
      </c>
    </row>
    <row r="1038">
      <c r="A1038" s="14" t="inlineStr">
        <is>
          <t>PO-01037</t>
        </is>
      </c>
      <c r="B1038" s="14" t="inlineStr">
        <is>
          <t>S04</t>
        </is>
      </c>
      <c r="C1038" s="14" t="inlineStr">
        <is>
          <t>NB-0040</t>
        </is>
      </c>
      <c r="D1038" s="26" t="n">
        <v>45909</v>
      </c>
      <c r="E1038" s="26" t="n">
        <v>45937</v>
      </c>
      <c r="F1038" s="26" t="n">
        <v>45935</v>
      </c>
      <c r="G1038" s="14" t="n">
        <v>79</v>
      </c>
      <c r="H1038" s="14" t="n">
        <v>79</v>
      </c>
      <c r="I1038" s="14" t="n">
        <v>1</v>
      </c>
      <c r="J1038" s="58" t="n">
        <v>620.15</v>
      </c>
      <c r="K1038" s="59">
        <f>(F1038-D1038)/7</f>
        <v/>
      </c>
      <c r="L1038" s="59">
        <f>K1038^2</f>
        <v/>
      </c>
      <c r="M1038" s="14">
        <f>IF(F1038&lt;=E1038,1,0)</f>
        <v/>
      </c>
      <c r="N1038" s="14">
        <f>MAX(0,F1038-E1038)</f>
        <v/>
      </c>
    </row>
    <row r="1039">
      <c r="A1039" s="14" t="inlineStr">
        <is>
          <t>PO-01038</t>
        </is>
      </c>
      <c r="B1039" s="14" t="inlineStr">
        <is>
          <t>S04</t>
        </is>
      </c>
      <c r="C1039" s="14" t="inlineStr">
        <is>
          <t>NB-0040</t>
        </is>
      </c>
      <c r="D1039" s="26" t="n">
        <v>45936</v>
      </c>
      <c r="E1039" s="26" t="n">
        <v>45964</v>
      </c>
      <c r="F1039" s="26" t="n">
        <v>45961</v>
      </c>
      <c r="G1039" s="14" t="n">
        <v>68</v>
      </c>
      <c r="H1039" s="14" t="n">
        <v>68</v>
      </c>
      <c r="I1039" s="14" t="n">
        <v>0</v>
      </c>
      <c r="J1039" s="58" t="n">
        <v>533.8</v>
      </c>
      <c r="K1039" s="59">
        <f>(F1039-D1039)/7</f>
        <v/>
      </c>
      <c r="L1039" s="59">
        <f>K1039^2</f>
        <v/>
      </c>
      <c r="M1039" s="14">
        <f>IF(F1039&lt;=E1039,1,0)</f>
        <v/>
      </c>
      <c r="N1039" s="14">
        <f>MAX(0,F1039-E1039)</f>
        <v/>
      </c>
    </row>
    <row r="1040">
      <c r="A1040" s="14" t="inlineStr">
        <is>
          <t>PO-01039</t>
        </is>
      </c>
      <c r="B1040" s="14" t="inlineStr">
        <is>
          <t>S04</t>
        </is>
      </c>
      <c r="C1040" s="14" t="inlineStr">
        <is>
          <t>NB-0040</t>
        </is>
      </c>
      <c r="D1040" s="26" t="n">
        <v>45968</v>
      </c>
      <c r="E1040" s="26" t="n">
        <v>45996</v>
      </c>
      <c r="F1040" s="26" t="n">
        <v>45996</v>
      </c>
      <c r="G1040" s="14" t="n">
        <v>72</v>
      </c>
      <c r="H1040" s="14" t="n">
        <v>72</v>
      </c>
      <c r="I1040" s="14" t="n">
        <v>1</v>
      </c>
      <c r="J1040" s="58" t="n">
        <v>565.2</v>
      </c>
      <c r="K1040" s="59">
        <f>(F1040-D1040)/7</f>
        <v/>
      </c>
      <c r="L1040" s="59">
        <f>K1040^2</f>
        <v/>
      </c>
      <c r="M1040" s="14">
        <f>IF(F1040&lt;=E1040,1,0)</f>
        <v/>
      </c>
      <c r="N1040" s="14">
        <f>MAX(0,F1040-E1040)</f>
        <v/>
      </c>
    </row>
    <row r="1041">
      <c r="A1041" s="14" t="inlineStr">
        <is>
          <t>PO-01040</t>
        </is>
      </c>
      <c r="B1041" s="14" t="inlineStr">
        <is>
          <t>S04</t>
        </is>
      </c>
      <c r="C1041" s="14" t="inlineStr">
        <is>
          <t>NB-0040</t>
        </is>
      </c>
      <c r="D1041" s="26" t="n">
        <v>45995</v>
      </c>
      <c r="E1041" s="26" t="n">
        <v>46023</v>
      </c>
      <c r="F1041" s="26" t="n">
        <v>46023</v>
      </c>
      <c r="G1041" s="14" t="n">
        <v>76</v>
      </c>
      <c r="H1041" s="14" t="n">
        <v>67</v>
      </c>
      <c r="I1041" s="14" t="n">
        <v>1</v>
      </c>
      <c r="J1041" s="58" t="n">
        <v>596.6</v>
      </c>
      <c r="K1041" s="59">
        <f>(F1041-D1041)/7</f>
        <v/>
      </c>
      <c r="L1041" s="59">
        <f>K1041^2</f>
        <v/>
      </c>
      <c r="M1041" s="14">
        <f>IF(F1041&lt;=E1041,1,0)</f>
        <v/>
      </c>
      <c r="N1041" s="14">
        <f>MAX(0,F1041-E1041)</f>
        <v/>
      </c>
    </row>
    <row r="1042">
      <c r="A1042" s="14" t="inlineStr">
        <is>
          <t>PO-01041</t>
        </is>
      </c>
      <c r="B1042" s="14" t="inlineStr">
        <is>
          <t>S04</t>
        </is>
      </c>
      <c r="C1042" s="14" t="inlineStr">
        <is>
          <t>NB-0041</t>
        </is>
      </c>
      <c r="D1042" s="26" t="n">
        <v>45295</v>
      </c>
      <c r="E1042" s="26" t="n">
        <v>45323</v>
      </c>
      <c r="F1042" s="26" t="n">
        <v>45320</v>
      </c>
      <c r="G1042" s="14" t="n">
        <v>52</v>
      </c>
      <c r="H1042" s="14" t="n">
        <v>52</v>
      </c>
      <c r="I1042" s="14" t="n">
        <v>0</v>
      </c>
      <c r="J1042" s="58" t="n">
        <v>1994.72</v>
      </c>
      <c r="K1042" s="59">
        <f>(F1042-D1042)/7</f>
        <v/>
      </c>
      <c r="L1042" s="59">
        <f>K1042^2</f>
        <v/>
      </c>
      <c r="M1042" s="14">
        <f>IF(F1042&lt;=E1042,1,0)</f>
        <v/>
      </c>
      <c r="N1042" s="14">
        <f>MAX(0,F1042-E1042)</f>
        <v/>
      </c>
    </row>
    <row r="1043">
      <c r="A1043" s="14" t="inlineStr">
        <is>
          <t>PO-01042</t>
        </is>
      </c>
      <c r="B1043" s="14" t="inlineStr">
        <is>
          <t>S04</t>
        </is>
      </c>
      <c r="C1043" s="14" t="inlineStr">
        <is>
          <t>NB-0041</t>
        </is>
      </c>
      <c r="D1043" s="26" t="n">
        <v>45321</v>
      </c>
      <c r="E1043" s="26" t="n">
        <v>45349</v>
      </c>
      <c r="F1043" s="26" t="n">
        <v>45348</v>
      </c>
      <c r="G1043" s="14" t="n">
        <v>59</v>
      </c>
      <c r="H1043" s="14" t="n">
        <v>59</v>
      </c>
      <c r="I1043" s="14" t="n">
        <v>1</v>
      </c>
      <c r="J1043" s="58" t="n">
        <v>2263.24</v>
      </c>
      <c r="K1043" s="59">
        <f>(F1043-D1043)/7</f>
        <v/>
      </c>
      <c r="L1043" s="59">
        <f>K1043^2</f>
        <v/>
      </c>
      <c r="M1043" s="14">
        <f>IF(F1043&lt;=E1043,1,0)</f>
        <v/>
      </c>
      <c r="N1043" s="14">
        <f>MAX(0,F1043-E1043)</f>
        <v/>
      </c>
    </row>
    <row r="1044">
      <c r="A1044" s="14" t="inlineStr">
        <is>
          <t>PO-01043</t>
        </is>
      </c>
      <c r="B1044" s="14" t="inlineStr">
        <is>
          <t>S04</t>
        </is>
      </c>
      <c r="C1044" s="14" t="inlineStr">
        <is>
          <t>NB-0041</t>
        </is>
      </c>
      <c r="D1044" s="26" t="n">
        <v>45351</v>
      </c>
      <c r="E1044" s="26" t="n">
        <v>45379</v>
      </c>
      <c r="F1044" s="26" t="n">
        <v>45384</v>
      </c>
      <c r="G1044" s="14" t="n">
        <v>49</v>
      </c>
      <c r="H1044" s="14" t="n">
        <v>49</v>
      </c>
      <c r="I1044" s="14" t="n">
        <v>1</v>
      </c>
      <c r="J1044" s="58" t="n">
        <v>1879.64</v>
      </c>
      <c r="K1044" s="59">
        <f>(F1044-D1044)/7</f>
        <v/>
      </c>
      <c r="L1044" s="59">
        <f>K1044^2</f>
        <v/>
      </c>
      <c r="M1044" s="14">
        <f>IF(F1044&lt;=E1044,1,0)</f>
        <v/>
      </c>
      <c r="N1044" s="14">
        <f>MAX(0,F1044-E1044)</f>
        <v/>
      </c>
    </row>
    <row r="1045">
      <c r="A1045" s="14" t="inlineStr">
        <is>
          <t>PO-01044</t>
        </is>
      </c>
      <c r="B1045" s="14" t="inlineStr">
        <is>
          <t>S04</t>
        </is>
      </c>
      <c r="C1045" s="14" t="inlineStr">
        <is>
          <t>NB-0041</t>
        </is>
      </c>
      <c r="D1045" s="26" t="n">
        <v>45378</v>
      </c>
      <c r="E1045" s="26" t="n">
        <v>45406</v>
      </c>
      <c r="F1045" s="26" t="n">
        <v>45404</v>
      </c>
      <c r="G1045" s="14" t="n">
        <v>54</v>
      </c>
      <c r="H1045" s="14" t="n">
        <v>54</v>
      </c>
      <c r="I1045" s="14" t="n">
        <v>1</v>
      </c>
      <c r="J1045" s="58" t="n">
        <v>2071.44</v>
      </c>
      <c r="K1045" s="59">
        <f>(F1045-D1045)/7</f>
        <v/>
      </c>
      <c r="L1045" s="59">
        <f>K1045^2</f>
        <v/>
      </c>
      <c r="M1045" s="14">
        <f>IF(F1045&lt;=E1045,1,0)</f>
        <v/>
      </c>
      <c r="N1045" s="14">
        <f>MAX(0,F1045-E1045)</f>
        <v/>
      </c>
    </row>
    <row r="1046">
      <c r="A1046" s="14" t="inlineStr">
        <is>
          <t>PO-01045</t>
        </is>
      </c>
      <c r="B1046" s="14" t="inlineStr">
        <is>
          <t>S04</t>
        </is>
      </c>
      <c r="C1046" s="14" t="inlineStr">
        <is>
          <t>NB-0041</t>
        </is>
      </c>
      <c r="D1046" s="26" t="n">
        <v>45406</v>
      </c>
      <c r="E1046" s="26" t="n">
        <v>45434</v>
      </c>
      <c r="F1046" s="26" t="n">
        <v>45431</v>
      </c>
      <c r="G1046" s="14" t="n">
        <v>51</v>
      </c>
      <c r="H1046" s="14" t="n">
        <v>51</v>
      </c>
      <c r="I1046" s="14" t="n">
        <v>1</v>
      </c>
      <c r="J1046" s="58" t="n">
        <v>1956.36</v>
      </c>
      <c r="K1046" s="59">
        <f>(F1046-D1046)/7</f>
        <v/>
      </c>
      <c r="L1046" s="59">
        <f>K1046^2</f>
        <v/>
      </c>
      <c r="M1046" s="14">
        <f>IF(F1046&lt;=E1046,1,0)</f>
        <v/>
      </c>
      <c r="N1046" s="14">
        <f>MAX(0,F1046-E1046)</f>
        <v/>
      </c>
    </row>
    <row r="1047">
      <c r="A1047" s="14" t="inlineStr">
        <is>
          <t>PO-01046</t>
        </is>
      </c>
      <c r="B1047" s="14" t="inlineStr">
        <is>
          <t>S04</t>
        </is>
      </c>
      <c r="C1047" s="14" t="inlineStr">
        <is>
          <t>NB-0041</t>
        </is>
      </c>
      <c r="D1047" s="26" t="n">
        <v>45432</v>
      </c>
      <c r="E1047" s="26" t="n">
        <v>45460</v>
      </c>
      <c r="F1047" s="26" t="n">
        <v>45459</v>
      </c>
      <c r="G1047" s="14" t="n">
        <v>53</v>
      </c>
      <c r="H1047" s="14" t="n">
        <v>53</v>
      </c>
      <c r="I1047" s="14" t="n">
        <v>0</v>
      </c>
      <c r="J1047" s="58" t="n">
        <v>2033.08</v>
      </c>
      <c r="K1047" s="59">
        <f>(F1047-D1047)/7</f>
        <v/>
      </c>
      <c r="L1047" s="59">
        <f>K1047^2</f>
        <v/>
      </c>
      <c r="M1047" s="14">
        <f>IF(F1047&lt;=E1047,1,0)</f>
        <v/>
      </c>
      <c r="N1047" s="14">
        <f>MAX(0,F1047-E1047)</f>
        <v/>
      </c>
    </row>
    <row r="1048">
      <c r="A1048" s="14" t="inlineStr">
        <is>
          <t>PO-01047</t>
        </is>
      </c>
      <c r="B1048" s="14" t="inlineStr">
        <is>
          <t>S04</t>
        </is>
      </c>
      <c r="C1048" s="14" t="inlineStr">
        <is>
          <t>NB-0041</t>
        </is>
      </c>
      <c r="D1048" s="26" t="n">
        <v>45462</v>
      </c>
      <c r="E1048" s="26" t="n">
        <v>45490</v>
      </c>
      <c r="F1048" s="26" t="n">
        <v>45488</v>
      </c>
      <c r="G1048" s="14" t="n">
        <v>50</v>
      </c>
      <c r="H1048" s="14" t="n">
        <v>50</v>
      </c>
      <c r="I1048" s="14" t="n">
        <v>1</v>
      </c>
      <c r="J1048" s="58" t="n">
        <v>1918</v>
      </c>
      <c r="K1048" s="59">
        <f>(F1048-D1048)/7</f>
        <v/>
      </c>
      <c r="L1048" s="59">
        <f>K1048^2</f>
        <v/>
      </c>
      <c r="M1048" s="14">
        <f>IF(F1048&lt;=E1048,1,0)</f>
        <v/>
      </c>
      <c r="N1048" s="14">
        <f>MAX(0,F1048-E1048)</f>
        <v/>
      </c>
    </row>
    <row r="1049">
      <c r="A1049" s="14" t="inlineStr">
        <is>
          <t>PO-01048</t>
        </is>
      </c>
      <c r="B1049" s="14" t="inlineStr">
        <is>
          <t>S04</t>
        </is>
      </c>
      <c r="C1049" s="14" t="inlineStr">
        <is>
          <t>NB-0041</t>
        </is>
      </c>
      <c r="D1049" s="26" t="n">
        <v>45491</v>
      </c>
      <c r="E1049" s="26" t="n">
        <v>45519</v>
      </c>
      <c r="F1049" s="26" t="n">
        <v>45516</v>
      </c>
      <c r="G1049" s="14" t="n">
        <v>54</v>
      </c>
      <c r="H1049" s="14" t="n">
        <v>54</v>
      </c>
      <c r="I1049" s="14" t="n">
        <v>0</v>
      </c>
      <c r="J1049" s="58" t="n">
        <v>2071.44</v>
      </c>
      <c r="K1049" s="59">
        <f>(F1049-D1049)/7</f>
        <v/>
      </c>
      <c r="L1049" s="59">
        <f>K1049^2</f>
        <v/>
      </c>
      <c r="M1049" s="14">
        <f>IF(F1049&lt;=E1049,1,0)</f>
        <v/>
      </c>
      <c r="N1049" s="14">
        <f>MAX(0,F1049-E1049)</f>
        <v/>
      </c>
    </row>
    <row r="1050">
      <c r="A1050" s="14" t="inlineStr">
        <is>
          <t>PO-01049</t>
        </is>
      </c>
      <c r="B1050" s="14" t="inlineStr">
        <is>
          <t>S04</t>
        </is>
      </c>
      <c r="C1050" s="14" t="inlineStr">
        <is>
          <t>NB-0041</t>
        </is>
      </c>
      <c r="D1050" s="26" t="n">
        <v>45519</v>
      </c>
      <c r="E1050" s="26" t="n">
        <v>45547</v>
      </c>
      <c r="F1050" s="26" t="n">
        <v>45544</v>
      </c>
      <c r="G1050" s="14" t="n">
        <v>56</v>
      </c>
      <c r="H1050" s="14" t="n">
        <v>56</v>
      </c>
      <c r="I1050" s="14" t="n">
        <v>0</v>
      </c>
      <c r="J1050" s="58" t="n">
        <v>2148.16</v>
      </c>
      <c r="K1050" s="59">
        <f>(F1050-D1050)/7</f>
        <v/>
      </c>
      <c r="L1050" s="59">
        <f>K1050^2</f>
        <v/>
      </c>
      <c r="M1050" s="14">
        <f>IF(F1050&lt;=E1050,1,0)</f>
        <v/>
      </c>
      <c r="N1050" s="14">
        <f>MAX(0,F1050-E1050)</f>
        <v/>
      </c>
    </row>
    <row r="1051">
      <c r="A1051" s="14" t="inlineStr">
        <is>
          <t>PO-01050</t>
        </is>
      </c>
      <c r="B1051" s="14" t="inlineStr">
        <is>
          <t>S04</t>
        </is>
      </c>
      <c r="C1051" s="14" t="inlineStr">
        <is>
          <t>NB-0041</t>
        </is>
      </c>
      <c r="D1051" s="26" t="n">
        <v>45544</v>
      </c>
      <c r="E1051" s="26" t="n">
        <v>45572</v>
      </c>
      <c r="F1051" s="26" t="n">
        <v>45580</v>
      </c>
      <c r="G1051" s="14" t="n">
        <v>47</v>
      </c>
      <c r="H1051" s="14" t="n">
        <v>47</v>
      </c>
      <c r="I1051" s="14" t="n">
        <v>2</v>
      </c>
      <c r="J1051" s="58" t="n">
        <v>1802.92</v>
      </c>
      <c r="K1051" s="59">
        <f>(F1051-D1051)/7</f>
        <v/>
      </c>
      <c r="L1051" s="59">
        <f>K1051^2</f>
        <v/>
      </c>
      <c r="M1051" s="14">
        <f>IF(F1051&lt;=E1051,1,0)</f>
        <v/>
      </c>
      <c r="N1051" s="14">
        <f>MAX(0,F1051-E1051)</f>
        <v/>
      </c>
    </row>
    <row r="1052">
      <c r="A1052" s="14" t="inlineStr">
        <is>
          <t>PO-01051</t>
        </is>
      </c>
      <c r="B1052" s="14" t="inlineStr">
        <is>
          <t>S04</t>
        </is>
      </c>
      <c r="C1052" s="14" t="inlineStr">
        <is>
          <t>NB-0041</t>
        </is>
      </c>
      <c r="D1052" s="26" t="n">
        <v>45575</v>
      </c>
      <c r="E1052" s="26" t="n">
        <v>45603</v>
      </c>
      <c r="F1052" s="26" t="n">
        <v>45600</v>
      </c>
      <c r="G1052" s="14" t="n">
        <v>50</v>
      </c>
      <c r="H1052" s="14" t="n">
        <v>50</v>
      </c>
      <c r="I1052" s="14" t="n">
        <v>0</v>
      </c>
      <c r="J1052" s="58" t="n">
        <v>1918</v>
      </c>
      <c r="K1052" s="59">
        <f>(F1052-D1052)/7</f>
        <v/>
      </c>
      <c r="L1052" s="59">
        <f>K1052^2</f>
        <v/>
      </c>
      <c r="M1052" s="14">
        <f>IF(F1052&lt;=E1052,1,0)</f>
        <v/>
      </c>
      <c r="N1052" s="14">
        <f>MAX(0,F1052-E1052)</f>
        <v/>
      </c>
    </row>
    <row r="1053">
      <c r="A1053" s="14" t="inlineStr">
        <is>
          <t>PO-01052</t>
        </is>
      </c>
      <c r="B1053" s="14" t="inlineStr">
        <is>
          <t>S04</t>
        </is>
      </c>
      <c r="C1053" s="14" t="inlineStr">
        <is>
          <t>NB-0041</t>
        </is>
      </c>
      <c r="D1053" s="26" t="n">
        <v>45604</v>
      </c>
      <c r="E1053" s="26" t="n">
        <v>45632</v>
      </c>
      <c r="F1053" s="26" t="n">
        <v>45630</v>
      </c>
      <c r="G1053" s="14" t="n">
        <v>51</v>
      </c>
      <c r="H1053" s="14" t="n">
        <v>51</v>
      </c>
      <c r="I1053" s="14" t="n">
        <v>1</v>
      </c>
      <c r="J1053" s="58" t="n">
        <v>1956.36</v>
      </c>
      <c r="K1053" s="59">
        <f>(F1053-D1053)/7</f>
        <v/>
      </c>
      <c r="L1053" s="59">
        <f>K1053^2</f>
        <v/>
      </c>
      <c r="M1053" s="14">
        <f>IF(F1053&lt;=E1053,1,0)</f>
        <v/>
      </c>
      <c r="N1053" s="14">
        <f>MAX(0,F1053-E1053)</f>
        <v/>
      </c>
    </row>
    <row r="1054">
      <c r="A1054" s="14" t="inlineStr">
        <is>
          <t>PO-01053</t>
        </is>
      </c>
      <c r="B1054" s="14" t="inlineStr">
        <is>
          <t>S04</t>
        </is>
      </c>
      <c r="C1054" s="14" t="inlineStr">
        <is>
          <t>NB-0041</t>
        </is>
      </c>
      <c r="D1054" s="26" t="n">
        <v>45632</v>
      </c>
      <c r="E1054" s="26" t="n">
        <v>45660</v>
      </c>
      <c r="F1054" s="26" t="n">
        <v>45659</v>
      </c>
      <c r="G1054" s="14" t="n">
        <v>63</v>
      </c>
      <c r="H1054" s="14" t="n">
        <v>54</v>
      </c>
      <c r="I1054" s="14" t="n">
        <v>0</v>
      </c>
      <c r="J1054" s="58" t="n">
        <v>2416.68</v>
      </c>
      <c r="K1054" s="59">
        <f>(F1054-D1054)/7</f>
        <v/>
      </c>
      <c r="L1054" s="59">
        <f>K1054^2</f>
        <v/>
      </c>
      <c r="M1054" s="14">
        <f>IF(F1054&lt;=E1054,1,0)</f>
        <v/>
      </c>
      <c r="N1054" s="14">
        <f>MAX(0,F1054-E1054)</f>
        <v/>
      </c>
    </row>
    <row r="1055">
      <c r="A1055" s="14" t="inlineStr">
        <is>
          <t>PO-01054</t>
        </is>
      </c>
      <c r="B1055" s="14" t="inlineStr">
        <is>
          <t>S04</t>
        </is>
      </c>
      <c r="C1055" s="14" t="inlineStr">
        <is>
          <t>NB-0041</t>
        </is>
      </c>
      <c r="D1055" s="26" t="n">
        <v>45659</v>
      </c>
      <c r="E1055" s="26" t="n">
        <v>45687</v>
      </c>
      <c r="F1055" s="26" t="n">
        <v>45686</v>
      </c>
      <c r="G1055" s="14" t="n">
        <v>51</v>
      </c>
      <c r="H1055" s="14" t="n">
        <v>51</v>
      </c>
      <c r="I1055" s="14" t="n">
        <v>0</v>
      </c>
      <c r="J1055" s="58" t="n">
        <v>1956.36</v>
      </c>
      <c r="K1055" s="59">
        <f>(F1055-D1055)/7</f>
        <v/>
      </c>
      <c r="L1055" s="59">
        <f>K1055^2</f>
        <v/>
      </c>
      <c r="M1055" s="14">
        <f>IF(F1055&lt;=E1055,1,0)</f>
        <v/>
      </c>
      <c r="N1055" s="14">
        <f>MAX(0,F1055-E1055)</f>
        <v/>
      </c>
    </row>
    <row r="1056">
      <c r="A1056" s="14" t="inlineStr">
        <is>
          <t>PO-01055</t>
        </is>
      </c>
      <c r="B1056" s="14" t="inlineStr">
        <is>
          <t>S04</t>
        </is>
      </c>
      <c r="C1056" s="14" t="inlineStr">
        <is>
          <t>NB-0041</t>
        </is>
      </c>
      <c r="D1056" s="26" t="n">
        <v>45686</v>
      </c>
      <c r="E1056" s="26" t="n">
        <v>45714</v>
      </c>
      <c r="F1056" s="26" t="n">
        <v>45711</v>
      </c>
      <c r="G1056" s="14" t="n">
        <v>58</v>
      </c>
      <c r="H1056" s="14" t="n">
        <v>58</v>
      </c>
      <c r="I1056" s="14" t="n">
        <v>1</v>
      </c>
      <c r="J1056" s="58" t="n">
        <v>2224.88</v>
      </c>
      <c r="K1056" s="59">
        <f>(F1056-D1056)/7</f>
        <v/>
      </c>
      <c r="L1056" s="59">
        <f>K1056^2</f>
        <v/>
      </c>
      <c r="M1056" s="14">
        <f>IF(F1056&lt;=E1056,1,0)</f>
        <v/>
      </c>
      <c r="N1056" s="14">
        <f>MAX(0,F1056-E1056)</f>
        <v/>
      </c>
    </row>
    <row r="1057">
      <c r="A1057" s="14" t="inlineStr">
        <is>
          <t>PO-01056</t>
        </is>
      </c>
      <c r="B1057" s="14" t="inlineStr">
        <is>
          <t>S04</t>
        </is>
      </c>
      <c r="C1057" s="14" t="inlineStr">
        <is>
          <t>NB-0041</t>
        </is>
      </c>
      <c r="D1057" s="26" t="n">
        <v>45716</v>
      </c>
      <c r="E1057" s="26" t="n">
        <v>45744</v>
      </c>
      <c r="F1057" s="26" t="n">
        <v>45741</v>
      </c>
      <c r="G1057" s="14" t="n">
        <v>57</v>
      </c>
      <c r="H1057" s="14" t="n">
        <v>57</v>
      </c>
      <c r="I1057" s="14" t="n">
        <v>2</v>
      </c>
      <c r="J1057" s="58" t="n">
        <v>2186.52</v>
      </c>
      <c r="K1057" s="59">
        <f>(F1057-D1057)/7</f>
        <v/>
      </c>
      <c r="L1057" s="59">
        <f>K1057^2</f>
        <v/>
      </c>
      <c r="M1057" s="14">
        <f>IF(F1057&lt;=E1057,1,0)</f>
        <v/>
      </c>
      <c r="N1057" s="14">
        <f>MAX(0,F1057-E1057)</f>
        <v/>
      </c>
    </row>
    <row r="1058">
      <c r="A1058" s="14" t="inlineStr">
        <is>
          <t>PO-01057</t>
        </is>
      </c>
      <c r="B1058" s="14" t="inlineStr">
        <is>
          <t>S04</t>
        </is>
      </c>
      <c r="C1058" s="14" t="inlineStr">
        <is>
          <t>NB-0041</t>
        </is>
      </c>
      <c r="D1058" s="26" t="n">
        <v>45743</v>
      </c>
      <c r="E1058" s="26" t="n">
        <v>45771</v>
      </c>
      <c r="F1058" s="26" t="n">
        <v>45768</v>
      </c>
      <c r="G1058" s="14" t="n">
        <v>53</v>
      </c>
      <c r="H1058" s="14" t="n">
        <v>48</v>
      </c>
      <c r="I1058" s="14" t="n">
        <v>1</v>
      </c>
      <c r="J1058" s="58" t="n">
        <v>2033.08</v>
      </c>
      <c r="K1058" s="59">
        <f>(F1058-D1058)/7</f>
        <v/>
      </c>
      <c r="L1058" s="59">
        <f>K1058^2</f>
        <v/>
      </c>
      <c r="M1058" s="14">
        <f>IF(F1058&lt;=E1058,1,0)</f>
        <v/>
      </c>
      <c r="N1058" s="14">
        <f>MAX(0,F1058-E1058)</f>
        <v/>
      </c>
    </row>
    <row r="1059">
      <c r="A1059" s="14" t="inlineStr">
        <is>
          <t>PO-01058</t>
        </is>
      </c>
      <c r="B1059" s="14" t="inlineStr">
        <is>
          <t>S04</t>
        </is>
      </c>
      <c r="C1059" s="14" t="inlineStr">
        <is>
          <t>NB-0041</t>
        </is>
      </c>
      <c r="D1059" s="26" t="n">
        <v>45772</v>
      </c>
      <c r="E1059" s="26" t="n">
        <v>45800</v>
      </c>
      <c r="F1059" s="26" t="n">
        <v>45797</v>
      </c>
      <c r="G1059" s="14" t="n">
        <v>59</v>
      </c>
      <c r="H1059" s="14" t="n">
        <v>59</v>
      </c>
      <c r="I1059" s="14" t="n">
        <v>1</v>
      </c>
      <c r="J1059" s="58" t="n">
        <v>2263.24</v>
      </c>
      <c r="K1059" s="59">
        <f>(F1059-D1059)/7</f>
        <v/>
      </c>
      <c r="L1059" s="59">
        <f>K1059^2</f>
        <v/>
      </c>
      <c r="M1059" s="14">
        <f>IF(F1059&lt;=E1059,1,0)</f>
        <v/>
      </c>
      <c r="N1059" s="14">
        <f>MAX(0,F1059-E1059)</f>
        <v/>
      </c>
    </row>
    <row r="1060">
      <c r="A1060" s="14" t="inlineStr">
        <is>
          <t>PO-01059</t>
        </is>
      </c>
      <c r="B1060" s="14" t="inlineStr">
        <is>
          <t>S04</t>
        </is>
      </c>
      <c r="C1060" s="14" t="inlineStr">
        <is>
          <t>NB-0041</t>
        </is>
      </c>
      <c r="D1060" s="26" t="n">
        <v>45797</v>
      </c>
      <c r="E1060" s="26" t="n">
        <v>45825</v>
      </c>
      <c r="F1060" s="26" t="n">
        <v>45827</v>
      </c>
      <c r="G1060" s="14" t="n">
        <v>63</v>
      </c>
      <c r="H1060" s="14" t="n">
        <v>63</v>
      </c>
      <c r="I1060" s="14" t="n">
        <v>1</v>
      </c>
      <c r="J1060" s="58" t="n">
        <v>2416.68</v>
      </c>
      <c r="K1060" s="59">
        <f>(F1060-D1060)/7</f>
        <v/>
      </c>
      <c r="L1060" s="59">
        <f>K1060^2</f>
        <v/>
      </c>
      <c r="M1060" s="14">
        <f>IF(F1060&lt;=E1060,1,0)</f>
        <v/>
      </c>
      <c r="N1060" s="14">
        <f>MAX(0,F1060-E1060)</f>
        <v/>
      </c>
    </row>
    <row r="1061">
      <c r="A1061" s="14" t="inlineStr">
        <is>
          <t>PO-01060</t>
        </is>
      </c>
      <c r="B1061" s="14" t="inlineStr">
        <is>
          <t>S04</t>
        </is>
      </c>
      <c r="C1061" s="14" t="inlineStr">
        <is>
          <t>NB-0041</t>
        </is>
      </c>
      <c r="D1061" s="26" t="n">
        <v>45827</v>
      </c>
      <c r="E1061" s="26" t="n">
        <v>45855</v>
      </c>
      <c r="F1061" s="26" t="n">
        <v>45853</v>
      </c>
      <c r="G1061" s="14" t="n">
        <v>55</v>
      </c>
      <c r="H1061" s="14" t="n">
        <v>55</v>
      </c>
      <c r="I1061" s="14" t="n">
        <v>1</v>
      </c>
      <c r="J1061" s="58" t="n">
        <v>2109.8</v>
      </c>
      <c r="K1061" s="59">
        <f>(F1061-D1061)/7</f>
        <v/>
      </c>
      <c r="L1061" s="59">
        <f>K1061^2</f>
        <v/>
      </c>
      <c r="M1061" s="14">
        <f>IF(F1061&lt;=E1061,1,0)</f>
        <v/>
      </c>
      <c r="N1061" s="14">
        <f>MAX(0,F1061-E1061)</f>
        <v/>
      </c>
    </row>
    <row r="1062">
      <c r="A1062" s="14" t="inlineStr">
        <is>
          <t>PO-01061</t>
        </is>
      </c>
      <c r="B1062" s="14" t="inlineStr">
        <is>
          <t>S04</t>
        </is>
      </c>
      <c r="C1062" s="14" t="inlineStr">
        <is>
          <t>NB-0041</t>
        </is>
      </c>
      <c r="D1062" s="26" t="n">
        <v>45855</v>
      </c>
      <c r="E1062" s="26" t="n">
        <v>45883</v>
      </c>
      <c r="F1062" s="26" t="n">
        <v>45889</v>
      </c>
      <c r="G1062" s="14" t="n">
        <v>53</v>
      </c>
      <c r="H1062" s="14" t="n">
        <v>53</v>
      </c>
      <c r="I1062" s="14" t="n">
        <v>0</v>
      </c>
      <c r="J1062" s="58" t="n">
        <v>2033.08</v>
      </c>
      <c r="K1062" s="59">
        <f>(F1062-D1062)/7</f>
        <v/>
      </c>
      <c r="L1062" s="59">
        <f>K1062^2</f>
        <v/>
      </c>
      <c r="M1062" s="14">
        <f>IF(F1062&lt;=E1062,1,0)</f>
        <v/>
      </c>
      <c r="N1062" s="14">
        <f>MAX(0,F1062-E1062)</f>
        <v/>
      </c>
    </row>
    <row r="1063">
      <c r="A1063" s="14" t="inlineStr">
        <is>
          <t>PO-01062</t>
        </is>
      </c>
      <c r="B1063" s="14" t="inlineStr">
        <is>
          <t>S04</t>
        </is>
      </c>
      <c r="C1063" s="14" t="inlineStr">
        <is>
          <t>NB-0041</t>
        </is>
      </c>
      <c r="D1063" s="26" t="n">
        <v>45883</v>
      </c>
      <c r="E1063" s="26" t="n">
        <v>45911</v>
      </c>
      <c r="F1063" s="26" t="n">
        <v>45917</v>
      </c>
      <c r="G1063" s="14" t="n">
        <v>54</v>
      </c>
      <c r="H1063" s="14" t="n">
        <v>54</v>
      </c>
      <c r="I1063" s="14" t="n">
        <v>1</v>
      </c>
      <c r="J1063" s="58" t="n">
        <v>2071.44</v>
      </c>
      <c r="K1063" s="59">
        <f>(F1063-D1063)/7</f>
        <v/>
      </c>
      <c r="L1063" s="59">
        <f>K1063^2</f>
        <v/>
      </c>
      <c r="M1063" s="14">
        <f>IF(F1063&lt;=E1063,1,0)</f>
        <v/>
      </c>
      <c r="N1063" s="14">
        <f>MAX(0,F1063-E1063)</f>
        <v/>
      </c>
    </row>
    <row r="1064">
      <c r="A1064" s="14" t="inlineStr">
        <is>
          <t>PO-01063</t>
        </is>
      </c>
      <c r="B1064" s="14" t="inlineStr">
        <is>
          <t>S04</t>
        </is>
      </c>
      <c r="C1064" s="14" t="inlineStr">
        <is>
          <t>NB-0041</t>
        </is>
      </c>
      <c r="D1064" s="26" t="n">
        <v>45910</v>
      </c>
      <c r="E1064" s="26" t="n">
        <v>45938</v>
      </c>
      <c r="F1064" s="26" t="n">
        <v>45937</v>
      </c>
      <c r="G1064" s="14" t="n">
        <v>49</v>
      </c>
      <c r="H1064" s="14" t="n">
        <v>49</v>
      </c>
      <c r="I1064" s="14" t="n">
        <v>0</v>
      </c>
      <c r="J1064" s="58" t="n">
        <v>1879.64</v>
      </c>
      <c r="K1064" s="59">
        <f>(F1064-D1064)/7</f>
        <v/>
      </c>
      <c r="L1064" s="59">
        <f>K1064^2</f>
        <v/>
      </c>
      <c r="M1064" s="14">
        <f>IF(F1064&lt;=E1064,1,0)</f>
        <v/>
      </c>
      <c r="N1064" s="14">
        <f>MAX(0,F1064-E1064)</f>
        <v/>
      </c>
    </row>
    <row r="1065">
      <c r="A1065" s="14" t="inlineStr">
        <is>
          <t>PO-01064</t>
        </is>
      </c>
      <c r="B1065" s="14" t="inlineStr">
        <is>
          <t>S04</t>
        </is>
      </c>
      <c r="C1065" s="14" t="inlineStr">
        <is>
          <t>NB-0041</t>
        </is>
      </c>
      <c r="D1065" s="26" t="n">
        <v>45938</v>
      </c>
      <c r="E1065" s="26" t="n">
        <v>45966</v>
      </c>
      <c r="F1065" s="26" t="n">
        <v>45972</v>
      </c>
      <c r="G1065" s="14" t="n">
        <v>63</v>
      </c>
      <c r="H1065" s="14" t="n">
        <v>63</v>
      </c>
      <c r="I1065" s="14" t="n">
        <v>1</v>
      </c>
      <c r="J1065" s="58" t="n">
        <v>2416.68</v>
      </c>
      <c r="K1065" s="59">
        <f>(F1065-D1065)/7</f>
        <v/>
      </c>
      <c r="L1065" s="59">
        <f>K1065^2</f>
        <v/>
      </c>
      <c r="M1065" s="14">
        <f>IF(F1065&lt;=E1065,1,0)</f>
        <v/>
      </c>
      <c r="N1065" s="14">
        <f>MAX(0,F1065-E1065)</f>
        <v/>
      </c>
    </row>
    <row r="1066">
      <c r="A1066" s="14" t="inlineStr">
        <is>
          <t>PO-01065</t>
        </is>
      </c>
      <c r="B1066" s="14" t="inlineStr">
        <is>
          <t>S04</t>
        </is>
      </c>
      <c r="C1066" s="14" t="inlineStr">
        <is>
          <t>NB-0041</t>
        </is>
      </c>
      <c r="D1066" s="26" t="n">
        <v>45967</v>
      </c>
      <c r="E1066" s="26" t="n">
        <v>45995</v>
      </c>
      <c r="F1066" s="26" t="n">
        <v>45992</v>
      </c>
      <c r="G1066" s="14" t="n">
        <v>64</v>
      </c>
      <c r="H1066" s="14" t="n">
        <v>64</v>
      </c>
      <c r="I1066" s="14" t="n">
        <v>1</v>
      </c>
      <c r="J1066" s="58" t="n">
        <v>2455.04</v>
      </c>
      <c r="K1066" s="59">
        <f>(F1066-D1066)/7</f>
        <v/>
      </c>
      <c r="L1066" s="59">
        <f>K1066^2</f>
        <v/>
      </c>
      <c r="M1066" s="14">
        <f>IF(F1066&lt;=E1066,1,0)</f>
        <v/>
      </c>
      <c r="N1066" s="14">
        <f>MAX(0,F1066-E1066)</f>
        <v/>
      </c>
    </row>
    <row r="1067">
      <c r="A1067" s="14" t="inlineStr">
        <is>
          <t>PO-01066</t>
        </is>
      </c>
      <c r="B1067" s="14" t="inlineStr">
        <is>
          <t>S04</t>
        </is>
      </c>
      <c r="C1067" s="14" t="inlineStr">
        <is>
          <t>NB-0041</t>
        </is>
      </c>
      <c r="D1067" s="26" t="n">
        <v>45992</v>
      </c>
      <c r="E1067" s="26" t="n">
        <v>46020</v>
      </c>
      <c r="F1067" s="26" t="n">
        <v>46018</v>
      </c>
      <c r="G1067" s="14" t="n">
        <v>56</v>
      </c>
      <c r="H1067" s="14" t="n">
        <v>56</v>
      </c>
      <c r="I1067" s="14" t="n">
        <v>1</v>
      </c>
      <c r="J1067" s="58" t="n">
        <v>2148.16</v>
      </c>
      <c r="K1067" s="59">
        <f>(F1067-D1067)/7</f>
        <v/>
      </c>
      <c r="L1067" s="59">
        <f>K1067^2</f>
        <v/>
      </c>
      <c r="M1067" s="14">
        <f>IF(F1067&lt;=E1067,1,0)</f>
        <v/>
      </c>
      <c r="N1067" s="14">
        <f>MAX(0,F1067-E1067)</f>
        <v/>
      </c>
    </row>
    <row r="1068">
      <c r="A1068" s="14" t="inlineStr">
        <is>
          <t>PO-01067</t>
        </is>
      </c>
      <c r="B1068" s="14" t="inlineStr">
        <is>
          <t>S01</t>
        </is>
      </c>
      <c r="C1068" s="14" t="inlineStr">
        <is>
          <t>NB-0042</t>
        </is>
      </c>
      <c r="D1068" s="26" t="n">
        <v>45294</v>
      </c>
      <c r="E1068" s="26" t="n">
        <v>45308</v>
      </c>
      <c r="F1068" s="26" t="n">
        <v>45307</v>
      </c>
      <c r="G1068" s="14" t="n">
        <v>180</v>
      </c>
      <c r="H1068" s="14" t="n">
        <v>180</v>
      </c>
      <c r="I1068" s="14" t="n">
        <v>0</v>
      </c>
      <c r="J1068" s="58" t="n">
        <v>1245.6</v>
      </c>
      <c r="K1068" s="59">
        <f>(F1068-D1068)/7</f>
        <v/>
      </c>
      <c r="L1068" s="59">
        <f>K1068^2</f>
        <v/>
      </c>
      <c r="M1068" s="14">
        <f>IF(F1068&lt;=E1068,1,0)</f>
        <v/>
      </c>
      <c r="N1068" s="14">
        <f>MAX(0,F1068-E1068)</f>
        <v/>
      </c>
    </row>
    <row r="1069">
      <c r="A1069" s="14" t="inlineStr">
        <is>
          <t>PO-01068</t>
        </is>
      </c>
      <c r="B1069" s="14" t="inlineStr">
        <is>
          <t>S01</t>
        </is>
      </c>
      <c r="C1069" s="14" t="inlineStr">
        <is>
          <t>NB-0042</t>
        </is>
      </c>
      <c r="D1069" s="26" t="n">
        <v>45324</v>
      </c>
      <c r="E1069" s="26" t="n">
        <v>45338</v>
      </c>
      <c r="F1069" s="26" t="n">
        <v>45336</v>
      </c>
      <c r="G1069" s="14" t="n">
        <v>193</v>
      </c>
      <c r="H1069" s="14" t="n">
        <v>193</v>
      </c>
      <c r="I1069" s="14" t="n">
        <v>1</v>
      </c>
      <c r="J1069" s="58" t="n">
        <v>1335.56</v>
      </c>
      <c r="K1069" s="59">
        <f>(F1069-D1069)/7</f>
        <v/>
      </c>
      <c r="L1069" s="59">
        <f>K1069^2</f>
        <v/>
      </c>
      <c r="M1069" s="14">
        <f>IF(F1069&lt;=E1069,1,0)</f>
        <v/>
      </c>
      <c r="N1069" s="14">
        <f>MAX(0,F1069-E1069)</f>
        <v/>
      </c>
    </row>
    <row r="1070">
      <c r="A1070" s="14" t="inlineStr">
        <is>
          <t>PO-01069</t>
        </is>
      </c>
      <c r="B1070" s="14" t="inlineStr">
        <is>
          <t>S01</t>
        </is>
      </c>
      <c r="C1070" s="14" t="inlineStr">
        <is>
          <t>NB-0042</t>
        </is>
      </c>
      <c r="D1070" s="26" t="n">
        <v>45350</v>
      </c>
      <c r="E1070" s="26" t="n">
        <v>45364</v>
      </c>
      <c r="F1070" s="26" t="n">
        <v>45361</v>
      </c>
      <c r="G1070" s="14" t="n">
        <v>191</v>
      </c>
      <c r="H1070" s="14" t="n">
        <v>191</v>
      </c>
      <c r="I1070" s="14" t="n">
        <v>0</v>
      </c>
      <c r="J1070" s="58" t="n">
        <v>1321.72</v>
      </c>
      <c r="K1070" s="59">
        <f>(F1070-D1070)/7</f>
        <v/>
      </c>
      <c r="L1070" s="59">
        <f>K1070^2</f>
        <v/>
      </c>
      <c r="M1070" s="14">
        <f>IF(F1070&lt;=E1070,1,0)</f>
        <v/>
      </c>
      <c r="N1070" s="14">
        <f>MAX(0,F1070-E1070)</f>
        <v/>
      </c>
    </row>
    <row r="1071">
      <c r="A1071" s="14" t="inlineStr">
        <is>
          <t>PO-01070</t>
        </is>
      </c>
      <c r="B1071" s="14" t="inlineStr">
        <is>
          <t>S01</t>
        </is>
      </c>
      <c r="C1071" s="14" t="inlineStr">
        <is>
          <t>NB-0042</t>
        </is>
      </c>
      <c r="D1071" s="26" t="n">
        <v>45377</v>
      </c>
      <c r="E1071" s="26" t="n">
        <v>45391</v>
      </c>
      <c r="F1071" s="26" t="n">
        <v>45390</v>
      </c>
      <c r="G1071" s="14" t="n">
        <v>200</v>
      </c>
      <c r="H1071" s="14" t="n">
        <v>200</v>
      </c>
      <c r="I1071" s="14" t="n">
        <v>0</v>
      </c>
      <c r="J1071" s="58" t="n">
        <v>1384</v>
      </c>
      <c r="K1071" s="59">
        <f>(F1071-D1071)/7</f>
        <v/>
      </c>
      <c r="L1071" s="59">
        <f>K1071^2</f>
        <v/>
      </c>
      <c r="M1071" s="14">
        <f>IF(F1071&lt;=E1071,1,0)</f>
        <v/>
      </c>
      <c r="N1071" s="14">
        <f>MAX(0,F1071-E1071)</f>
        <v/>
      </c>
    </row>
    <row r="1072">
      <c r="A1072" s="14" t="inlineStr">
        <is>
          <t>PO-01071</t>
        </is>
      </c>
      <c r="B1072" s="14" t="inlineStr">
        <is>
          <t>S01</t>
        </is>
      </c>
      <c r="C1072" s="14" t="inlineStr">
        <is>
          <t>NB-0042</t>
        </is>
      </c>
      <c r="D1072" s="26" t="n">
        <v>45404</v>
      </c>
      <c r="E1072" s="26" t="n">
        <v>45418</v>
      </c>
      <c r="F1072" s="26" t="n">
        <v>45415</v>
      </c>
      <c r="G1072" s="14" t="n">
        <v>212</v>
      </c>
      <c r="H1072" s="14" t="n">
        <v>212</v>
      </c>
      <c r="I1072" s="14" t="n">
        <v>0</v>
      </c>
      <c r="J1072" s="58" t="n">
        <v>1467.04</v>
      </c>
      <c r="K1072" s="59">
        <f>(F1072-D1072)/7</f>
        <v/>
      </c>
      <c r="L1072" s="59">
        <f>K1072^2</f>
        <v/>
      </c>
      <c r="M1072" s="14">
        <f>IF(F1072&lt;=E1072,1,0)</f>
        <v/>
      </c>
      <c r="N1072" s="14">
        <f>MAX(0,F1072-E1072)</f>
        <v/>
      </c>
    </row>
    <row r="1073">
      <c r="A1073" s="14" t="inlineStr">
        <is>
          <t>PO-01072</t>
        </is>
      </c>
      <c r="B1073" s="14" t="inlineStr">
        <is>
          <t>S01</t>
        </is>
      </c>
      <c r="C1073" s="14" t="inlineStr">
        <is>
          <t>NB-0042</t>
        </is>
      </c>
      <c r="D1073" s="26" t="n">
        <v>45435</v>
      </c>
      <c r="E1073" s="26" t="n">
        <v>45449</v>
      </c>
      <c r="F1073" s="26" t="n">
        <v>45447</v>
      </c>
      <c r="G1073" s="14" t="n">
        <v>209</v>
      </c>
      <c r="H1073" s="14" t="n">
        <v>209</v>
      </c>
      <c r="I1073" s="14" t="n">
        <v>1</v>
      </c>
      <c r="J1073" s="58" t="n">
        <v>1446.28</v>
      </c>
      <c r="K1073" s="59">
        <f>(F1073-D1073)/7</f>
        <v/>
      </c>
      <c r="L1073" s="59">
        <f>K1073^2</f>
        <v/>
      </c>
      <c r="M1073" s="14">
        <f>IF(F1073&lt;=E1073,1,0)</f>
        <v/>
      </c>
      <c r="N1073" s="14">
        <f>MAX(0,F1073-E1073)</f>
        <v/>
      </c>
    </row>
    <row r="1074">
      <c r="A1074" s="14" t="inlineStr">
        <is>
          <t>PO-01073</t>
        </is>
      </c>
      <c r="B1074" s="14" t="inlineStr">
        <is>
          <t>S01</t>
        </is>
      </c>
      <c r="C1074" s="14" t="inlineStr">
        <is>
          <t>NB-0042</t>
        </is>
      </c>
      <c r="D1074" s="26" t="n">
        <v>45461</v>
      </c>
      <c r="E1074" s="26" t="n">
        <v>45475</v>
      </c>
      <c r="F1074" s="26" t="n">
        <v>45473</v>
      </c>
      <c r="G1074" s="14" t="n">
        <v>213</v>
      </c>
      <c r="H1074" s="14" t="n">
        <v>213</v>
      </c>
      <c r="I1074" s="14" t="n">
        <v>3</v>
      </c>
      <c r="J1074" s="58" t="n">
        <v>1473.96</v>
      </c>
      <c r="K1074" s="59">
        <f>(F1074-D1074)/7</f>
        <v/>
      </c>
      <c r="L1074" s="59">
        <f>K1074^2</f>
        <v/>
      </c>
      <c r="M1074" s="14">
        <f>IF(F1074&lt;=E1074,1,0)</f>
        <v/>
      </c>
      <c r="N1074" s="14">
        <f>MAX(0,F1074-E1074)</f>
        <v/>
      </c>
    </row>
    <row r="1075">
      <c r="A1075" s="14" t="inlineStr">
        <is>
          <t>PO-01074</t>
        </is>
      </c>
      <c r="B1075" s="14" t="inlineStr">
        <is>
          <t>S01</t>
        </is>
      </c>
      <c r="C1075" s="14" t="inlineStr">
        <is>
          <t>NB-0042</t>
        </is>
      </c>
      <c r="D1075" s="26" t="n">
        <v>45488</v>
      </c>
      <c r="E1075" s="26" t="n">
        <v>45502</v>
      </c>
      <c r="F1075" s="26" t="n">
        <v>45501</v>
      </c>
      <c r="G1075" s="14" t="n">
        <v>202</v>
      </c>
      <c r="H1075" s="14" t="n">
        <v>202</v>
      </c>
      <c r="I1075" s="14" t="n">
        <v>0</v>
      </c>
      <c r="J1075" s="58" t="n">
        <v>1397.84</v>
      </c>
      <c r="K1075" s="59">
        <f>(F1075-D1075)/7</f>
        <v/>
      </c>
      <c r="L1075" s="59">
        <f>K1075^2</f>
        <v/>
      </c>
      <c r="M1075" s="14">
        <f>IF(F1075&lt;=E1075,1,0)</f>
        <v/>
      </c>
      <c r="N1075" s="14">
        <f>MAX(0,F1075-E1075)</f>
        <v/>
      </c>
    </row>
    <row r="1076">
      <c r="A1076" s="14" t="inlineStr">
        <is>
          <t>PO-01075</t>
        </is>
      </c>
      <c r="B1076" s="14" t="inlineStr">
        <is>
          <t>S01</t>
        </is>
      </c>
      <c r="C1076" s="14" t="inlineStr">
        <is>
          <t>NB-0042</t>
        </is>
      </c>
      <c r="D1076" s="26" t="n">
        <v>45520</v>
      </c>
      <c r="E1076" s="26" t="n">
        <v>45534</v>
      </c>
      <c r="F1076" s="26" t="n">
        <v>45532</v>
      </c>
      <c r="G1076" s="14" t="n">
        <v>211</v>
      </c>
      <c r="H1076" s="14" t="n">
        <v>211</v>
      </c>
      <c r="I1076" s="14" t="n">
        <v>0</v>
      </c>
      <c r="J1076" s="58" t="n">
        <v>1460.12</v>
      </c>
      <c r="K1076" s="59">
        <f>(F1076-D1076)/7</f>
        <v/>
      </c>
      <c r="L1076" s="59">
        <f>K1076^2</f>
        <v/>
      </c>
      <c r="M1076" s="14">
        <f>IF(F1076&lt;=E1076,1,0)</f>
        <v/>
      </c>
      <c r="N1076" s="14">
        <f>MAX(0,F1076-E1076)</f>
        <v/>
      </c>
    </row>
    <row r="1077">
      <c r="A1077" s="14" t="inlineStr">
        <is>
          <t>PO-01076</t>
        </is>
      </c>
      <c r="B1077" s="14" t="inlineStr">
        <is>
          <t>S01</t>
        </is>
      </c>
      <c r="C1077" s="14" t="inlineStr">
        <is>
          <t>NB-0042</t>
        </is>
      </c>
      <c r="D1077" s="26" t="n">
        <v>45548</v>
      </c>
      <c r="E1077" s="26" t="n">
        <v>45562</v>
      </c>
      <c r="F1077" s="26" t="n">
        <v>45560</v>
      </c>
      <c r="G1077" s="14" t="n">
        <v>217</v>
      </c>
      <c r="H1077" s="14" t="n">
        <v>217</v>
      </c>
      <c r="I1077" s="14" t="n">
        <v>0</v>
      </c>
      <c r="J1077" s="58" t="n">
        <v>1501.64</v>
      </c>
      <c r="K1077" s="59">
        <f>(F1077-D1077)/7</f>
        <v/>
      </c>
      <c r="L1077" s="59">
        <f>K1077^2</f>
        <v/>
      </c>
      <c r="M1077" s="14">
        <f>IF(F1077&lt;=E1077,1,0)</f>
        <v/>
      </c>
      <c r="N1077" s="14">
        <f>MAX(0,F1077-E1077)</f>
        <v/>
      </c>
    </row>
    <row r="1078">
      <c r="A1078" s="14" t="inlineStr">
        <is>
          <t>PO-01077</t>
        </is>
      </c>
      <c r="B1078" s="14" t="inlineStr">
        <is>
          <t>S01</t>
        </is>
      </c>
      <c r="C1078" s="14" t="inlineStr">
        <is>
          <t>NB-0042</t>
        </is>
      </c>
      <c r="D1078" s="26" t="n">
        <v>45574</v>
      </c>
      <c r="E1078" s="26" t="n">
        <v>45588</v>
      </c>
      <c r="F1078" s="26" t="n">
        <v>45587</v>
      </c>
      <c r="G1078" s="14" t="n">
        <v>198</v>
      </c>
      <c r="H1078" s="14" t="n">
        <v>198</v>
      </c>
      <c r="I1078" s="14" t="n">
        <v>1</v>
      </c>
      <c r="J1078" s="58" t="n">
        <v>1370.16</v>
      </c>
      <c r="K1078" s="59">
        <f>(F1078-D1078)/7</f>
        <v/>
      </c>
      <c r="L1078" s="59">
        <f>K1078^2</f>
        <v/>
      </c>
      <c r="M1078" s="14">
        <f>IF(F1078&lt;=E1078,1,0)</f>
        <v/>
      </c>
      <c r="N1078" s="14">
        <f>MAX(0,F1078-E1078)</f>
        <v/>
      </c>
    </row>
    <row r="1079">
      <c r="A1079" s="14" t="inlineStr">
        <is>
          <t>PO-01078</t>
        </is>
      </c>
      <c r="B1079" s="14" t="inlineStr">
        <is>
          <t>S01</t>
        </is>
      </c>
      <c r="C1079" s="14" t="inlineStr">
        <is>
          <t>NB-0042</t>
        </is>
      </c>
      <c r="D1079" s="26" t="n">
        <v>45604</v>
      </c>
      <c r="E1079" s="26" t="n">
        <v>45618</v>
      </c>
      <c r="F1079" s="26" t="n">
        <v>45616</v>
      </c>
      <c r="G1079" s="14" t="n">
        <v>170</v>
      </c>
      <c r="H1079" s="14" t="n">
        <v>170</v>
      </c>
      <c r="I1079" s="14" t="n">
        <v>0</v>
      </c>
      <c r="J1079" s="58" t="n">
        <v>1176.4</v>
      </c>
      <c r="K1079" s="59">
        <f>(F1079-D1079)/7</f>
        <v/>
      </c>
      <c r="L1079" s="59">
        <f>K1079^2</f>
        <v/>
      </c>
      <c r="M1079" s="14">
        <f>IF(F1079&lt;=E1079,1,0)</f>
        <v/>
      </c>
      <c r="N1079" s="14">
        <f>MAX(0,F1079-E1079)</f>
        <v/>
      </c>
    </row>
    <row r="1080">
      <c r="A1080" s="14" t="inlineStr">
        <is>
          <t>PO-01079</t>
        </is>
      </c>
      <c r="B1080" s="14" t="inlineStr">
        <is>
          <t>S01</t>
        </is>
      </c>
      <c r="C1080" s="14" t="inlineStr">
        <is>
          <t>NB-0042</t>
        </is>
      </c>
      <c r="D1080" s="26" t="n">
        <v>45628</v>
      </c>
      <c r="E1080" s="26" t="n">
        <v>45642</v>
      </c>
      <c r="F1080" s="26" t="n">
        <v>45641</v>
      </c>
      <c r="G1080" s="14" t="n">
        <v>214</v>
      </c>
      <c r="H1080" s="14" t="n">
        <v>214</v>
      </c>
      <c r="I1080" s="14" t="n">
        <v>1</v>
      </c>
      <c r="J1080" s="58" t="n">
        <v>1480.88</v>
      </c>
      <c r="K1080" s="59">
        <f>(F1080-D1080)/7</f>
        <v/>
      </c>
      <c r="L1080" s="59">
        <f>K1080^2</f>
        <v/>
      </c>
      <c r="M1080" s="14">
        <f>IF(F1080&lt;=E1080,1,0)</f>
        <v/>
      </c>
      <c r="N1080" s="14">
        <f>MAX(0,F1080-E1080)</f>
        <v/>
      </c>
    </row>
    <row r="1081">
      <c r="A1081" s="14" t="inlineStr">
        <is>
          <t>PO-01080</t>
        </is>
      </c>
      <c r="B1081" s="14" t="inlineStr">
        <is>
          <t>S01</t>
        </is>
      </c>
      <c r="C1081" s="14" t="inlineStr">
        <is>
          <t>NB-0042</t>
        </is>
      </c>
      <c r="D1081" s="26" t="n">
        <v>45657</v>
      </c>
      <c r="E1081" s="26" t="n">
        <v>45671</v>
      </c>
      <c r="F1081" s="26" t="n">
        <v>45670</v>
      </c>
      <c r="G1081" s="14" t="n">
        <v>210</v>
      </c>
      <c r="H1081" s="14" t="n">
        <v>210</v>
      </c>
      <c r="I1081" s="14" t="n">
        <v>1</v>
      </c>
      <c r="J1081" s="58" t="n">
        <v>1453.2</v>
      </c>
      <c r="K1081" s="59">
        <f>(F1081-D1081)/7</f>
        <v/>
      </c>
      <c r="L1081" s="59">
        <f>K1081^2</f>
        <v/>
      </c>
      <c r="M1081" s="14">
        <f>IF(F1081&lt;=E1081,1,0)</f>
        <v/>
      </c>
      <c r="N1081" s="14">
        <f>MAX(0,F1081-E1081)</f>
        <v/>
      </c>
    </row>
    <row r="1082">
      <c r="A1082" s="14" t="inlineStr">
        <is>
          <t>PO-01081</t>
        </is>
      </c>
      <c r="B1082" s="14" t="inlineStr">
        <is>
          <t>S01</t>
        </is>
      </c>
      <c r="C1082" s="14" t="inlineStr">
        <is>
          <t>NB-0042</t>
        </is>
      </c>
      <c r="D1082" s="26" t="n">
        <v>45686</v>
      </c>
      <c r="E1082" s="26" t="n">
        <v>45700</v>
      </c>
      <c r="F1082" s="26" t="n">
        <v>45704</v>
      </c>
      <c r="G1082" s="14" t="n">
        <v>209</v>
      </c>
      <c r="H1082" s="14" t="n">
        <v>209</v>
      </c>
      <c r="I1082" s="14" t="n">
        <v>0</v>
      </c>
      <c r="J1082" s="58" t="n">
        <v>1446.28</v>
      </c>
      <c r="K1082" s="59">
        <f>(F1082-D1082)/7</f>
        <v/>
      </c>
      <c r="L1082" s="59">
        <f>K1082^2</f>
        <v/>
      </c>
      <c r="M1082" s="14">
        <f>IF(F1082&lt;=E1082,1,0)</f>
        <v/>
      </c>
      <c r="N1082" s="14">
        <f>MAX(0,F1082-E1082)</f>
        <v/>
      </c>
    </row>
    <row r="1083">
      <c r="A1083" s="14" t="inlineStr">
        <is>
          <t>PO-01082</t>
        </is>
      </c>
      <c r="B1083" s="14" t="inlineStr">
        <is>
          <t>S01</t>
        </is>
      </c>
      <c r="C1083" s="14" t="inlineStr">
        <is>
          <t>NB-0042</t>
        </is>
      </c>
      <c r="D1083" s="26" t="n">
        <v>45716</v>
      </c>
      <c r="E1083" s="26" t="n">
        <v>45730</v>
      </c>
      <c r="F1083" s="26" t="n">
        <v>45728</v>
      </c>
      <c r="G1083" s="14" t="n">
        <v>206</v>
      </c>
      <c r="H1083" s="14" t="n">
        <v>206</v>
      </c>
      <c r="I1083" s="14" t="n">
        <v>0</v>
      </c>
      <c r="J1083" s="58" t="n">
        <v>1425.52</v>
      </c>
      <c r="K1083" s="59">
        <f>(F1083-D1083)/7</f>
        <v/>
      </c>
      <c r="L1083" s="59">
        <f>K1083^2</f>
        <v/>
      </c>
      <c r="M1083" s="14">
        <f>IF(F1083&lt;=E1083,1,0)</f>
        <v/>
      </c>
      <c r="N1083" s="14">
        <f>MAX(0,F1083-E1083)</f>
        <v/>
      </c>
    </row>
    <row r="1084">
      <c r="A1084" s="14" t="inlineStr">
        <is>
          <t>PO-01083</t>
        </is>
      </c>
      <c r="B1084" s="14" t="inlineStr">
        <is>
          <t>S01</t>
        </is>
      </c>
      <c r="C1084" s="14" t="inlineStr">
        <is>
          <t>NB-0042</t>
        </is>
      </c>
      <c r="D1084" s="26" t="n">
        <v>45743</v>
      </c>
      <c r="E1084" s="26" t="n">
        <v>45757</v>
      </c>
      <c r="F1084" s="26" t="n">
        <v>45756</v>
      </c>
      <c r="G1084" s="14" t="n">
        <v>163</v>
      </c>
      <c r="H1084" s="14" t="n">
        <v>163</v>
      </c>
      <c r="I1084" s="14" t="n">
        <v>0</v>
      </c>
      <c r="J1084" s="58" t="n">
        <v>1127.96</v>
      </c>
      <c r="K1084" s="59">
        <f>(F1084-D1084)/7</f>
        <v/>
      </c>
      <c r="L1084" s="59">
        <f>K1084^2</f>
        <v/>
      </c>
      <c r="M1084" s="14">
        <f>IF(F1084&lt;=E1084,1,0)</f>
        <v/>
      </c>
      <c r="N1084" s="14">
        <f>MAX(0,F1084-E1084)</f>
        <v/>
      </c>
    </row>
    <row r="1085">
      <c r="A1085" s="14" t="inlineStr">
        <is>
          <t>PO-01084</t>
        </is>
      </c>
      <c r="B1085" s="14" t="inlineStr">
        <is>
          <t>S01</t>
        </is>
      </c>
      <c r="C1085" s="14" t="inlineStr">
        <is>
          <t>NB-0042</t>
        </is>
      </c>
      <c r="D1085" s="26" t="n">
        <v>45770</v>
      </c>
      <c r="E1085" s="26" t="n">
        <v>45784</v>
      </c>
      <c r="F1085" s="26" t="n">
        <v>45783</v>
      </c>
      <c r="G1085" s="14" t="n">
        <v>202</v>
      </c>
      <c r="H1085" s="14" t="n">
        <v>202</v>
      </c>
      <c r="I1085" s="14" t="n">
        <v>2</v>
      </c>
      <c r="J1085" s="58" t="n">
        <v>1397.84</v>
      </c>
      <c r="K1085" s="59">
        <f>(F1085-D1085)/7</f>
        <v/>
      </c>
      <c r="L1085" s="59">
        <f>K1085^2</f>
        <v/>
      </c>
      <c r="M1085" s="14">
        <f>IF(F1085&lt;=E1085,1,0)</f>
        <v/>
      </c>
      <c r="N1085" s="14">
        <f>MAX(0,F1085-E1085)</f>
        <v/>
      </c>
    </row>
    <row r="1086">
      <c r="A1086" s="14" t="inlineStr">
        <is>
          <t>PO-01085</t>
        </is>
      </c>
      <c r="B1086" s="14" t="inlineStr">
        <is>
          <t>S01</t>
        </is>
      </c>
      <c r="C1086" s="14" t="inlineStr">
        <is>
          <t>NB-0042</t>
        </is>
      </c>
      <c r="D1086" s="26" t="n">
        <v>45798</v>
      </c>
      <c r="E1086" s="26" t="n">
        <v>45812</v>
      </c>
      <c r="F1086" s="26" t="n">
        <v>45812</v>
      </c>
      <c r="G1086" s="14" t="n">
        <v>181</v>
      </c>
      <c r="H1086" s="14" t="n">
        <v>181</v>
      </c>
      <c r="I1086" s="14" t="n">
        <v>0</v>
      </c>
      <c r="J1086" s="58" t="n">
        <v>1252.52</v>
      </c>
      <c r="K1086" s="59">
        <f>(F1086-D1086)/7</f>
        <v/>
      </c>
      <c r="L1086" s="59">
        <f>K1086^2</f>
        <v/>
      </c>
      <c r="M1086" s="14">
        <f>IF(F1086&lt;=E1086,1,0)</f>
        <v/>
      </c>
      <c r="N1086" s="14">
        <f>MAX(0,F1086-E1086)</f>
        <v/>
      </c>
    </row>
    <row r="1087">
      <c r="A1087" s="14" t="inlineStr">
        <is>
          <t>PO-01086</t>
        </is>
      </c>
      <c r="B1087" s="14" t="inlineStr">
        <is>
          <t>S01</t>
        </is>
      </c>
      <c r="C1087" s="14" t="inlineStr">
        <is>
          <t>NB-0042</t>
        </is>
      </c>
      <c r="D1087" s="26" t="n">
        <v>45825</v>
      </c>
      <c r="E1087" s="26" t="n">
        <v>45839</v>
      </c>
      <c r="F1087" s="26" t="n">
        <v>45839</v>
      </c>
      <c r="G1087" s="14" t="n">
        <v>177</v>
      </c>
      <c r="H1087" s="14" t="n">
        <v>177</v>
      </c>
      <c r="I1087" s="14" t="n">
        <v>0</v>
      </c>
      <c r="J1087" s="58" t="n">
        <v>1224.84</v>
      </c>
      <c r="K1087" s="59">
        <f>(F1087-D1087)/7</f>
        <v/>
      </c>
      <c r="L1087" s="59">
        <f>K1087^2</f>
        <v/>
      </c>
      <c r="M1087" s="14">
        <f>IF(F1087&lt;=E1087,1,0)</f>
        <v/>
      </c>
      <c r="N1087" s="14">
        <f>MAX(0,F1087-E1087)</f>
        <v/>
      </c>
    </row>
    <row r="1088">
      <c r="A1088" s="14" t="inlineStr">
        <is>
          <t>PO-01087</t>
        </is>
      </c>
      <c r="B1088" s="14" t="inlineStr">
        <is>
          <t>S01</t>
        </is>
      </c>
      <c r="C1088" s="14" t="inlineStr">
        <is>
          <t>NB-0042</t>
        </is>
      </c>
      <c r="D1088" s="26" t="n">
        <v>45855</v>
      </c>
      <c r="E1088" s="26" t="n">
        <v>45869</v>
      </c>
      <c r="F1088" s="26" t="n">
        <v>45868</v>
      </c>
      <c r="G1088" s="14" t="n">
        <v>216</v>
      </c>
      <c r="H1088" s="14" t="n">
        <v>216</v>
      </c>
      <c r="I1088" s="14" t="n">
        <v>0</v>
      </c>
      <c r="J1088" s="58" t="n">
        <v>1494.72</v>
      </c>
      <c r="K1088" s="59">
        <f>(F1088-D1088)/7</f>
        <v/>
      </c>
      <c r="L1088" s="59">
        <f>K1088^2</f>
        <v/>
      </c>
      <c r="M1088" s="14">
        <f>IF(F1088&lt;=E1088,1,0)</f>
        <v/>
      </c>
      <c r="N1088" s="14">
        <f>MAX(0,F1088-E1088)</f>
        <v/>
      </c>
    </row>
    <row r="1089">
      <c r="A1089" s="14" t="inlineStr">
        <is>
          <t>PO-01088</t>
        </is>
      </c>
      <c r="B1089" s="14" t="inlineStr">
        <is>
          <t>S01</t>
        </is>
      </c>
      <c r="C1089" s="14" t="inlineStr">
        <is>
          <t>NB-0042</t>
        </is>
      </c>
      <c r="D1089" s="26" t="n">
        <v>45883</v>
      </c>
      <c r="E1089" s="26" t="n">
        <v>45897</v>
      </c>
      <c r="F1089" s="26" t="n">
        <v>45894</v>
      </c>
      <c r="G1089" s="14" t="n">
        <v>175</v>
      </c>
      <c r="H1089" s="14" t="n">
        <v>175</v>
      </c>
      <c r="I1089" s="14" t="n">
        <v>0</v>
      </c>
      <c r="J1089" s="58" t="n">
        <v>1211</v>
      </c>
      <c r="K1089" s="59">
        <f>(F1089-D1089)/7</f>
        <v/>
      </c>
      <c r="L1089" s="59">
        <f>K1089^2</f>
        <v/>
      </c>
      <c r="M1089" s="14">
        <f>IF(F1089&lt;=E1089,1,0)</f>
        <v/>
      </c>
      <c r="N1089" s="14">
        <f>MAX(0,F1089-E1089)</f>
        <v/>
      </c>
    </row>
    <row r="1090">
      <c r="A1090" s="14" t="inlineStr">
        <is>
          <t>PO-01089</t>
        </is>
      </c>
      <c r="B1090" s="14" t="inlineStr">
        <is>
          <t>S01</t>
        </is>
      </c>
      <c r="C1090" s="14" t="inlineStr">
        <is>
          <t>NB-0042</t>
        </is>
      </c>
      <c r="D1090" s="26" t="n">
        <v>45911</v>
      </c>
      <c r="E1090" s="26" t="n">
        <v>45925</v>
      </c>
      <c r="F1090" s="26" t="n">
        <v>45922</v>
      </c>
      <c r="G1090" s="14" t="n">
        <v>196</v>
      </c>
      <c r="H1090" s="14" t="n">
        <v>196</v>
      </c>
      <c r="I1090" s="14" t="n">
        <v>1</v>
      </c>
      <c r="J1090" s="58" t="n">
        <v>1356.32</v>
      </c>
      <c r="K1090" s="59">
        <f>(F1090-D1090)/7</f>
        <v/>
      </c>
      <c r="L1090" s="59">
        <f>K1090^2</f>
        <v/>
      </c>
      <c r="M1090" s="14">
        <f>IF(F1090&lt;=E1090,1,0)</f>
        <v/>
      </c>
      <c r="N1090" s="14">
        <f>MAX(0,F1090-E1090)</f>
        <v/>
      </c>
    </row>
    <row r="1091">
      <c r="A1091" s="14" t="inlineStr">
        <is>
          <t>PO-01090</t>
        </is>
      </c>
      <c r="B1091" s="14" t="inlineStr">
        <is>
          <t>S01</t>
        </is>
      </c>
      <c r="C1091" s="14" t="inlineStr">
        <is>
          <t>NB-0042</t>
        </is>
      </c>
      <c r="D1091" s="26" t="n">
        <v>45936</v>
      </c>
      <c r="E1091" s="26" t="n">
        <v>45950</v>
      </c>
      <c r="F1091" s="26" t="n">
        <v>45949</v>
      </c>
      <c r="G1091" s="14" t="n">
        <v>218</v>
      </c>
      <c r="H1091" s="14" t="n">
        <v>218</v>
      </c>
      <c r="I1091" s="14" t="n">
        <v>2</v>
      </c>
      <c r="J1091" s="58" t="n">
        <v>1508.56</v>
      </c>
      <c r="K1091" s="59">
        <f>(F1091-D1091)/7</f>
        <v/>
      </c>
      <c r="L1091" s="59">
        <f>K1091^2</f>
        <v/>
      </c>
      <c r="M1091" s="14">
        <f>IF(F1091&lt;=E1091,1,0)</f>
        <v/>
      </c>
      <c r="N1091" s="14">
        <f>MAX(0,F1091-E1091)</f>
        <v/>
      </c>
    </row>
    <row r="1092">
      <c r="A1092" s="14" t="inlineStr">
        <is>
          <t>PO-01091</t>
        </is>
      </c>
      <c r="B1092" s="14" t="inlineStr">
        <is>
          <t>S01</t>
        </is>
      </c>
      <c r="C1092" s="14" t="inlineStr">
        <is>
          <t>NB-0042</t>
        </is>
      </c>
      <c r="D1092" s="26" t="n">
        <v>45966</v>
      </c>
      <c r="E1092" s="26" t="n">
        <v>45980</v>
      </c>
      <c r="F1092" s="26" t="n">
        <v>45978</v>
      </c>
      <c r="G1092" s="14" t="n">
        <v>190</v>
      </c>
      <c r="H1092" s="14" t="n">
        <v>190</v>
      </c>
      <c r="I1092" s="14" t="n">
        <v>0</v>
      </c>
      <c r="J1092" s="58" t="n">
        <v>1314.8</v>
      </c>
      <c r="K1092" s="59">
        <f>(F1092-D1092)/7</f>
        <v/>
      </c>
      <c r="L1092" s="59">
        <f>K1092^2</f>
        <v/>
      </c>
      <c r="M1092" s="14">
        <f>IF(F1092&lt;=E1092,1,0)</f>
        <v/>
      </c>
      <c r="N1092" s="14">
        <f>MAX(0,F1092-E1092)</f>
        <v/>
      </c>
    </row>
    <row r="1093">
      <c r="A1093" s="14" t="inlineStr">
        <is>
          <t>PO-01092</t>
        </is>
      </c>
      <c r="B1093" s="14" t="inlineStr">
        <is>
          <t>S01</t>
        </is>
      </c>
      <c r="C1093" s="14" t="inlineStr">
        <is>
          <t>NB-0042</t>
        </is>
      </c>
      <c r="D1093" s="26" t="n">
        <v>45994</v>
      </c>
      <c r="E1093" s="26" t="n">
        <v>46008</v>
      </c>
      <c r="F1093" s="26" t="n">
        <v>46008</v>
      </c>
      <c r="G1093" s="14" t="n">
        <v>207</v>
      </c>
      <c r="H1093" s="14" t="n">
        <v>207</v>
      </c>
      <c r="I1093" s="14" t="n">
        <v>0</v>
      </c>
      <c r="J1093" s="58" t="n">
        <v>1432.44</v>
      </c>
      <c r="K1093" s="59">
        <f>(F1093-D1093)/7</f>
        <v/>
      </c>
      <c r="L1093" s="59">
        <f>K1093^2</f>
        <v/>
      </c>
      <c r="M1093" s="14">
        <f>IF(F1093&lt;=E1093,1,0)</f>
        <v/>
      </c>
      <c r="N1093" s="14">
        <f>MAX(0,F1093-E1093)</f>
        <v/>
      </c>
    </row>
    <row r="1094">
      <c r="A1094" s="14" t="inlineStr">
        <is>
          <t>PO-01093</t>
        </is>
      </c>
      <c r="B1094" s="14" t="inlineStr">
        <is>
          <t>S07</t>
        </is>
      </c>
      <c r="C1094" s="14" t="inlineStr">
        <is>
          <t>NB-0043</t>
        </is>
      </c>
      <c r="D1094" s="26" t="n">
        <v>45296</v>
      </c>
      <c r="E1094" s="26" t="n">
        <v>45352</v>
      </c>
      <c r="F1094" s="26" t="n">
        <v>45351</v>
      </c>
      <c r="G1094" s="14" t="n">
        <v>24</v>
      </c>
      <c r="H1094" s="14" t="n">
        <v>24</v>
      </c>
      <c r="I1094" s="14" t="n">
        <v>0</v>
      </c>
      <c r="J1094" s="58" t="n">
        <v>900.48</v>
      </c>
      <c r="K1094" s="59">
        <f>(F1094-D1094)/7</f>
        <v/>
      </c>
      <c r="L1094" s="59">
        <f>K1094^2</f>
        <v/>
      </c>
      <c r="M1094" s="14">
        <f>IF(F1094&lt;=E1094,1,0)</f>
        <v/>
      </c>
      <c r="N1094" s="14">
        <f>MAX(0,F1094-E1094)</f>
        <v/>
      </c>
    </row>
    <row r="1095">
      <c r="A1095" s="14" t="inlineStr">
        <is>
          <t>PO-01094</t>
        </is>
      </c>
      <c r="B1095" s="14" t="inlineStr">
        <is>
          <t>S07</t>
        </is>
      </c>
      <c r="C1095" s="14" t="inlineStr">
        <is>
          <t>NB-0043</t>
        </is>
      </c>
      <c r="D1095" s="26" t="n">
        <v>45324</v>
      </c>
      <c r="E1095" s="26" t="n">
        <v>45380</v>
      </c>
      <c r="F1095" s="26" t="n">
        <v>45402</v>
      </c>
      <c r="G1095" s="14" t="n">
        <v>19</v>
      </c>
      <c r="H1095" s="14" t="n">
        <v>19</v>
      </c>
      <c r="I1095" s="14" t="n">
        <v>0</v>
      </c>
      <c r="J1095" s="58" t="n">
        <v>712.88</v>
      </c>
      <c r="K1095" s="59">
        <f>(F1095-D1095)/7</f>
        <v/>
      </c>
      <c r="L1095" s="59">
        <f>K1095^2</f>
        <v/>
      </c>
      <c r="M1095" s="14">
        <f>IF(F1095&lt;=E1095,1,0)</f>
        <v/>
      </c>
      <c r="N1095" s="14">
        <f>MAX(0,F1095-E1095)</f>
        <v/>
      </c>
    </row>
    <row r="1096">
      <c r="A1096" s="14" t="inlineStr">
        <is>
          <t>PO-01095</t>
        </is>
      </c>
      <c r="B1096" s="14" t="inlineStr">
        <is>
          <t>S07</t>
        </is>
      </c>
      <c r="C1096" s="14" t="inlineStr">
        <is>
          <t>NB-0043</t>
        </is>
      </c>
      <c r="D1096" s="26" t="n">
        <v>45352</v>
      </c>
      <c r="E1096" s="26" t="n">
        <v>45408</v>
      </c>
      <c r="F1096" s="26" t="n">
        <v>45406</v>
      </c>
      <c r="G1096" s="14" t="n">
        <v>21</v>
      </c>
      <c r="H1096" s="14" t="n">
        <v>21</v>
      </c>
      <c r="I1096" s="14" t="n">
        <v>0</v>
      </c>
      <c r="J1096" s="58" t="n">
        <v>787.92</v>
      </c>
      <c r="K1096" s="59">
        <f>(F1096-D1096)/7</f>
        <v/>
      </c>
      <c r="L1096" s="59">
        <f>K1096^2</f>
        <v/>
      </c>
      <c r="M1096" s="14">
        <f>IF(F1096&lt;=E1096,1,0)</f>
        <v/>
      </c>
      <c r="N1096" s="14">
        <f>MAX(0,F1096-E1096)</f>
        <v/>
      </c>
    </row>
    <row r="1097">
      <c r="A1097" s="14" t="inlineStr">
        <is>
          <t>PO-01096</t>
        </is>
      </c>
      <c r="B1097" s="14" t="inlineStr">
        <is>
          <t>S07</t>
        </is>
      </c>
      <c r="C1097" s="14" t="inlineStr">
        <is>
          <t>NB-0043</t>
        </is>
      </c>
      <c r="D1097" s="26" t="n">
        <v>45376</v>
      </c>
      <c r="E1097" s="26" t="n">
        <v>45432</v>
      </c>
      <c r="F1097" s="26" t="n">
        <v>45429</v>
      </c>
      <c r="G1097" s="14" t="n">
        <v>22</v>
      </c>
      <c r="H1097" s="14" t="n">
        <v>22</v>
      </c>
      <c r="I1097" s="14" t="n">
        <v>0</v>
      </c>
      <c r="J1097" s="58" t="n">
        <v>825.4400000000001</v>
      </c>
      <c r="K1097" s="59">
        <f>(F1097-D1097)/7</f>
        <v/>
      </c>
      <c r="L1097" s="59">
        <f>K1097^2</f>
        <v/>
      </c>
      <c r="M1097" s="14">
        <f>IF(F1097&lt;=E1097,1,0)</f>
        <v/>
      </c>
      <c r="N1097" s="14">
        <f>MAX(0,F1097-E1097)</f>
        <v/>
      </c>
    </row>
    <row r="1098">
      <c r="A1098" s="14" t="inlineStr">
        <is>
          <t>PO-01097</t>
        </is>
      </c>
      <c r="B1098" s="14" t="inlineStr">
        <is>
          <t>S07</t>
        </is>
      </c>
      <c r="C1098" s="14" t="inlineStr">
        <is>
          <t>NB-0043</t>
        </is>
      </c>
      <c r="D1098" s="26" t="n">
        <v>45405</v>
      </c>
      <c r="E1098" s="26" t="n">
        <v>45461</v>
      </c>
      <c r="F1098" s="26" t="n">
        <v>45460</v>
      </c>
      <c r="G1098" s="14" t="n">
        <v>25</v>
      </c>
      <c r="H1098" s="14" t="n">
        <v>25</v>
      </c>
      <c r="I1098" s="14" t="n">
        <v>2</v>
      </c>
      <c r="J1098" s="58" t="n">
        <v>938</v>
      </c>
      <c r="K1098" s="59">
        <f>(F1098-D1098)/7</f>
        <v/>
      </c>
      <c r="L1098" s="59">
        <f>K1098^2</f>
        <v/>
      </c>
      <c r="M1098" s="14">
        <f>IF(F1098&lt;=E1098,1,0)</f>
        <v/>
      </c>
      <c r="N1098" s="14">
        <f>MAX(0,F1098-E1098)</f>
        <v/>
      </c>
    </row>
    <row r="1099">
      <c r="A1099" s="14" t="inlineStr">
        <is>
          <t>PO-01098</t>
        </is>
      </c>
      <c r="B1099" s="14" t="inlineStr">
        <is>
          <t>S07</t>
        </is>
      </c>
      <c r="C1099" s="14" t="inlineStr">
        <is>
          <t>NB-0043</t>
        </is>
      </c>
      <c r="D1099" s="26" t="n">
        <v>45435</v>
      </c>
      <c r="E1099" s="26" t="n">
        <v>45491</v>
      </c>
      <c r="F1099" s="26" t="n">
        <v>45491</v>
      </c>
      <c r="G1099" s="14" t="n">
        <v>20</v>
      </c>
      <c r="H1099" s="14" t="n">
        <v>20</v>
      </c>
      <c r="I1099" s="14" t="n">
        <v>1</v>
      </c>
      <c r="J1099" s="58" t="n">
        <v>750.4</v>
      </c>
      <c r="K1099" s="59">
        <f>(F1099-D1099)/7</f>
        <v/>
      </c>
      <c r="L1099" s="59">
        <f>K1099^2</f>
        <v/>
      </c>
      <c r="M1099" s="14">
        <f>IF(F1099&lt;=E1099,1,0)</f>
        <v/>
      </c>
      <c r="N1099" s="14">
        <f>MAX(0,F1099-E1099)</f>
        <v/>
      </c>
    </row>
    <row r="1100">
      <c r="A1100" s="14" t="inlineStr">
        <is>
          <t>PO-01099</t>
        </is>
      </c>
      <c r="B1100" s="14" t="inlineStr">
        <is>
          <t>S07</t>
        </is>
      </c>
      <c r="C1100" s="14" t="inlineStr">
        <is>
          <t>NB-0043</t>
        </is>
      </c>
      <c r="D1100" s="26" t="n">
        <v>45461</v>
      </c>
      <c r="E1100" s="26" t="n">
        <v>45517</v>
      </c>
      <c r="F1100" s="26" t="n">
        <v>45515</v>
      </c>
      <c r="G1100" s="14" t="n">
        <v>20</v>
      </c>
      <c r="H1100" s="14" t="n">
        <v>20</v>
      </c>
      <c r="I1100" s="14" t="n">
        <v>1</v>
      </c>
      <c r="J1100" s="58" t="n">
        <v>750.4</v>
      </c>
      <c r="K1100" s="59">
        <f>(F1100-D1100)/7</f>
        <v/>
      </c>
      <c r="L1100" s="59">
        <f>K1100^2</f>
        <v/>
      </c>
      <c r="M1100" s="14">
        <f>IF(F1100&lt;=E1100,1,0)</f>
        <v/>
      </c>
      <c r="N1100" s="14">
        <f>MAX(0,F1100-E1100)</f>
        <v/>
      </c>
    </row>
    <row r="1101">
      <c r="A1101" s="14" t="inlineStr">
        <is>
          <t>PO-01100</t>
        </is>
      </c>
      <c r="B1101" s="14" t="inlineStr">
        <is>
          <t>S07</t>
        </is>
      </c>
      <c r="C1101" s="14" t="inlineStr">
        <is>
          <t>NB-0043</t>
        </is>
      </c>
      <c r="D1101" s="26" t="n">
        <v>45488</v>
      </c>
      <c r="E1101" s="26" t="n">
        <v>45544</v>
      </c>
      <c r="F1101" s="26" t="n">
        <v>45561</v>
      </c>
      <c r="G1101" s="14" t="n">
        <v>25</v>
      </c>
      <c r="H1101" s="14" t="n">
        <v>25</v>
      </c>
      <c r="I1101" s="14" t="n">
        <v>0</v>
      </c>
      <c r="J1101" s="58" t="n">
        <v>938</v>
      </c>
      <c r="K1101" s="59">
        <f>(F1101-D1101)/7</f>
        <v/>
      </c>
      <c r="L1101" s="59">
        <f>K1101^2</f>
        <v/>
      </c>
      <c r="M1101" s="14">
        <f>IF(F1101&lt;=E1101,1,0)</f>
        <v/>
      </c>
      <c r="N1101" s="14">
        <f>MAX(0,F1101-E1101)</f>
        <v/>
      </c>
    </row>
    <row r="1102">
      <c r="A1102" s="14" t="inlineStr">
        <is>
          <t>PO-01101</t>
        </is>
      </c>
      <c r="B1102" s="14" t="inlineStr">
        <is>
          <t>S07</t>
        </is>
      </c>
      <c r="C1102" s="14" t="inlineStr">
        <is>
          <t>NB-0043</t>
        </is>
      </c>
      <c r="D1102" s="26" t="n">
        <v>45519</v>
      </c>
      <c r="E1102" s="26" t="n">
        <v>45575</v>
      </c>
      <c r="F1102" s="26" t="n">
        <v>45574</v>
      </c>
      <c r="G1102" s="14" t="n">
        <v>20</v>
      </c>
      <c r="H1102" s="14" t="n">
        <v>17</v>
      </c>
      <c r="I1102" s="14" t="n">
        <v>0</v>
      </c>
      <c r="J1102" s="58" t="n">
        <v>750.4</v>
      </c>
      <c r="K1102" s="59">
        <f>(F1102-D1102)/7</f>
        <v/>
      </c>
      <c r="L1102" s="59">
        <f>K1102^2</f>
        <v/>
      </c>
      <c r="M1102" s="14">
        <f>IF(F1102&lt;=E1102,1,0)</f>
        <v/>
      </c>
      <c r="N1102" s="14">
        <f>MAX(0,F1102-E1102)</f>
        <v/>
      </c>
    </row>
    <row r="1103">
      <c r="A1103" s="14" t="inlineStr">
        <is>
          <t>PO-01102</t>
        </is>
      </c>
      <c r="B1103" s="14" t="inlineStr">
        <is>
          <t>S07</t>
        </is>
      </c>
      <c r="C1103" s="14" t="inlineStr">
        <is>
          <t>NB-0043</t>
        </is>
      </c>
      <c r="D1103" s="26" t="n">
        <v>45546</v>
      </c>
      <c r="E1103" s="26" t="n">
        <v>45602</v>
      </c>
      <c r="F1103" s="26" t="n">
        <v>45602</v>
      </c>
      <c r="G1103" s="14" t="n">
        <v>18</v>
      </c>
      <c r="H1103" s="14" t="n">
        <v>18</v>
      </c>
      <c r="I1103" s="14" t="n">
        <v>0</v>
      </c>
      <c r="J1103" s="58" t="n">
        <v>675.36</v>
      </c>
      <c r="K1103" s="59">
        <f>(F1103-D1103)/7</f>
        <v/>
      </c>
      <c r="L1103" s="59">
        <f>K1103^2</f>
        <v/>
      </c>
      <c r="M1103" s="14">
        <f>IF(F1103&lt;=E1103,1,0)</f>
        <v/>
      </c>
      <c r="N1103" s="14">
        <f>MAX(0,F1103-E1103)</f>
        <v/>
      </c>
    </row>
    <row r="1104">
      <c r="A1104" s="14" t="inlineStr">
        <is>
          <t>PO-01103</t>
        </is>
      </c>
      <c r="B1104" s="14" t="inlineStr">
        <is>
          <t>S07</t>
        </is>
      </c>
      <c r="C1104" s="14" t="inlineStr">
        <is>
          <t>NB-0043</t>
        </is>
      </c>
      <c r="D1104" s="26" t="n">
        <v>45573</v>
      </c>
      <c r="E1104" s="26" t="n">
        <v>45629</v>
      </c>
      <c r="F1104" s="26" t="n">
        <v>45629</v>
      </c>
      <c r="G1104" s="14" t="n">
        <v>20</v>
      </c>
      <c r="H1104" s="14" t="n">
        <v>20</v>
      </c>
      <c r="I1104" s="14" t="n">
        <v>0</v>
      </c>
      <c r="J1104" s="58" t="n">
        <v>750.4</v>
      </c>
      <c r="K1104" s="59">
        <f>(F1104-D1104)/7</f>
        <v/>
      </c>
      <c r="L1104" s="59">
        <f>K1104^2</f>
        <v/>
      </c>
      <c r="M1104" s="14">
        <f>IF(F1104&lt;=E1104,1,0)</f>
        <v/>
      </c>
      <c r="N1104" s="14">
        <f>MAX(0,F1104-E1104)</f>
        <v/>
      </c>
    </row>
    <row r="1105">
      <c r="A1105" s="14" t="inlineStr">
        <is>
          <t>PO-01104</t>
        </is>
      </c>
      <c r="B1105" s="14" t="inlineStr">
        <is>
          <t>S07</t>
        </is>
      </c>
      <c r="C1105" s="14" t="inlineStr">
        <is>
          <t>NB-0043</t>
        </is>
      </c>
      <c r="D1105" s="26" t="n">
        <v>45604</v>
      </c>
      <c r="E1105" s="26" t="n">
        <v>45660</v>
      </c>
      <c r="F1105" s="26" t="n">
        <v>45657</v>
      </c>
      <c r="G1105" s="14" t="n">
        <v>24</v>
      </c>
      <c r="H1105" s="14" t="n">
        <v>24</v>
      </c>
      <c r="I1105" s="14" t="n">
        <v>0</v>
      </c>
      <c r="J1105" s="58" t="n">
        <v>900.48</v>
      </c>
      <c r="K1105" s="59">
        <f>(F1105-D1105)/7</f>
        <v/>
      </c>
      <c r="L1105" s="59">
        <f>K1105^2</f>
        <v/>
      </c>
      <c r="M1105" s="14">
        <f>IF(F1105&lt;=E1105,1,0)</f>
        <v/>
      </c>
      <c r="N1105" s="14">
        <f>MAX(0,F1105-E1105)</f>
        <v/>
      </c>
    </row>
    <row r="1106">
      <c r="A1106" s="14" t="inlineStr">
        <is>
          <t>PO-01105</t>
        </is>
      </c>
      <c r="B1106" s="14" t="inlineStr">
        <is>
          <t>S07</t>
        </is>
      </c>
      <c r="C1106" s="14" t="inlineStr">
        <is>
          <t>NB-0043</t>
        </is>
      </c>
      <c r="D1106" s="26" t="n">
        <v>45628</v>
      </c>
      <c r="E1106" s="26" t="n">
        <v>45684</v>
      </c>
      <c r="F1106" s="26" t="n">
        <v>45694</v>
      </c>
      <c r="G1106" s="14" t="n">
        <v>20</v>
      </c>
      <c r="H1106" s="14" t="n">
        <v>20</v>
      </c>
      <c r="I1106" s="14" t="n">
        <v>0</v>
      </c>
      <c r="J1106" s="58" t="n">
        <v>750.4</v>
      </c>
      <c r="K1106" s="59">
        <f>(F1106-D1106)/7</f>
        <v/>
      </c>
      <c r="L1106" s="59">
        <f>K1106^2</f>
        <v/>
      </c>
      <c r="M1106" s="14">
        <f>IF(F1106&lt;=E1106,1,0)</f>
        <v/>
      </c>
      <c r="N1106" s="14">
        <f>MAX(0,F1106-E1106)</f>
        <v/>
      </c>
    </row>
    <row r="1107">
      <c r="A1107" s="14" t="inlineStr">
        <is>
          <t>PO-01106</t>
        </is>
      </c>
      <c r="B1107" s="14" t="inlineStr">
        <is>
          <t>S07</t>
        </is>
      </c>
      <c r="C1107" s="14" t="inlineStr">
        <is>
          <t>NB-0043</t>
        </is>
      </c>
      <c r="D1107" s="26" t="n">
        <v>45659</v>
      </c>
      <c r="E1107" s="26" t="n">
        <v>45715</v>
      </c>
      <c r="F1107" s="26" t="n">
        <v>45714</v>
      </c>
      <c r="G1107" s="14" t="n">
        <v>24</v>
      </c>
      <c r="H1107" s="14" t="n">
        <v>24</v>
      </c>
      <c r="I1107" s="14" t="n">
        <v>1</v>
      </c>
      <c r="J1107" s="58" t="n">
        <v>900.48</v>
      </c>
      <c r="K1107" s="59">
        <f>(F1107-D1107)/7</f>
        <v/>
      </c>
      <c r="L1107" s="59">
        <f>K1107^2</f>
        <v/>
      </c>
      <c r="M1107" s="14">
        <f>IF(F1107&lt;=E1107,1,0)</f>
        <v/>
      </c>
      <c r="N1107" s="14">
        <f>MAX(0,F1107-E1107)</f>
        <v/>
      </c>
    </row>
    <row r="1108">
      <c r="A1108" s="14" t="inlineStr">
        <is>
          <t>PO-01107</t>
        </is>
      </c>
      <c r="B1108" s="14" t="inlineStr">
        <is>
          <t>S07</t>
        </is>
      </c>
      <c r="C1108" s="14" t="inlineStr">
        <is>
          <t>NB-0043</t>
        </is>
      </c>
      <c r="D1108" s="26" t="n">
        <v>45687</v>
      </c>
      <c r="E1108" s="26" t="n">
        <v>45743</v>
      </c>
      <c r="F1108" s="26" t="n">
        <v>45750</v>
      </c>
      <c r="G1108" s="14" t="n">
        <v>24</v>
      </c>
      <c r="H1108" s="14" t="n">
        <v>24</v>
      </c>
      <c r="I1108" s="14" t="n">
        <v>0</v>
      </c>
      <c r="J1108" s="58" t="n">
        <v>900.48</v>
      </c>
      <c r="K1108" s="59">
        <f>(F1108-D1108)/7</f>
        <v/>
      </c>
      <c r="L1108" s="59">
        <f>K1108^2</f>
        <v/>
      </c>
      <c r="M1108" s="14">
        <f>IF(F1108&lt;=E1108,1,0)</f>
        <v/>
      </c>
      <c r="N1108" s="14">
        <f>MAX(0,F1108-E1108)</f>
        <v/>
      </c>
    </row>
    <row r="1109">
      <c r="A1109" s="14" t="inlineStr">
        <is>
          <t>PO-01108</t>
        </is>
      </c>
      <c r="B1109" s="14" t="inlineStr">
        <is>
          <t>S07</t>
        </is>
      </c>
      <c r="C1109" s="14" t="inlineStr">
        <is>
          <t>NB-0043</t>
        </is>
      </c>
      <c r="D1109" s="26" t="n">
        <v>45716</v>
      </c>
      <c r="E1109" s="26" t="n">
        <v>45772</v>
      </c>
      <c r="F1109" s="26" t="n">
        <v>45770</v>
      </c>
      <c r="G1109" s="14" t="n">
        <v>25</v>
      </c>
      <c r="H1109" s="14" t="n">
        <v>25</v>
      </c>
      <c r="I1109" s="14" t="n">
        <v>0</v>
      </c>
      <c r="J1109" s="58" t="n">
        <v>938</v>
      </c>
      <c r="K1109" s="59">
        <f>(F1109-D1109)/7</f>
        <v/>
      </c>
      <c r="L1109" s="59">
        <f>K1109^2</f>
        <v/>
      </c>
      <c r="M1109" s="14">
        <f>IF(F1109&lt;=E1109,1,0)</f>
        <v/>
      </c>
      <c r="N1109" s="14">
        <f>MAX(0,F1109-E1109)</f>
        <v/>
      </c>
    </row>
    <row r="1110">
      <c r="A1110" s="14" t="inlineStr">
        <is>
          <t>PO-01109</t>
        </is>
      </c>
      <c r="B1110" s="14" t="inlineStr">
        <is>
          <t>S07</t>
        </is>
      </c>
      <c r="C1110" s="14" t="inlineStr">
        <is>
          <t>NB-0043</t>
        </is>
      </c>
      <c r="D1110" s="26" t="n">
        <v>45742</v>
      </c>
      <c r="E1110" s="26" t="n">
        <v>45798</v>
      </c>
      <c r="F1110" s="26" t="n">
        <v>45796</v>
      </c>
      <c r="G1110" s="14" t="n">
        <v>24</v>
      </c>
      <c r="H1110" s="14" t="n">
        <v>24</v>
      </c>
      <c r="I1110" s="14" t="n">
        <v>2</v>
      </c>
      <c r="J1110" s="58" t="n">
        <v>900.48</v>
      </c>
      <c r="K1110" s="59">
        <f>(F1110-D1110)/7</f>
        <v/>
      </c>
      <c r="L1110" s="59">
        <f>K1110^2</f>
        <v/>
      </c>
      <c r="M1110" s="14">
        <f>IF(F1110&lt;=E1110,1,0)</f>
        <v/>
      </c>
      <c r="N1110" s="14">
        <f>MAX(0,F1110-E1110)</f>
        <v/>
      </c>
    </row>
    <row r="1111">
      <c r="A1111" s="14" t="inlineStr">
        <is>
          <t>PO-01110</t>
        </is>
      </c>
      <c r="B1111" s="14" t="inlineStr">
        <is>
          <t>S07</t>
        </is>
      </c>
      <c r="C1111" s="14" t="inlineStr">
        <is>
          <t>NB-0043</t>
        </is>
      </c>
      <c r="D1111" s="26" t="n">
        <v>45769</v>
      </c>
      <c r="E1111" s="26" t="n">
        <v>45825</v>
      </c>
      <c r="F1111" s="26" t="n">
        <v>45823</v>
      </c>
      <c r="G1111" s="14" t="n">
        <v>20</v>
      </c>
      <c r="H1111" s="14" t="n">
        <v>20</v>
      </c>
      <c r="I1111" s="14" t="n">
        <v>0</v>
      </c>
      <c r="J1111" s="58" t="n">
        <v>750.4</v>
      </c>
      <c r="K1111" s="59">
        <f>(F1111-D1111)/7</f>
        <v/>
      </c>
      <c r="L1111" s="59">
        <f>K1111^2</f>
        <v/>
      </c>
      <c r="M1111" s="14">
        <f>IF(F1111&lt;=E1111,1,0)</f>
        <v/>
      </c>
      <c r="N1111" s="14">
        <f>MAX(0,F1111-E1111)</f>
        <v/>
      </c>
    </row>
    <row r="1112">
      <c r="A1112" s="14" t="inlineStr">
        <is>
          <t>PO-01111</t>
        </is>
      </c>
      <c r="B1112" s="14" t="inlineStr">
        <is>
          <t>S07</t>
        </is>
      </c>
      <c r="C1112" s="14" t="inlineStr">
        <is>
          <t>NB-0043</t>
        </is>
      </c>
      <c r="D1112" s="26" t="n">
        <v>45799</v>
      </c>
      <c r="E1112" s="26" t="n">
        <v>45855</v>
      </c>
      <c r="F1112" s="26" t="n">
        <v>45853</v>
      </c>
      <c r="G1112" s="14" t="n">
        <v>22</v>
      </c>
      <c r="H1112" s="14" t="n">
        <v>22</v>
      </c>
      <c r="I1112" s="14" t="n">
        <v>0</v>
      </c>
      <c r="J1112" s="58" t="n">
        <v>825.4400000000001</v>
      </c>
      <c r="K1112" s="59">
        <f>(F1112-D1112)/7</f>
        <v/>
      </c>
      <c r="L1112" s="59">
        <f>K1112^2</f>
        <v/>
      </c>
      <c r="M1112" s="14">
        <f>IF(F1112&lt;=E1112,1,0)</f>
        <v/>
      </c>
      <c r="N1112" s="14">
        <f>MAX(0,F1112-E1112)</f>
        <v/>
      </c>
    </row>
    <row r="1113">
      <c r="A1113" s="14" t="inlineStr">
        <is>
          <t>PO-01112</t>
        </is>
      </c>
      <c r="B1113" s="14" t="inlineStr">
        <is>
          <t>S07</t>
        </is>
      </c>
      <c r="C1113" s="14" t="inlineStr">
        <is>
          <t>NB-0043</t>
        </is>
      </c>
      <c r="D1113" s="26" t="n">
        <v>45825</v>
      </c>
      <c r="E1113" s="26" t="n">
        <v>45881</v>
      </c>
      <c r="F1113" s="26" t="n">
        <v>45881</v>
      </c>
      <c r="G1113" s="14" t="n">
        <v>19</v>
      </c>
      <c r="H1113" s="14" t="n">
        <v>19</v>
      </c>
      <c r="I1113" s="14" t="n">
        <v>0</v>
      </c>
      <c r="J1113" s="58" t="n">
        <v>712.88</v>
      </c>
      <c r="K1113" s="59">
        <f>(F1113-D1113)/7</f>
        <v/>
      </c>
      <c r="L1113" s="59">
        <f>K1113^2</f>
        <v/>
      </c>
      <c r="M1113" s="14">
        <f>IF(F1113&lt;=E1113,1,0)</f>
        <v/>
      </c>
      <c r="N1113" s="14">
        <f>MAX(0,F1113-E1113)</f>
        <v/>
      </c>
    </row>
    <row r="1114">
      <c r="A1114" s="14" t="inlineStr">
        <is>
          <t>PO-01113</t>
        </is>
      </c>
      <c r="B1114" s="14" t="inlineStr">
        <is>
          <t>S07</t>
        </is>
      </c>
      <c r="C1114" s="14" t="inlineStr">
        <is>
          <t>NB-0043</t>
        </is>
      </c>
      <c r="D1114" s="26" t="n">
        <v>45856</v>
      </c>
      <c r="E1114" s="26" t="n">
        <v>45912</v>
      </c>
      <c r="F1114" s="26" t="n">
        <v>45910</v>
      </c>
      <c r="G1114" s="14" t="n">
        <v>19</v>
      </c>
      <c r="H1114" s="14" t="n">
        <v>19</v>
      </c>
      <c r="I1114" s="14" t="n">
        <v>0</v>
      </c>
      <c r="J1114" s="58" t="n">
        <v>712.88</v>
      </c>
      <c r="K1114" s="59">
        <f>(F1114-D1114)/7</f>
        <v/>
      </c>
      <c r="L1114" s="59">
        <f>K1114^2</f>
        <v/>
      </c>
      <c r="M1114" s="14">
        <f>IF(F1114&lt;=E1114,1,0)</f>
        <v/>
      </c>
      <c r="N1114" s="14">
        <f>MAX(0,F1114-E1114)</f>
        <v/>
      </c>
    </row>
    <row r="1115">
      <c r="A1115" s="14" t="inlineStr">
        <is>
          <t>PO-01114</t>
        </is>
      </c>
      <c r="B1115" s="14" t="inlineStr">
        <is>
          <t>S07</t>
        </is>
      </c>
      <c r="C1115" s="14" t="inlineStr">
        <is>
          <t>NB-0043</t>
        </is>
      </c>
      <c r="D1115" s="26" t="n">
        <v>45884</v>
      </c>
      <c r="E1115" s="26" t="n">
        <v>45940</v>
      </c>
      <c r="F1115" s="26" t="n">
        <v>45938</v>
      </c>
      <c r="G1115" s="14" t="n">
        <v>24</v>
      </c>
      <c r="H1115" s="14" t="n">
        <v>24</v>
      </c>
      <c r="I1115" s="14" t="n">
        <v>1</v>
      </c>
      <c r="J1115" s="58" t="n">
        <v>900.48</v>
      </c>
      <c r="K1115" s="59">
        <f>(F1115-D1115)/7</f>
        <v/>
      </c>
      <c r="L1115" s="59">
        <f>K1115^2</f>
        <v/>
      </c>
      <c r="M1115" s="14">
        <f>IF(F1115&lt;=E1115,1,0)</f>
        <v/>
      </c>
      <c r="N1115" s="14">
        <f>MAX(0,F1115-E1115)</f>
        <v/>
      </c>
    </row>
    <row r="1116">
      <c r="A1116" s="14" t="inlineStr">
        <is>
          <t>PO-01115</t>
        </is>
      </c>
      <c r="B1116" s="14" t="inlineStr">
        <is>
          <t>S07</t>
        </is>
      </c>
      <c r="C1116" s="14" t="inlineStr">
        <is>
          <t>NB-0043</t>
        </is>
      </c>
      <c r="D1116" s="26" t="n">
        <v>45911</v>
      </c>
      <c r="E1116" s="26" t="n">
        <v>45967</v>
      </c>
      <c r="F1116" s="26" t="n">
        <v>45966</v>
      </c>
      <c r="G1116" s="14" t="n">
        <v>19</v>
      </c>
      <c r="H1116" s="14" t="n">
        <v>19</v>
      </c>
      <c r="I1116" s="14" t="n">
        <v>1</v>
      </c>
      <c r="J1116" s="58" t="n">
        <v>712.88</v>
      </c>
      <c r="K1116" s="59">
        <f>(F1116-D1116)/7</f>
        <v/>
      </c>
      <c r="L1116" s="59">
        <f>K1116^2</f>
        <v/>
      </c>
      <c r="M1116" s="14">
        <f>IF(F1116&lt;=E1116,1,0)</f>
        <v/>
      </c>
      <c r="N1116" s="14">
        <f>MAX(0,F1116-E1116)</f>
        <v/>
      </c>
    </row>
    <row r="1117">
      <c r="A1117" s="14" t="inlineStr">
        <is>
          <t>PO-01116</t>
        </is>
      </c>
      <c r="B1117" s="14" t="inlineStr">
        <is>
          <t>S07</t>
        </is>
      </c>
      <c r="C1117" s="14" t="inlineStr">
        <is>
          <t>NB-0043</t>
        </is>
      </c>
      <c r="D1117" s="26" t="n">
        <v>45940</v>
      </c>
      <c r="E1117" s="26" t="n">
        <v>45996</v>
      </c>
      <c r="F1117" s="26" t="n">
        <v>45998</v>
      </c>
      <c r="G1117" s="14" t="n">
        <v>22</v>
      </c>
      <c r="H1117" s="14" t="n">
        <v>22</v>
      </c>
      <c r="I1117" s="14" t="n">
        <v>0</v>
      </c>
      <c r="J1117" s="58" t="n">
        <v>825.4400000000001</v>
      </c>
      <c r="K1117" s="59">
        <f>(F1117-D1117)/7</f>
        <v/>
      </c>
      <c r="L1117" s="59">
        <f>K1117^2</f>
        <v/>
      </c>
      <c r="M1117" s="14">
        <f>IF(F1117&lt;=E1117,1,0)</f>
        <v/>
      </c>
      <c r="N1117" s="14">
        <f>MAX(0,F1117-E1117)</f>
        <v/>
      </c>
    </row>
    <row r="1118">
      <c r="A1118" s="14" t="inlineStr">
        <is>
          <t>PO-01117</t>
        </is>
      </c>
      <c r="B1118" s="14" t="inlineStr">
        <is>
          <t>S07</t>
        </is>
      </c>
      <c r="C1118" s="14" t="inlineStr">
        <is>
          <t>NB-0043</t>
        </is>
      </c>
      <c r="D1118" s="26" t="n">
        <v>45965</v>
      </c>
      <c r="E1118" s="26" t="n">
        <v>46021</v>
      </c>
      <c r="F1118" s="26" t="n">
        <v>46020</v>
      </c>
      <c r="G1118" s="14" t="n">
        <v>21</v>
      </c>
      <c r="H1118" s="14" t="n">
        <v>21</v>
      </c>
      <c r="I1118" s="14" t="n">
        <v>1</v>
      </c>
      <c r="J1118" s="58" t="n">
        <v>787.92</v>
      </c>
      <c r="K1118" s="59">
        <f>(F1118-D1118)/7</f>
        <v/>
      </c>
      <c r="L1118" s="59">
        <f>K1118^2</f>
        <v/>
      </c>
      <c r="M1118" s="14">
        <f>IF(F1118&lt;=E1118,1,0)</f>
        <v/>
      </c>
      <c r="N1118" s="14">
        <f>MAX(0,F1118-E1118)</f>
        <v/>
      </c>
    </row>
    <row r="1119">
      <c r="A1119" s="14" t="inlineStr">
        <is>
          <t>PO-01118</t>
        </is>
      </c>
      <c r="B1119" s="14" t="inlineStr">
        <is>
          <t>S07</t>
        </is>
      </c>
      <c r="C1119" s="14" t="inlineStr">
        <is>
          <t>NB-0043</t>
        </is>
      </c>
      <c r="D1119" s="26" t="n">
        <v>45993</v>
      </c>
      <c r="E1119" s="26" t="n">
        <v>46049</v>
      </c>
      <c r="F1119" s="26" t="n">
        <v>46049</v>
      </c>
      <c r="G1119" s="14" t="n">
        <v>23</v>
      </c>
      <c r="H1119" s="14" t="n">
        <v>23</v>
      </c>
      <c r="I1119" s="14" t="n">
        <v>0</v>
      </c>
      <c r="J1119" s="58" t="n">
        <v>862.96</v>
      </c>
      <c r="K1119" s="59">
        <f>(F1119-D1119)/7</f>
        <v/>
      </c>
      <c r="L1119" s="59">
        <f>K1119^2</f>
        <v/>
      </c>
      <c r="M1119" s="14">
        <f>IF(F1119&lt;=E1119,1,0)</f>
        <v/>
      </c>
      <c r="N1119" s="14">
        <f>MAX(0,F1119-E1119)</f>
        <v/>
      </c>
    </row>
    <row r="1120">
      <c r="A1120" s="14" t="inlineStr">
        <is>
          <t>PO-01119</t>
        </is>
      </c>
      <c r="B1120" s="14" t="inlineStr">
        <is>
          <t>S07</t>
        </is>
      </c>
      <c r="C1120" s="14" t="inlineStr">
        <is>
          <t>NB-0044</t>
        </is>
      </c>
      <c r="D1120" s="26" t="n">
        <v>45292</v>
      </c>
      <c r="E1120" s="26" t="n">
        <v>45348</v>
      </c>
      <c r="F1120" s="26" t="n">
        <v>45348</v>
      </c>
      <c r="G1120" s="14" t="n">
        <v>55</v>
      </c>
      <c r="H1120" s="14" t="n">
        <v>55</v>
      </c>
      <c r="I1120" s="14" t="n">
        <v>2</v>
      </c>
      <c r="J1120" s="58" t="n">
        <v>1852.95</v>
      </c>
      <c r="K1120" s="59">
        <f>(F1120-D1120)/7</f>
        <v/>
      </c>
      <c r="L1120" s="59">
        <f>K1120^2</f>
        <v/>
      </c>
      <c r="M1120" s="14">
        <f>IF(F1120&lt;=E1120,1,0)</f>
        <v/>
      </c>
      <c r="N1120" s="14">
        <f>MAX(0,F1120-E1120)</f>
        <v/>
      </c>
    </row>
    <row r="1121">
      <c r="A1121" s="14" t="inlineStr">
        <is>
          <t>PO-01120</t>
        </is>
      </c>
      <c r="B1121" s="14" t="inlineStr">
        <is>
          <t>S07</t>
        </is>
      </c>
      <c r="C1121" s="14" t="inlineStr">
        <is>
          <t>NB-0044</t>
        </is>
      </c>
      <c r="D1121" s="26" t="n">
        <v>45322</v>
      </c>
      <c r="E1121" s="26" t="n">
        <v>45378</v>
      </c>
      <c r="F1121" s="26" t="n">
        <v>45378</v>
      </c>
      <c r="G1121" s="14" t="n">
        <v>54</v>
      </c>
      <c r="H1121" s="14" t="n">
        <v>54</v>
      </c>
      <c r="I1121" s="14" t="n">
        <v>1</v>
      </c>
      <c r="J1121" s="58" t="n">
        <v>1819.26</v>
      </c>
      <c r="K1121" s="59">
        <f>(F1121-D1121)/7</f>
        <v/>
      </c>
      <c r="L1121" s="59">
        <f>K1121^2</f>
        <v/>
      </c>
      <c r="M1121" s="14">
        <f>IF(F1121&lt;=E1121,1,0)</f>
        <v/>
      </c>
      <c r="N1121" s="14">
        <f>MAX(0,F1121-E1121)</f>
        <v/>
      </c>
    </row>
    <row r="1122">
      <c r="A1122" s="14" t="inlineStr">
        <is>
          <t>PO-01121</t>
        </is>
      </c>
      <c r="B1122" s="14" t="inlineStr">
        <is>
          <t>S07</t>
        </is>
      </c>
      <c r="C1122" s="14" t="inlineStr">
        <is>
          <t>NB-0044</t>
        </is>
      </c>
      <c r="D1122" s="26" t="n">
        <v>45351</v>
      </c>
      <c r="E1122" s="26" t="n">
        <v>45407</v>
      </c>
      <c r="F1122" s="26" t="n">
        <v>45415</v>
      </c>
      <c r="G1122" s="14" t="n">
        <v>52</v>
      </c>
      <c r="H1122" s="14" t="n">
        <v>52</v>
      </c>
      <c r="I1122" s="14" t="n">
        <v>1</v>
      </c>
      <c r="J1122" s="58" t="n">
        <v>1751.88</v>
      </c>
      <c r="K1122" s="59">
        <f>(F1122-D1122)/7</f>
        <v/>
      </c>
      <c r="L1122" s="59">
        <f>K1122^2</f>
        <v/>
      </c>
      <c r="M1122" s="14">
        <f>IF(F1122&lt;=E1122,1,0)</f>
        <v/>
      </c>
      <c r="N1122" s="14">
        <f>MAX(0,F1122-E1122)</f>
        <v/>
      </c>
    </row>
    <row r="1123">
      <c r="A1123" s="14" t="inlineStr">
        <is>
          <t>PO-01122</t>
        </is>
      </c>
      <c r="B1123" s="14" t="inlineStr">
        <is>
          <t>S07</t>
        </is>
      </c>
      <c r="C1123" s="14" t="inlineStr">
        <is>
          <t>NB-0044</t>
        </is>
      </c>
      <c r="D1123" s="26" t="n">
        <v>45378</v>
      </c>
      <c r="E1123" s="26" t="n">
        <v>45434</v>
      </c>
      <c r="F1123" s="26" t="n">
        <v>45433</v>
      </c>
      <c r="G1123" s="14" t="n">
        <v>50</v>
      </c>
      <c r="H1123" s="14" t="n">
        <v>50</v>
      </c>
      <c r="I1123" s="14" t="n">
        <v>0</v>
      </c>
      <c r="J1123" s="58" t="n">
        <v>1684.5</v>
      </c>
      <c r="K1123" s="59">
        <f>(F1123-D1123)/7</f>
        <v/>
      </c>
      <c r="L1123" s="59">
        <f>K1123^2</f>
        <v/>
      </c>
      <c r="M1123" s="14">
        <f>IF(F1123&lt;=E1123,1,0)</f>
        <v/>
      </c>
      <c r="N1123" s="14">
        <f>MAX(0,F1123-E1123)</f>
        <v/>
      </c>
    </row>
    <row r="1124">
      <c r="A1124" s="14" t="inlineStr">
        <is>
          <t>PO-01123</t>
        </is>
      </c>
      <c r="B1124" s="14" t="inlineStr">
        <is>
          <t>S07</t>
        </is>
      </c>
      <c r="C1124" s="14" t="inlineStr">
        <is>
          <t>NB-0044</t>
        </is>
      </c>
      <c r="D1124" s="26" t="n">
        <v>45407</v>
      </c>
      <c r="E1124" s="26" t="n">
        <v>45463</v>
      </c>
      <c r="F1124" s="26" t="n">
        <v>45463</v>
      </c>
      <c r="G1124" s="14" t="n">
        <v>49</v>
      </c>
      <c r="H1124" s="14" t="n">
        <v>49</v>
      </c>
      <c r="I1124" s="14" t="n">
        <v>0</v>
      </c>
      <c r="J1124" s="58" t="n">
        <v>1650.81</v>
      </c>
      <c r="K1124" s="59">
        <f>(F1124-D1124)/7</f>
        <v/>
      </c>
      <c r="L1124" s="59">
        <f>K1124^2</f>
        <v/>
      </c>
      <c r="M1124" s="14">
        <f>IF(F1124&lt;=E1124,1,0)</f>
        <v/>
      </c>
      <c r="N1124" s="14">
        <f>MAX(0,F1124-E1124)</f>
        <v/>
      </c>
    </row>
    <row r="1125">
      <c r="A1125" s="14" t="inlineStr">
        <is>
          <t>PO-01124</t>
        </is>
      </c>
      <c r="B1125" s="14" t="inlineStr">
        <is>
          <t>S07</t>
        </is>
      </c>
      <c r="C1125" s="14" t="inlineStr">
        <is>
          <t>NB-0044</t>
        </is>
      </c>
      <c r="D1125" s="26" t="n">
        <v>45432</v>
      </c>
      <c r="E1125" s="26" t="n">
        <v>45488</v>
      </c>
      <c r="F1125" s="26" t="n">
        <v>45487</v>
      </c>
      <c r="G1125" s="14" t="n">
        <v>46</v>
      </c>
      <c r="H1125" s="14" t="n">
        <v>46</v>
      </c>
      <c r="I1125" s="14" t="n">
        <v>1</v>
      </c>
      <c r="J1125" s="58" t="n">
        <v>1549.74</v>
      </c>
      <c r="K1125" s="59">
        <f>(F1125-D1125)/7</f>
        <v/>
      </c>
      <c r="L1125" s="59">
        <f>K1125^2</f>
        <v/>
      </c>
      <c r="M1125" s="14">
        <f>IF(F1125&lt;=E1125,1,0)</f>
        <v/>
      </c>
      <c r="N1125" s="14">
        <f>MAX(0,F1125-E1125)</f>
        <v/>
      </c>
    </row>
    <row r="1126">
      <c r="A1126" s="14" t="inlineStr">
        <is>
          <t>PO-01125</t>
        </is>
      </c>
      <c r="B1126" s="14" t="inlineStr">
        <is>
          <t>S07</t>
        </is>
      </c>
      <c r="C1126" s="14" t="inlineStr">
        <is>
          <t>NB-0044</t>
        </is>
      </c>
      <c r="D1126" s="26" t="n">
        <v>45460</v>
      </c>
      <c r="E1126" s="26" t="n">
        <v>45516</v>
      </c>
      <c r="F1126" s="26" t="n">
        <v>45515</v>
      </c>
      <c r="G1126" s="14" t="n">
        <v>42</v>
      </c>
      <c r="H1126" s="14" t="n">
        <v>42</v>
      </c>
      <c r="I1126" s="14" t="n">
        <v>1</v>
      </c>
      <c r="J1126" s="58" t="n">
        <v>1414.98</v>
      </c>
      <c r="K1126" s="59">
        <f>(F1126-D1126)/7</f>
        <v/>
      </c>
      <c r="L1126" s="59">
        <f>K1126^2</f>
        <v/>
      </c>
      <c r="M1126" s="14">
        <f>IF(F1126&lt;=E1126,1,0)</f>
        <v/>
      </c>
      <c r="N1126" s="14">
        <f>MAX(0,F1126-E1126)</f>
        <v/>
      </c>
    </row>
    <row r="1127">
      <c r="A1127" s="14" t="inlineStr">
        <is>
          <t>PO-01126</t>
        </is>
      </c>
      <c r="B1127" s="14" t="inlineStr">
        <is>
          <t>S07</t>
        </is>
      </c>
      <c r="C1127" s="14" t="inlineStr">
        <is>
          <t>NB-0044</t>
        </is>
      </c>
      <c r="D1127" s="26" t="n">
        <v>45489</v>
      </c>
      <c r="E1127" s="26" t="n">
        <v>45545</v>
      </c>
      <c r="F1127" s="26" t="n">
        <v>45545</v>
      </c>
      <c r="G1127" s="14" t="n">
        <v>44</v>
      </c>
      <c r="H1127" s="14" t="n">
        <v>44</v>
      </c>
      <c r="I1127" s="14" t="n">
        <v>3</v>
      </c>
      <c r="J1127" s="58" t="n">
        <v>1482.36</v>
      </c>
      <c r="K1127" s="59">
        <f>(F1127-D1127)/7</f>
        <v/>
      </c>
      <c r="L1127" s="59">
        <f>K1127^2</f>
        <v/>
      </c>
      <c r="M1127" s="14">
        <f>IF(F1127&lt;=E1127,1,0)</f>
        <v/>
      </c>
      <c r="N1127" s="14">
        <f>MAX(0,F1127-E1127)</f>
        <v/>
      </c>
    </row>
    <row r="1128">
      <c r="A1128" s="14" t="inlineStr">
        <is>
          <t>PO-01127</t>
        </is>
      </c>
      <c r="B1128" s="14" t="inlineStr">
        <is>
          <t>S07</t>
        </is>
      </c>
      <c r="C1128" s="14" t="inlineStr">
        <is>
          <t>NB-0044</t>
        </is>
      </c>
      <c r="D1128" s="26" t="n">
        <v>45516</v>
      </c>
      <c r="E1128" s="26" t="n">
        <v>45572</v>
      </c>
      <c r="F1128" s="26" t="n">
        <v>45572</v>
      </c>
      <c r="G1128" s="14" t="n">
        <v>42</v>
      </c>
      <c r="H1128" s="14" t="n">
        <v>42</v>
      </c>
      <c r="I1128" s="14" t="n">
        <v>0</v>
      </c>
      <c r="J1128" s="58" t="n">
        <v>1414.98</v>
      </c>
      <c r="K1128" s="59">
        <f>(F1128-D1128)/7</f>
        <v/>
      </c>
      <c r="L1128" s="59">
        <f>K1128^2</f>
        <v/>
      </c>
      <c r="M1128" s="14">
        <f>IF(F1128&lt;=E1128,1,0)</f>
        <v/>
      </c>
      <c r="N1128" s="14">
        <f>MAX(0,F1128-E1128)</f>
        <v/>
      </c>
    </row>
    <row r="1129">
      <c r="A1129" s="14" t="inlineStr">
        <is>
          <t>PO-01128</t>
        </is>
      </c>
      <c r="B1129" s="14" t="inlineStr">
        <is>
          <t>S07</t>
        </is>
      </c>
      <c r="C1129" s="14" t="inlineStr">
        <is>
          <t>NB-0044</t>
        </is>
      </c>
      <c r="D1129" s="26" t="n">
        <v>45545</v>
      </c>
      <c r="E1129" s="26" t="n">
        <v>45601</v>
      </c>
      <c r="F1129" s="26" t="n">
        <v>45600</v>
      </c>
      <c r="G1129" s="14" t="n">
        <v>46</v>
      </c>
      <c r="H1129" s="14" t="n">
        <v>46</v>
      </c>
      <c r="I1129" s="14" t="n">
        <v>1</v>
      </c>
      <c r="J1129" s="58" t="n">
        <v>1549.74</v>
      </c>
      <c r="K1129" s="59">
        <f>(F1129-D1129)/7</f>
        <v/>
      </c>
      <c r="L1129" s="59">
        <f>K1129^2</f>
        <v/>
      </c>
      <c r="M1129" s="14">
        <f>IF(F1129&lt;=E1129,1,0)</f>
        <v/>
      </c>
      <c r="N1129" s="14">
        <f>MAX(0,F1129-E1129)</f>
        <v/>
      </c>
    </row>
    <row r="1130">
      <c r="A1130" s="14" t="inlineStr">
        <is>
          <t>PO-01129</t>
        </is>
      </c>
      <c r="B1130" s="14" t="inlineStr">
        <is>
          <t>S07</t>
        </is>
      </c>
      <c r="C1130" s="14" t="inlineStr">
        <is>
          <t>NB-0044</t>
        </is>
      </c>
      <c r="D1130" s="26" t="n">
        <v>45575</v>
      </c>
      <c r="E1130" s="26" t="n">
        <v>45631</v>
      </c>
      <c r="F1130" s="26" t="n">
        <v>45631</v>
      </c>
      <c r="G1130" s="14" t="n">
        <v>56</v>
      </c>
      <c r="H1130" s="14" t="n">
        <v>56</v>
      </c>
      <c r="I1130" s="14" t="n">
        <v>3</v>
      </c>
      <c r="J1130" s="58" t="n">
        <v>1886.64</v>
      </c>
      <c r="K1130" s="59">
        <f>(F1130-D1130)/7</f>
        <v/>
      </c>
      <c r="L1130" s="59">
        <f>K1130^2</f>
        <v/>
      </c>
      <c r="M1130" s="14">
        <f>IF(F1130&lt;=E1130,1,0)</f>
        <v/>
      </c>
      <c r="N1130" s="14">
        <f>MAX(0,F1130-E1130)</f>
        <v/>
      </c>
    </row>
    <row r="1131">
      <c r="A1131" s="14" t="inlineStr">
        <is>
          <t>PO-01130</t>
        </is>
      </c>
      <c r="B1131" s="14" t="inlineStr">
        <is>
          <t>S07</t>
        </is>
      </c>
      <c r="C1131" s="14" t="inlineStr">
        <is>
          <t>NB-0044</t>
        </is>
      </c>
      <c r="D1131" s="26" t="n">
        <v>45604</v>
      </c>
      <c r="E1131" s="26" t="n">
        <v>45660</v>
      </c>
      <c r="F1131" s="26" t="n">
        <v>45669</v>
      </c>
      <c r="G1131" s="14" t="n">
        <v>45</v>
      </c>
      <c r="H1131" s="14" t="n">
        <v>45</v>
      </c>
      <c r="I1131" s="14" t="n">
        <v>1</v>
      </c>
      <c r="J1131" s="58" t="n">
        <v>1516.05</v>
      </c>
      <c r="K1131" s="59">
        <f>(F1131-D1131)/7</f>
        <v/>
      </c>
      <c r="L1131" s="59">
        <f>K1131^2</f>
        <v/>
      </c>
      <c r="M1131" s="14">
        <f>IF(F1131&lt;=E1131,1,0)</f>
        <v/>
      </c>
      <c r="N1131" s="14">
        <f>MAX(0,F1131-E1131)</f>
        <v/>
      </c>
    </row>
    <row r="1132">
      <c r="A1132" s="14" t="inlineStr">
        <is>
          <t>PO-01131</t>
        </is>
      </c>
      <c r="B1132" s="14" t="inlineStr">
        <is>
          <t>S07</t>
        </is>
      </c>
      <c r="C1132" s="14" t="inlineStr">
        <is>
          <t>NB-0044</t>
        </is>
      </c>
      <c r="D1132" s="26" t="n">
        <v>45630</v>
      </c>
      <c r="E1132" s="26" t="n">
        <v>45686</v>
      </c>
      <c r="F1132" s="26" t="n">
        <v>45709</v>
      </c>
      <c r="G1132" s="14" t="n">
        <v>49</v>
      </c>
      <c r="H1132" s="14" t="n">
        <v>49</v>
      </c>
      <c r="I1132" s="14" t="n">
        <v>1</v>
      </c>
      <c r="J1132" s="58" t="n">
        <v>1650.81</v>
      </c>
      <c r="K1132" s="59">
        <f>(F1132-D1132)/7</f>
        <v/>
      </c>
      <c r="L1132" s="59">
        <f>K1132^2</f>
        <v/>
      </c>
      <c r="M1132" s="14">
        <f>IF(F1132&lt;=E1132,1,0)</f>
        <v/>
      </c>
      <c r="N1132" s="14">
        <f>MAX(0,F1132-E1132)</f>
        <v/>
      </c>
    </row>
    <row r="1133">
      <c r="A1133" s="14" t="inlineStr">
        <is>
          <t>PO-01132</t>
        </is>
      </c>
      <c r="B1133" s="14" t="inlineStr">
        <is>
          <t>S07</t>
        </is>
      </c>
      <c r="C1133" s="14" t="inlineStr">
        <is>
          <t>NB-0044</t>
        </is>
      </c>
      <c r="D1133" s="26" t="n">
        <v>45657</v>
      </c>
      <c r="E1133" s="26" t="n">
        <v>45713</v>
      </c>
      <c r="F1133" s="26" t="n">
        <v>45729</v>
      </c>
      <c r="G1133" s="14" t="n">
        <v>50</v>
      </c>
      <c r="H1133" s="14" t="n">
        <v>50</v>
      </c>
      <c r="I1133" s="14" t="n">
        <v>2</v>
      </c>
      <c r="J1133" s="58" t="n">
        <v>1684.5</v>
      </c>
      <c r="K1133" s="59">
        <f>(F1133-D1133)/7</f>
        <v/>
      </c>
      <c r="L1133" s="59">
        <f>K1133^2</f>
        <v/>
      </c>
      <c r="M1133" s="14">
        <f>IF(F1133&lt;=E1133,1,0)</f>
        <v/>
      </c>
      <c r="N1133" s="14">
        <f>MAX(0,F1133-E1133)</f>
        <v/>
      </c>
    </row>
    <row r="1134">
      <c r="A1134" s="14" t="inlineStr">
        <is>
          <t>PO-01133</t>
        </is>
      </c>
      <c r="B1134" s="14" t="inlineStr">
        <is>
          <t>S07</t>
        </is>
      </c>
      <c r="C1134" s="14" t="inlineStr">
        <is>
          <t>NB-0044</t>
        </is>
      </c>
      <c r="D1134" s="26" t="n">
        <v>45687</v>
      </c>
      <c r="E1134" s="26" t="n">
        <v>45743</v>
      </c>
      <c r="F1134" s="26" t="n">
        <v>45740</v>
      </c>
      <c r="G1134" s="14" t="n">
        <v>51</v>
      </c>
      <c r="H1134" s="14" t="n">
        <v>44</v>
      </c>
      <c r="I1134" s="14" t="n">
        <v>0</v>
      </c>
      <c r="J1134" s="58" t="n">
        <v>1718.19</v>
      </c>
      <c r="K1134" s="59">
        <f>(F1134-D1134)/7</f>
        <v/>
      </c>
      <c r="L1134" s="59">
        <f>K1134^2</f>
        <v/>
      </c>
      <c r="M1134" s="14">
        <f>IF(F1134&lt;=E1134,1,0)</f>
        <v/>
      </c>
      <c r="N1134" s="14">
        <f>MAX(0,F1134-E1134)</f>
        <v/>
      </c>
    </row>
    <row r="1135">
      <c r="A1135" s="14" t="inlineStr">
        <is>
          <t>PO-01134</t>
        </is>
      </c>
      <c r="B1135" s="14" t="inlineStr">
        <is>
          <t>S07</t>
        </is>
      </c>
      <c r="C1135" s="14" t="inlineStr">
        <is>
          <t>NB-0044</t>
        </is>
      </c>
      <c r="D1135" s="26" t="n">
        <v>45716</v>
      </c>
      <c r="E1135" s="26" t="n">
        <v>45772</v>
      </c>
      <c r="F1135" s="26" t="n">
        <v>45771</v>
      </c>
      <c r="G1135" s="14" t="n">
        <v>51</v>
      </c>
      <c r="H1135" s="14" t="n">
        <v>51</v>
      </c>
      <c r="I1135" s="14" t="n">
        <v>0</v>
      </c>
      <c r="J1135" s="58" t="n">
        <v>1718.19</v>
      </c>
      <c r="K1135" s="59">
        <f>(F1135-D1135)/7</f>
        <v/>
      </c>
      <c r="L1135" s="59">
        <f>K1135^2</f>
        <v/>
      </c>
      <c r="M1135" s="14">
        <f>IF(F1135&lt;=E1135,1,0)</f>
        <v/>
      </c>
      <c r="N1135" s="14">
        <f>MAX(0,F1135-E1135)</f>
        <v/>
      </c>
    </row>
    <row r="1136">
      <c r="A1136" s="14" t="inlineStr">
        <is>
          <t>PO-01135</t>
        </is>
      </c>
      <c r="B1136" s="14" t="inlineStr">
        <is>
          <t>S07</t>
        </is>
      </c>
      <c r="C1136" s="14" t="inlineStr">
        <is>
          <t>NB-0044</t>
        </is>
      </c>
      <c r="D1136" s="26" t="n">
        <v>45740</v>
      </c>
      <c r="E1136" s="26" t="n">
        <v>45796</v>
      </c>
      <c r="F1136" s="26" t="n">
        <v>45796</v>
      </c>
      <c r="G1136" s="14" t="n">
        <v>47</v>
      </c>
      <c r="H1136" s="14" t="n">
        <v>47</v>
      </c>
      <c r="I1136" s="14" t="n">
        <v>0</v>
      </c>
      <c r="J1136" s="58" t="n">
        <v>1583.43</v>
      </c>
      <c r="K1136" s="59">
        <f>(F1136-D1136)/7</f>
        <v/>
      </c>
      <c r="L1136" s="59">
        <f>K1136^2</f>
        <v/>
      </c>
      <c r="M1136" s="14">
        <f>IF(F1136&lt;=E1136,1,0)</f>
        <v/>
      </c>
      <c r="N1136" s="14">
        <f>MAX(0,F1136-E1136)</f>
        <v/>
      </c>
    </row>
    <row r="1137">
      <c r="A1137" s="14" t="inlineStr">
        <is>
          <t>PO-01136</t>
        </is>
      </c>
      <c r="B1137" s="14" t="inlineStr">
        <is>
          <t>S07</t>
        </is>
      </c>
      <c r="C1137" s="14" t="inlineStr">
        <is>
          <t>NB-0044</t>
        </is>
      </c>
      <c r="D1137" s="26" t="n">
        <v>45771</v>
      </c>
      <c r="E1137" s="26" t="n">
        <v>45827</v>
      </c>
      <c r="F1137" s="26" t="n">
        <v>45825</v>
      </c>
      <c r="G1137" s="14" t="n">
        <v>47</v>
      </c>
      <c r="H1137" s="14" t="n">
        <v>47</v>
      </c>
      <c r="I1137" s="14" t="n">
        <v>0</v>
      </c>
      <c r="J1137" s="58" t="n">
        <v>1583.43</v>
      </c>
      <c r="K1137" s="59">
        <f>(F1137-D1137)/7</f>
        <v/>
      </c>
      <c r="L1137" s="59">
        <f>K1137^2</f>
        <v/>
      </c>
      <c r="M1137" s="14">
        <f>IF(F1137&lt;=E1137,1,0)</f>
        <v/>
      </c>
      <c r="N1137" s="14">
        <f>MAX(0,F1137-E1137)</f>
        <v/>
      </c>
    </row>
    <row r="1138">
      <c r="A1138" s="14" t="inlineStr">
        <is>
          <t>PO-01137</t>
        </is>
      </c>
      <c r="B1138" s="14" t="inlineStr">
        <is>
          <t>S07</t>
        </is>
      </c>
      <c r="C1138" s="14" t="inlineStr">
        <is>
          <t>NB-0044</t>
        </is>
      </c>
      <c r="D1138" s="26" t="n">
        <v>45800</v>
      </c>
      <c r="E1138" s="26" t="n">
        <v>45856</v>
      </c>
      <c r="F1138" s="26" t="n">
        <v>45855</v>
      </c>
      <c r="G1138" s="14" t="n">
        <v>53</v>
      </c>
      <c r="H1138" s="14" t="n">
        <v>53</v>
      </c>
      <c r="I1138" s="14" t="n">
        <v>1</v>
      </c>
      <c r="J1138" s="58" t="n">
        <v>1785.57</v>
      </c>
      <c r="K1138" s="59">
        <f>(F1138-D1138)/7</f>
        <v/>
      </c>
      <c r="L1138" s="59">
        <f>K1138^2</f>
        <v/>
      </c>
      <c r="M1138" s="14">
        <f>IF(F1138&lt;=E1138,1,0)</f>
        <v/>
      </c>
      <c r="N1138" s="14">
        <f>MAX(0,F1138-E1138)</f>
        <v/>
      </c>
    </row>
    <row r="1139">
      <c r="A1139" s="14" t="inlineStr">
        <is>
          <t>PO-01138</t>
        </is>
      </c>
      <c r="B1139" s="14" t="inlineStr">
        <is>
          <t>S07</t>
        </is>
      </c>
      <c r="C1139" s="14" t="inlineStr">
        <is>
          <t>NB-0044</t>
        </is>
      </c>
      <c r="D1139" s="26" t="n">
        <v>45828</v>
      </c>
      <c r="E1139" s="26" t="n">
        <v>45884</v>
      </c>
      <c r="F1139" s="26" t="n">
        <v>45881</v>
      </c>
      <c r="G1139" s="14" t="n">
        <v>57</v>
      </c>
      <c r="H1139" s="14" t="n">
        <v>57</v>
      </c>
      <c r="I1139" s="14" t="n">
        <v>0</v>
      </c>
      <c r="J1139" s="58" t="n">
        <v>1920.33</v>
      </c>
      <c r="K1139" s="59">
        <f>(F1139-D1139)/7</f>
        <v/>
      </c>
      <c r="L1139" s="59">
        <f>K1139^2</f>
        <v/>
      </c>
      <c r="M1139" s="14">
        <f>IF(F1139&lt;=E1139,1,0)</f>
        <v/>
      </c>
      <c r="N1139" s="14">
        <f>MAX(0,F1139-E1139)</f>
        <v/>
      </c>
    </row>
    <row r="1140">
      <c r="A1140" s="14" t="inlineStr">
        <is>
          <t>PO-01139</t>
        </is>
      </c>
      <c r="B1140" s="14" t="inlineStr">
        <is>
          <t>S07</t>
        </is>
      </c>
      <c r="C1140" s="14" t="inlineStr">
        <is>
          <t>NB-0044</t>
        </is>
      </c>
      <c r="D1140" s="26" t="n">
        <v>45854</v>
      </c>
      <c r="E1140" s="26" t="n">
        <v>45910</v>
      </c>
      <c r="F1140" s="26" t="n">
        <v>45908</v>
      </c>
      <c r="G1140" s="14" t="n">
        <v>45</v>
      </c>
      <c r="H1140" s="14" t="n">
        <v>45</v>
      </c>
      <c r="I1140" s="14" t="n">
        <v>1</v>
      </c>
      <c r="J1140" s="58" t="n">
        <v>1516.05</v>
      </c>
      <c r="K1140" s="59">
        <f>(F1140-D1140)/7</f>
        <v/>
      </c>
      <c r="L1140" s="59">
        <f>K1140^2</f>
        <v/>
      </c>
      <c r="M1140" s="14">
        <f>IF(F1140&lt;=E1140,1,0)</f>
        <v/>
      </c>
      <c r="N1140" s="14">
        <f>MAX(0,F1140-E1140)</f>
        <v/>
      </c>
    </row>
    <row r="1141">
      <c r="A1141" s="14" t="inlineStr">
        <is>
          <t>PO-01140</t>
        </is>
      </c>
      <c r="B1141" s="14" t="inlineStr">
        <is>
          <t>S07</t>
        </is>
      </c>
      <c r="C1141" s="14" t="inlineStr">
        <is>
          <t>NB-0044</t>
        </is>
      </c>
      <c r="D1141" s="26" t="n">
        <v>45882</v>
      </c>
      <c r="E1141" s="26" t="n">
        <v>45938</v>
      </c>
      <c r="F1141" s="26" t="n">
        <v>45937</v>
      </c>
      <c r="G1141" s="14" t="n">
        <v>44</v>
      </c>
      <c r="H1141" s="14" t="n">
        <v>44</v>
      </c>
      <c r="I1141" s="14" t="n">
        <v>1</v>
      </c>
      <c r="J1141" s="58" t="n">
        <v>1482.36</v>
      </c>
      <c r="K1141" s="59">
        <f>(F1141-D1141)/7</f>
        <v/>
      </c>
      <c r="L1141" s="59">
        <f>K1141^2</f>
        <v/>
      </c>
      <c r="M1141" s="14">
        <f>IF(F1141&lt;=E1141,1,0)</f>
        <v/>
      </c>
      <c r="N1141" s="14">
        <f>MAX(0,F1141-E1141)</f>
        <v/>
      </c>
    </row>
    <row r="1142">
      <c r="A1142" s="14" t="inlineStr">
        <is>
          <t>PO-01141</t>
        </is>
      </c>
      <c r="B1142" s="14" t="inlineStr">
        <is>
          <t>S07</t>
        </is>
      </c>
      <c r="C1142" s="14" t="inlineStr">
        <is>
          <t>NB-0044</t>
        </is>
      </c>
      <c r="D1142" s="26" t="n">
        <v>45908</v>
      </c>
      <c r="E1142" s="26" t="n">
        <v>45964</v>
      </c>
      <c r="F1142" s="26" t="n">
        <v>45962</v>
      </c>
      <c r="G1142" s="14" t="n">
        <v>54</v>
      </c>
      <c r="H1142" s="14" t="n">
        <v>54</v>
      </c>
      <c r="I1142" s="14" t="n">
        <v>0</v>
      </c>
      <c r="J1142" s="58" t="n">
        <v>1819.26</v>
      </c>
      <c r="K1142" s="59">
        <f>(F1142-D1142)/7</f>
        <v/>
      </c>
      <c r="L1142" s="59">
        <f>K1142^2</f>
        <v/>
      </c>
      <c r="M1142" s="14">
        <f>IF(F1142&lt;=E1142,1,0)</f>
        <v/>
      </c>
      <c r="N1142" s="14">
        <f>MAX(0,F1142-E1142)</f>
        <v/>
      </c>
    </row>
    <row r="1143">
      <c r="A1143" s="14" t="inlineStr">
        <is>
          <t>PO-01142</t>
        </is>
      </c>
      <c r="B1143" s="14" t="inlineStr">
        <is>
          <t>S07</t>
        </is>
      </c>
      <c r="C1143" s="14" t="inlineStr">
        <is>
          <t>NB-0044</t>
        </is>
      </c>
      <c r="D1143" s="26" t="n">
        <v>45938</v>
      </c>
      <c r="E1143" s="26" t="n">
        <v>45994</v>
      </c>
      <c r="F1143" s="26" t="n">
        <v>45993</v>
      </c>
      <c r="G1143" s="14" t="n">
        <v>48</v>
      </c>
      <c r="H1143" s="14" t="n">
        <v>48</v>
      </c>
      <c r="I1143" s="14" t="n">
        <v>0</v>
      </c>
      <c r="J1143" s="58" t="n">
        <v>1617.12</v>
      </c>
      <c r="K1143" s="59">
        <f>(F1143-D1143)/7</f>
        <v/>
      </c>
      <c r="L1143" s="59">
        <f>K1143^2</f>
        <v/>
      </c>
      <c r="M1143" s="14">
        <f>IF(F1143&lt;=E1143,1,0)</f>
        <v/>
      </c>
      <c r="N1143" s="14">
        <f>MAX(0,F1143-E1143)</f>
        <v/>
      </c>
    </row>
    <row r="1144">
      <c r="A1144" s="14" t="inlineStr">
        <is>
          <t>PO-01143</t>
        </is>
      </c>
      <c r="B1144" s="14" t="inlineStr">
        <is>
          <t>S07</t>
        </is>
      </c>
      <c r="C1144" s="14" t="inlineStr">
        <is>
          <t>NB-0044</t>
        </is>
      </c>
      <c r="D1144" s="26" t="n">
        <v>45964</v>
      </c>
      <c r="E1144" s="26" t="n">
        <v>46020</v>
      </c>
      <c r="F1144" s="26" t="n">
        <v>46041</v>
      </c>
      <c r="G1144" s="14" t="n">
        <v>50</v>
      </c>
      <c r="H1144" s="14" t="n">
        <v>50</v>
      </c>
      <c r="I1144" s="14" t="n">
        <v>2</v>
      </c>
      <c r="J1144" s="58" t="n">
        <v>1684.5</v>
      </c>
      <c r="K1144" s="59">
        <f>(F1144-D1144)/7</f>
        <v/>
      </c>
      <c r="L1144" s="59">
        <f>K1144^2</f>
        <v/>
      </c>
      <c r="M1144" s="14">
        <f>IF(F1144&lt;=E1144,1,0)</f>
        <v/>
      </c>
      <c r="N1144" s="14">
        <f>MAX(0,F1144-E1144)</f>
        <v/>
      </c>
    </row>
    <row r="1145">
      <c r="A1145" s="14" t="inlineStr">
        <is>
          <t>PO-01144</t>
        </is>
      </c>
      <c r="B1145" s="14" t="inlineStr">
        <is>
          <t>S07</t>
        </is>
      </c>
      <c r="C1145" s="14" t="inlineStr">
        <is>
          <t>NB-0044</t>
        </is>
      </c>
      <c r="D1145" s="26" t="n">
        <v>45996</v>
      </c>
      <c r="E1145" s="26" t="n">
        <v>46052</v>
      </c>
      <c r="F1145" s="26" t="n">
        <v>46051</v>
      </c>
      <c r="G1145" s="14" t="n">
        <v>56</v>
      </c>
      <c r="H1145" s="14" t="n">
        <v>56</v>
      </c>
      <c r="I1145" s="14" t="n">
        <v>3</v>
      </c>
      <c r="J1145" s="58" t="n">
        <v>1886.64</v>
      </c>
      <c r="K1145" s="59">
        <f>(F1145-D1145)/7</f>
        <v/>
      </c>
      <c r="L1145" s="59">
        <f>K1145^2</f>
        <v/>
      </c>
      <c r="M1145" s="14">
        <f>IF(F1145&lt;=E1145,1,0)</f>
        <v/>
      </c>
      <c r="N1145" s="14">
        <f>MAX(0,F1145-E1145)</f>
        <v/>
      </c>
    </row>
    <row r="1146">
      <c r="A1146" s="14" t="inlineStr">
        <is>
          <t>PO-01145</t>
        </is>
      </c>
      <c r="B1146" s="14" t="inlineStr">
        <is>
          <t>S03</t>
        </is>
      </c>
      <c r="C1146" s="14" t="inlineStr">
        <is>
          <t>NB-0045</t>
        </is>
      </c>
      <c r="D1146" s="26" t="n">
        <v>45294</v>
      </c>
      <c r="E1146" s="26" t="n">
        <v>45336</v>
      </c>
      <c r="F1146" s="26" t="n">
        <v>45336</v>
      </c>
      <c r="G1146" s="14" t="n">
        <v>72</v>
      </c>
      <c r="H1146" s="14" t="n">
        <v>72</v>
      </c>
      <c r="I1146" s="14" t="n">
        <v>0</v>
      </c>
      <c r="J1146" s="58" t="n">
        <v>5718.24</v>
      </c>
      <c r="K1146" s="59">
        <f>(F1146-D1146)/7</f>
        <v/>
      </c>
      <c r="L1146" s="59">
        <f>K1146^2</f>
        <v/>
      </c>
      <c r="M1146" s="14">
        <f>IF(F1146&lt;=E1146,1,0)</f>
        <v/>
      </c>
      <c r="N1146" s="14">
        <f>MAX(0,F1146-E1146)</f>
        <v/>
      </c>
    </row>
    <row r="1147">
      <c r="A1147" s="14" t="inlineStr">
        <is>
          <t>PO-01146</t>
        </is>
      </c>
      <c r="B1147" s="14" t="inlineStr">
        <is>
          <t>S03</t>
        </is>
      </c>
      <c r="C1147" s="14" t="inlineStr">
        <is>
          <t>NB-0045</t>
        </is>
      </c>
      <c r="D1147" s="26" t="n">
        <v>45323</v>
      </c>
      <c r="E1147" s="26" t="n">
        <v>45365</v>
      </c>
      <c r="F1147" s="26" t="n">
        <v>45369</v>
      </c>
      <c r="G1147" s="14" t="n">
        <v>57</v>
      </c>
      <c r="H1147" s="14" t="n">
        <v>57</v>
      </c>
      <c r="I1147" s="14" t="n">
        <v>1</v>
      </c>
      <c r="J1147" s="58" t="n">
        <v>4526.94</v>
      </c>
      <c r="K1147" s="59">
        <f>(F1147-D1147)/7</f>
        <v/>
      </c>
      <c r="L1147" s="59">
        <f>K1147^2</f>
        <v/>
      </c>
      <c r="M1147" s="14">
        <f>IF(F1147&lt;=E1147,1,0)</f>
        <v/>
      </c>
      <c r="N1147" s="14">
        <f>MAX(0,F1147-E1147)</f>
        <v/>
      </c>
    </row>
    <row r="1148">
      <c r="A1148" s="14" t="inlineStr">
        <is>
          <t>PO-01147</t>
        </is>
      </c>
      <c r="B1148" s="14" t="inlineStr">
        <is>
          <t>S03</t>
        </is>
      </c>
      <c r="C1148" s="14" t="inlineStr">
        <is>
          <t>NB-0045</t>
        </is>
      </c>
      <c r="D1148" s="26" t="n">
        <v>45350</v>
      </c>
      <c r="E1148" s="26" t="n">
        <v>45392</v>
      </c>
      <c r="F1148" s="26" t="n">
        <v>45392</v>
      </c>
      <c r="G1148" s="14" t="n">
        <v>61</v>
      </c>
      <c r="H1148" s="14" t="n">
        <v>61</v>
      </c>
      <c r="I1148" s="14" t="n">
        <v>0</v>
      </c>
      <c r="J1148" s="58" t="n">
        <v>4844.62</v>
      </c>
      <c r="K1148" s="59">
        <f>(F1148-D1148)/7</f>
        <v/>
      </c>
      <c r="L1148" s="59">
        <f>K1148^2</f>
        <v/>
      </c>
      <c r="M1148" s="14">
        <f>IF(F1148&lt;=E1148,1,0)</f>
        <v/>
      </c>
      <c r="N1148" s="14">
        <f>MAX(0,F1148-E1148)</f>
        <v/>
      </c>
    </row>
    <row r="1149">
      <c r="A1149" s="14" t="inlineStr">
        <is>
          <t>PO-01148</t>
        </is>
      </c>
      <c r="B1149" s="14" t="inlineStr">
        <is>
          <t>S03</t>
        </is>
      </c>
      <c r="C1149" s="14" t="inlineStr">
        <is>
          <t>NB-0045</t>
        </is>
      </c>
      <c r="D1149" s="26" t="n">
        <v>45377</v>
      </c>
      <c r="E1149" s="26" t="n">
        <v>45419</v>
      </c>
      <c r="F1149" s="26" t="n">
        <v>45418</v>
      </c>
      <c r="G1149" s="14" t="n">
        <v>64</v>
      </c>
      <c r="H1149" s="14" t="n">
        <v>64</v>
      </c>
      <c r="I1149" s="14" t="n">
        <v>0</v>
      </c>
      <c r="J1149" s="58" t="n">
        <v>5082.88</v>
      </c>
      <c r="K1149" s="59">
        <f>(F1149-D1149)/7</f>
        <v/>
      </c>
      <c r="L1149" s="59">
        <f>K1149^2</f>
        <v/>
      </c>
      <c r="M1149" s="14">
        <f>IF(F1149&lt;=E1149,1,0)</f>
        <v/>
      </c>
      <c r="N1149" s="14">
        <f>MAX(0,F1149-E1149)</f>
        <v/>
      </c>
    </row>
    <row r="1150">
      <c r="A1150" s="14" t="inlineStr">
        <is>
          <t>PO-01149</t>
        </is>
      </c>
      <c r="B1150" s="14" t="inlineStr">
        <is>
          <t>S03</t>
        </is>
      </c>
      <c r="C1150" s="14" t="inlineStr">
        <is>
          <t>NB-0045</t>
        </is>
      </c>
      <c r="D1150" s="26" t="n">
        <v>45405</v>
      </c>
      <c r="E1150" s="26" t="n">
        <v>45447</v>
      </c>
      <c r="F1150" s="26" t="n">
        <v>45446</v>
      </c>
      <c r="G1150" s="14" t="n">
        <v>70</v>
      </c>
      <c r="H1150" s="14" t="n">
        <v>70</v>
      </c>
      <c r="I1150" s="14" t="n">
        <v>0</v>
      </c>
      <c r="J1150" s="58" t="n">
        <v>5559.4</v>
      </c>
      <c r="K1150" s="59">
        <f>(F1150-D1150)/7</f>
        <v/>
      </c>
      <c r="L1150" s="59">
        <f>K1150^2</f>
        <v/>
      </c>
      <c r="M1150" s="14">
        <f>IF(F1150&lt;=E1150,1,0)</f>
        <v/>
      </c>
      <c r="N1150" s="14">
        <f>MAX(0,F1150-E1150)</f>
        <v/>
      </c>
    </row>
    <row r="1151">
      <c r="A1151" s="14" t="inlineStr">
        <is>
          <t>PO-01150</t>
        </is>
      </c>
      <c r="B1151" s="14" t="inlineStr">
        <is>
          <t>S03</t>
        </is>
      </c>
      <c r="C1151" s="14" t="inlineStr">
        <is>
          <t>NB-0045</t>
        </is>
      </c>
      <c r="D1151" s="26" t="n">
        <v>45433</v>
      </c>
      <c r="E1151" s="26" t="n">
        <v>45475</v>
      </c>
      <c r="F1151" s="26" t="n">
        <v>45472</v>
      </c>
      <c r="G1151" s="14" t="n">
        <v>70</v>
      </c>
      <c r="H1151" s="14" t="n">
        <v>70</v>
      </c>
      <c r="I1151" s="14" t="n">
        <v>1</v>
      </c>
      <c r="J1151" s="58" t="n">
        <v>5559.4</v>
      </c>
      <c r="K1151" s="59">
        <f>(F1151-D1151)/7</f>
        <v/>
      </c>
      <c r="L1151" s="59">
        <f>K1151^2</f>
        <v/>
      </c>
      <c r="M1151" s="14">
        <f>IF(F1151&lt;=E1151,1,0)</f>
        <v/>
      </c>
      <c r="N1151" s="14">
        <f>MAX(0,F1151-E1151)</f>
        <v/>
      </c>
    </row>
    <row r="1152">
      <c r="A1152" s="14" t="inlineStr">
        <is>
          <t>PO-01151</t>
        </is>
      </c>
      <c r="B1152" s="14" t="inlineStr">
        <is>
          <t>S03</t>
        </is>
      </c>
      <c r="C1152" s="14" t="inlineStr">
        <is>
          <t>NB-0045</t>
        </is>
      </c>
      <c r="D1152" s="26" t="n">
        <v>45464</v>
      </c>
      <c r="E1152" s="26" t="n">
        <v>45506</v>
      </c>
      <c r="F1152" s="26" t="n">
        <v>45505</v>
      </c>
      <c r="G1152" s="14" t="n">
        <v>70</v>
      </c>
      <c r="H1152" s="14" t="n">
        <v>70</v>
      </c>
      <c r="I1152" s="14" t="n">
        <v>0</v>
      </c>
      <c r="J1152" s="58" t="n">
        <v>5559.4</v>
      </c>
      <c r="K1152" s="59">
        <f>(F1152-D1152)/7</f>
        <v/>
      </c>
      <c r="L1152" s="59">
        <f>K1152^2</f>
        <v/>
      </c>
      <c r="M1152" s="14">
        <f>IF(F1152&lt;=E1152,1,0)</f>
        <v/>
      </c>
      <c r="N1152" s="14">
        <f>MAX(0,F1152-E1152)</f>
        <v/>
      </c>
    </row>
    <row r="1153">
      <c r="A1153" s="14" t="inlineStr">
        <is>
          <t>PO-01152</t>
        </is>
      </c>
      <c r="B1153" s="14" t="inlineStr">
        <is>
          <t>S03</t>
        </is>
      </c>
      <c r="C1153" s="14" t="inlineStr">
        <is>
          <t>NB-0045</t>
        </is>
      </c>
      <c r="D1153" s="26" t="n">
        <v>45492</v>
      </c>
      <c r="E1153" s="26" t="n">
        <v>45534</v>
      </c>
      <c r="F1153" s="26" t="n">
        <v>45531</v>
      </c>
      <c r="G1153" s="14" t="n">
        <v>58</v>
      </c>
      <c r="H1153" s="14" t="n">
        <v>58</v>
      </c>
      <c r="I1153" s="14" t="n">
        <v>0</v>
      </c>
      <c r="J1153" s="58" t="n">
        <v>4606.36</v>
      </c>
      <c r="K1153" s="59">
        <f>(F1153-D1153)/7</f>
        <v/>
      </c>
      <c r="L1153" s="59">
        <f>K1153^2</f>
        <v/>
      </c>
      <c r="M1153" s="14">
        <f>IF(F1153&lt;=E1153,1,0)</f>
        <v/>
      </c>
      <c r="N1153" s="14">
        <f>MAX(0,F1153-E1153)</f>
        <v/>
      </c>
    </row>
    <row r="1154">
      <c r="A1154" s="14" t="inlineStr">
        <is>
          <t>PO-01153</t>
        </is>
      </c>
      <c r="B1154" s="14" t="inlineStr">
        <is>
          <t>S03</t>
        </is>
      </c>
      <c r="C1154" s="14" t="inlineStr">
        <is>
          <t>NB-0045</t>
        </is>
      </c>
      <c r="D1154" s="26" t="n">
        <v>45519</v>
      </c>
      <c r="E1154" s="26" t="n">
        <v>45561</v>
      </c>
      <c r="F1154" s="26" t="n">
        <v>45561</v>
      </c>
      <c r="G1154" s="14" t="n">
        <v>62</v>
      </c>
      <c r="H1154" s="14" t="n">
        <v>62</v>
      </c>
      <c r="I1154" s="14" t="n">
        <v>0</v>
      </c>
      <c r="J1154" s="58" t="n">
        <v>4924.04</v>
      </c>
      <c r="K1154" s="59">
        <f>(F1154-D1154)/7</f>
        <v/>
      </c>
      <c r="L1154" s="59">
        <f>K1154^2</f>
        <v/>
      </c>
      <c r="M1154" s="14">
        <f>IF(F1154&lt;=E1154,1,0)</f>
        <v/>
      </c>
      <c r="N1154" s="14">
        <f>MAX(0,F1154-E1154)</f>
        <v/>
      </c>
    </row>
    <row r="1155">
      <c r="A1155" s="14" t="inlineStr">
        <is>
          <t>PO-01154</t>
        </is>
      </c>
      <c r="B1155" s="14" t="inlineStr">
        <is>
          <t>S03</t>
        </is>
      </c>
      <c r="C1155" s="14" t="inlineStr">
        <is>
          <t>NB-0045</t>
        </is>
      </c>
      <c r="D1155" s="26" t="n">
        <v>45544</v>
      </c>
      <c r="E1155" s="26" t="n">
        <v>45586</v>
      </c>
      <c r="F1155" s="26" t="n">
        <v>45586</v>
      </c>
      <c r="G1155" s="14" t="n">
        <v>72</v>
      </c>
      <c r="H1155" s="14" t="n">
        <v>72</v>
      </c>
      <c r="I1155" s="14" t="n">
        <v>0</v>
      </c>
      <c r="J1155" s="58" t="n">
        <v>5718.24</v>
      </c>
      <c r="K1155" s="59">
        <f>(F1155-D1155)/7</f>
        <v/>
      </c>
      <c r="L1155" s="59">
        <f>K1155^2</f>
        <v/>
      </c>
      <c r="M1155" s="14">
        <f>IF(F1155&lt;=E1155,1,0)</f>
        <v/>
      </c>
      <c r="N1155" s="14">
        <f>MAX(0,F1155-E1155)</f>
        <v/>
      </c>
    </row>
    <row r="1156">
      <c r="A1156" s="14" t="inlineStr">
        <is>
          <t>PO-01155</t>
        </is>
      </c>
      <c r="B1156" s="14" t="inlineStr">
        <is>
          <t>S03</t>
        </is>
      </c>
      <c r="C1156" s="14" t="inlineStr">
        <is>
          <t>NB-0045</t>
        </is>
      </c>
      <c r="D1156" s="26" t="n">
        <v>45576</v>
      </c>
      <c r="E1156" s="26" t="n">
        <v>45618</v>
      </c>
      <c r="F1156" s="26" t="n">
        <v>45617</v>
      </c>
      <c r="G1156" s="14" t="n">
        <v>65</v>
      </c>
      <c r="H1156" s="14" t="n">
        <v>65</v>
      </c>
      <c r="I1156" s="14" t="n">
        <v>0</v>
      </c>
      <c r="J1156" s="58" t="n">
        <v>5162.3</v>
      </c>
      <c r="K1156" s="59">
        <f>(F1156-D1156)/7</f>
        <v/>
      </c>
      <c r="L1156" s="59">
        <f>K1156^2</f>
        <v/>
      </c>
      <c r="M1156" s="14">
        <f>IF(F1156&lt;=E1156,1,0)</f>
        <v/>
      </c>
      <c r="N1156" s="14">
        <f>MAX(0,F1156-E1156)</f>
        <v/>
      </c>
    </row>
    <row r="1157">
      <c r="A1157" s="14" t="inlineStr">
        <is>
          <t>PO-01156</t>
        </is>
      </c>
      <c r="B1157" s="14" t="inlineStr">
        <is>
          <t>S03</t>
        </is>
      </c>
      <c r="C1157" s="14" t="inlineStr">
        <is>
          <t>NB-0045</t>
        </is>
      </c>
      <c r="D1157" s="26" t="n">
        <v>45604</v>
      </c>
      <c r="E1157" s="26" t="n">
        <v>45646</v>
      </c>
      <c r="F1157" s="26" t="n">
        <v>45643</v>
      </c>
      <c r="G1157" s="14" t="n">
        <v>69</v>
      </c>
      <c r="H1157" s="14" t="n">
        <v>69</v>
      </c>
      <c r="I1157" s="14" t="n">
        <v>1</v>
      </c>
      <c r="J1157" s="58" t="n">
        <v>5479.98</v>
      </c>
      <c r="K1157" s="59">
        <f>(F1157-D1157)/7</f>
        <v/>
      </c>
      <c r="L1157" s="59">
        <f>K1157^2</f>
        <v/>
      </c>
      <c r="M1157" s="14">
        <f>IF(F1157&lt;=E1157,1,0)</f>
        <v/>
      </c>
      <c r="N1157" s="14">
        <f>MAX(0,F1157-E1157)</f>
        <v/>
      </c>
    </row>
    <row r="1158">
      <c r="A1158" s="14" t="inlineStr">
        <is>
          <t>PO-01157</t>
        </is>
      </c>
      <c r="B1158" s="14" t="inlineStr">
        <is>
          <t>S03</t>
        </is>
      </c>
      <c r="C1158" s="14" t="inlineStr">
        <is>
          <t>NB-0045</t>
        </is>
      </c>
      <c r="D1158" s="26" t="n">
        <v>45628</v>
      </c>
      <c r="E1158" s="26" t="n">
        <v>45670</v>
      </c>
      <c r="F1158" s="26" t="n">
        <v>45668</v>
      </c>
      <c r="G1158" s="14" t="n">
        <v>58</v>
      </c>
      <c r="H1158" s="14" t="n">
        <v>58</v>
      </c>
      <c r="I1158" s="14" t="n">
        <v>0</v>
      </c>
      <c r="J1158" s="58" t="n">
        <v>4606.36</v>
      </c>
      <c r="K1158" s="59">
        <f>(F1158-D1158)/7</f>
        <v/>
      </c>
      <c r="L1158" s="59">
        <f>K1158^2</f>
        <v/>
      </c>
      <c r="M1158" s="14">
        <f>IF(F1158&lt;=E1158,1,0)</f>
        <v/>
      </c>
      <c r="N1158" s="14">
        <f>MAX(0,F1158-E1158)</f>
        <v/>
      </c>
    </row>
    <row r="1159">
      <c r="A1159" s="14" t="inlineStr">
        <is>
          <t>PO-01158</t>
        </is>
      </c>
      <c r="B1159" s="14" t="inlineStr">
        <is>
          <t>S03</t>
        </is>
      </c>
      <c r="C1159" s="14" t="inlineStr">
        <is>
          <t>NB-0045</t>
        </is>
      </c>
      <c r="D1159" s="26" t="n">
        <v>45660</v>
      </c>
      <c r="E1159" s="26" t="n">
        <v>45702</v>
      </c>
      <c r="F1159" s="26" t="n">
        <v>45701</v>
      </c>
      <c r="G1159" s="14" t="n">
        <v>70</v>
      </c>
      <c r="H1159" s="14" t="n">
        <v>70</v>
      </c>
      <c r="I1159" s="14" t="n">
        <v>0</v>
      </c>
      <c r="J1159" s="58" t="n">
        <v>5559.4</v>
      </c>
      <c r="K1159" s="59">
        <f>(F1159-D1159)/7</f>
        <v/>
      </c>
      <c r="L1159" s="59">
        <f>K1159^2</f>
        <v/>
      </c>
      <c r="M1159" s="14">
        <f>IF(F1159&lt;=E1159,1,0)</f>
        <v/>
      </c>
      <c r="N1159" s="14">
        <f>MAX(0,F1159-E1159)</f>
        <v/>
      </c>
    </row>
    <row r="1160">
      <c r="A1160" s="14" t="inlineStr">
        <is>
          <t>PO-01159</t>
        </is>
      </c>
      <c r="B1160" s="14" t="inlineStr">
        <is>
          <t>S03</t>
        </is>
      </c>
      <c r="C1160" s="14" t="inlineStr">
        <is>
          <t>NB-0045</t>
        </is>
      </c>
      <c r="D1160" s="26" t="n">
        <v>45686</v>
      </c>
      <c r="E1160" s="26" t="n">
        <v>45728</v>
      </c>
      <c r="F1160" s="26" t="n">
        <v>45725</v>
      </c>
      <c r="G1160" s="14" t="n">
        <v>59</v>
      </c>
      <c r="H1160" s="14" t="n">
        <v>59</v>
      </c>
      <c r="I1160" s="14" t="n">
        <v>0</v>
      </c>
      <c r="J1160" s="58" t="n">
        <v>4685.78</v>
      </c>
      <c r="K1160" s="59">
        <f>(F1160-D1160)/7</f>
        <v/>
      </c>
      <c r="L1160" s="59">
        <f>K1160^2</f>
        <v/>
      </c>
      <c r="M1160" s="14">
        <f>IF(F1160&lt;=E1160,1,0)</f>
        <v/>
      </c>
      <c r="N1160" s="14">
        <f>MAX(0,F1160-E1160)</f>
        <v/>
      </c>
    </row>
    <row r="1161">
      <c r="A1161" s="14" t="inlineStr">
        <is>
          <t>PO-01160</t>
        </is>
      </c>
      <c r="B1161" s="14" t="inlineStr">
        <is>
          <t>S03</t>
        </is>
      </c>
      <c r="C1161" s="14" t="inlineStr">
        <is>
          <t>NB-0045</t>
        </is>
      </c>
      <c r="D1161" s="26" t="n">
        <v>45716</v>
      </c>
      <c r="E1161" s="26" t="n">
        <v>45758</v>
      </c>
      <c r="F1161" s="26" t="n">
        <v>45757</v>
      </c>
      <c r="G1161" s="14" t="n">
        <v>60</v>
      </c>
      <c r="H1161" s="14" t="n">
        <v>57</v>
      </c>
      <c r="I1161" s="14" t="n">
        <v>0</v>
      </c>
      <c r="J1161" s="58" t="n">
        <v>4765.2</v>
      </c>
      <c r="K1161" s="59">
        <f>(F1161-D1161)/7</f>
        <v/>
      </c>
      <c r="L1161" s="59">
        <f>K1161^2</f>
        <v/>
      </c>
      <c r="M1161" s="14">
        <f>IF(F1161&lt;=E1161,1,0)</f>
        <v/>
      </c>
      <c r="N1161" s="14">
        <f>MAX(0,F1161-E1161)</f>
        <v/>
      </c>
    </row>
    <row r="1162">
      <c r="A1162" s="14" t="inlineStr">
        <is>
          <t>PO-01161</t>
        </is>
      </c>
      <c r="B1162" s="14" t="inlineStr">
        <is>
          <t>S03</t>
        </is>
      </c>
      <c r="C1162" s="14" t="inlineStr">
        <is>
          <t>NB-0045</t>
        </is>
      </c>
      <c r="D1162" s="26" t="n">
        <v>45741</v>
      </c>
      <c r="E1162" s="26" t="n">
        <v>45783</v>
      </c>
      <c r="F1162" s="26" t="n">
        <v>45782</v>
      </c>
      <c r="G1162" s="14" t="n">
        <v>70</v>
      </c>
      <c r="H1162" s="14" t="n">
        <v>70</v>
      </c>
      <c r="I1162" s="14" t="n">
        <v>0</v>
      </c>
      <c r="J1162" s="58" t="n">
        <v>5559.4</v>
      </c>
      <c r="K1162" s="59">
        <f>(F1162-D1162)/7</f>
        <v/>
      </c>
      <c r="L1162" s="59">
        <f>K1162^2</f>
        <v/>
      </c>
      <c r="M1162" s="14">
        <f>IF(F1162&lt;=E1162,1,0)</f>
        <v/>
      </c>
      <c r="N1162" s="14">
        <f>MAX(0,F1162-E1162)</f>
        <v/>
      </c>
    </row>
    <row r="1163">
      <c r="A1163" s="14" t="inlineStr">
        <is>
          <t>PO-01162</t>
        </is>
      </c>
      <c r="B1163" s="14" t="inlineStr">
        <is>
          <t>S03</t>
        </is>
      </c>
      <c r="C1163" s="14" t="inlineStr">
        <is>
          <t>NB-0045</t>
        </is>
      </c>
      <c r="D1163" s="26" t="n">
        <v>45772</v>
      </c>
      <c r="E1163" s="26" t="n">
        <v>45814</v>
      </c>
      <c r="F1163" s="26" t="n">
        <v>45813</v>
      </c>
      <c r="G1163" s="14" t="n">
        <v>56</v>
      </c>
      <c r="H1163" s="14" t="n">
        <v>56</v>
      </c>
      <c r="I1163" s="14" t="n">
        <v>0</v>
      </c>
      <c r="J1163" s="58" t="n">
        <v>4447.52</v>
      </c>
      <c r="K1163" s="59">
        <f>(F1163-D1163)/7</f>
        <v/>
      </c>
      <c r="L1163" s="59">
        <f>K1163^2</f>
        <v/>
      </c>
      <c r="M1163" s="14">
        <f>IF(F1163&lt;=E1163,1,0)</f>
        <v/>
      </c>
      <c r="N1163" s="14">
        <f>MAX(0,F1163-E1163)</f>
        <v/>
      </c>
    </row>
    <row r="1164">
      <c r="A1164" s="14" t="inlineStr">
        <is>
          <t>PO-01163</t>
        </is>
      </c>
      <c r="B1164" s="14" t="inlineStr">
        <is>
          <t>S03</t>
        </is>
      </c>
      <c r="C1164" s="14" t="inlineStr">
        <is>
          <t>NB-0045</t>
        </is>
      </c>
      <c r="D1164" s="26" t="n">
        <v>45796</v>
      </c>
      <c r="E1164" s="26" t="n">
        <v>45838</v>
      </c>
      <c r="F1164" s="26" t="n">
        <v>45838</v>
      </c>
      <c r="G1164" s="14" t="n">
        <v>74</v>
      </c>
      <c r="H1164" s="14" t="n">
        <v>74</v>
      </c>
      <c r="I1164" s="14" t="n">
        <v>0</v>
      </c>
      <c r="J1164" s="58" t="n">
        <v>5877.08</v>
      </c>
      <c r="K1164" s="59">
        <f>(F1164-D1164)/7</f>
        <v/>
      </c>
      <c r="L1164" s="59">
        <f>K1164^2</f>
        <v/>
      </c>
      <c r="M1164" s="14">
        <f>IF(F1164&lt;=E1164,1,0)</f>
        <v/>
      </c>
      <c r="N1164" s="14">
        <f>MAX(0,F1164-E1164)</f>
        <v/>
      </c>
    </row>
    <row r="1165">
      <c r="A1165" s="14" t="inlineStr">
        <is>
          <t>PO-01164</t>
        </is>
      </c>
      <c r="B1165" s="14" t="inlineStr">
        <is>
          <t>S03</t>
        </is>
      </c>
      <c r="C1165" s="14" t="inlineStr">
        <is>
          <t>NB-0045</t>
        </is>
      </c>
      <c r="D1165" s="26" t="n">
        <v>45826</v>
      </c>
      <c r="E1165" s="26" t="n">
        <v>45868</v>
      </c>
      <c r="F1165" s="26" t="n">
        <v>45868</v>
      </c>
      <c r="G1165" s="14" t="n">
        <v>61</v>
      </c>
      <c r="H1165" s="14" t="n">
        <v>61</v>
      </c>
      <c r="I1165" s="14" t="n">
        <v>0</v>
      </c>
      <c r="J1165" s="58" t="n">
        <v>4844.62</v>
      </c>
      <c r="K1165" s="59">
        <f>(F1165-D1165)/7</f>
        <v/>
      </c>
      <c r="L1165" s="59">
        <f>K1165^2</f>
        <v/>
      </c>
      <c r="M1165" s="14">
        <f>IF(F1165&lt;=E1165,1,0)</f>
        <v/>
      </c>
      <c r="N1165" s="14">
        <f>MAX(0,F1165-E1165)</f>
        <v/>
      </c>
    </row>
    <row r="1166">
      <c r="A1166" s="14" t="inlineStr">
        <is>
          <t>PO-01165</t>
        </is>
      </c>
      <c r="B1166" s="14" t="inlineStr">
        <is>
          <t>S03</t>
        </is>
      </c>
      <c r="C1166" s="14" t="inlineStr">
        <is>
          <t>NB-0045</t>
        </is>
      </c>
      <c r="D1166" s="26" t="n">
        <v>45855</v>
      </c>
      <c r="E1166" s="26" t="n">
        <v>45897</v>
      </c>
      <c r="F1166" s="26" t="n">
        <v>45896</v>
      </c>
      <c r="G1166" s="14" t="n">
        <v>72</v>
      </c>
      <c r="H1166" s="14" t="n">
        <v>72</v>
      </c>
      <c r="I1166" s="14" t="n">
        <v>0</v>
      </c>
      <c r="J1166" s="58" t="n">
        <v>5718.24</v>
      </c>
      <c r="K1166" s="59">
        <f>(F1166-D1166)/7</f>
        <v/>
      </c>
      <c r="L1166" s="59">
        <f>K1166^2</f>
        <v/>
      </c>
      <c r="M1166" s="14">
        <f>IF(F1166&lt;=E1166,1,0)</f>
        <v/>
      </c>
      <c r="N1166" s="14">
        <f>MAX(0,F1166-E1166)</f>
        <v/>
      </c>
    </row>
    <row r="1167">
      <c r="A1167" s="14" t="inlineStr">
        <is>
          <t>PO-01166</t>
        </is>
      </c>
      <c r="B1167" s="14" t="inlineStr">
        <is>
          <t>S03</t>
        </is>
      </c>
      <c r="C1167" s="14" t="inlineStr">
        <is>
          <t>NB-0045</t>
        </is>
      </c>
      <c r="D1167" s="26" t="n">
        <v>45881</v>
      </c>
      <c r="E1167" s="26" t="n">
        <v>45923</v>
      </c>
      <c r="F1167" s="26" t="n">
        <v>45922</v>
      </c>
      <c r="G1167" s="14" t="n">
        <v>56</v>
      </c>
      <c r="H1167" s="14" t="n">
        <v>56</v>
      </c>
      <c r="I1167" s="14" t="n">
        <v>1</v>
      </c>
      <c r="J1167" s="58" t="n">
        <v>4447.52</v>
      </c>
      <c r="K1167" s="59">
        <f>(F1167-D1167)/7</f>
        <v/>
      </c>
      <c r="L1167" s="59">
        <f>K1167^2</f>
        <v/>
      </c>
      <c r="M1167" s="14">
        <f>IF(F1167&lt;=E1167,1,0)</f>
        <v/>
      </c>
      <c r="N1167" s="14">
        <f>MAX(0,F1167-E1167)</f>
        <v/>
      </c>
    </row>
    <row r="1168">
      <c r="A1168" s="14" t="inlineStr">
        <is>
          <t>PO-01167</t>
        </is>
      </c>
      <c r="B1168" s="14" t="inlineStr">
        <is>
          <t>S03</t>
        </is>
      </c>
      <c r="C1168" s="14" t="inlineStr">
        <is>
          <t>NB-0045</t>
        </is>
      </c>
      <c r="D1168" s="26" t="n">
        <v>45908</v>
      </c>
      <c r="E1168" s="26" t="n">
        <v>45950</v>
      </c>
      <c r="F1168" s="26" t="n">
        <v>45948</v>
      </c>
      <c r="G1168" s="14" t="n">
        <v>72</v>
      </c>
      <c r="H1168" s="14" t="n">
        <v>72</v>
      </c>
      <c r="I1168" s="14" t="n">
        <v>0</v>
      </c>
      <c r="J1168" s="58" t="n">
        <v>5718.24</v>
      </c>
      <c r="K1168" s="59">
        <f>(F1168-D1168)/7</f>
        <v/>
      </c>
      <c r="L1168" s="59">
        <f>K1168^2</f>
        <v/>
      </c>
      <c r="M1168" s="14">
        <f>IF(F1168&lt;=E1168,1,0)</f>
        <v/>
      </c>
      <c r="N1168" s="14">
        <f>MAX(0,F1168-E1168)</f>
        <v/>
      </c>
    </row>
    <row r="1169">
      <c r="A1169" s="14" t="inlineStr">
        <is>
          <t>PO-01168</t>
        </is>
      </c>
      <c r="B1169" s="14" t="inlineStr">
        <is>
          <t>S03</t>
        </is>
      </c>
      <c r="C1169" s="14" t="inlineStr">
        <is>
          <t>NB-0045</t>
        </is>
      </c>
      <c r="D1169" s="26" t="n">
        <v>45939</v>
      </c>
      <c r="E1169" s="26" t="n">
        <v>45981</v>
      </c>
      <c r="F1169" s="26" t="n">
        <v>45978</v>
      </c>
      <c r="G1169" s="14" t="n">
        <v>70</v>
      </c>
      <c r="H1169" s="14" t="n">
        <v>70</v>
      </c>
      <c r="I1169" s="14" t="n">
        <v>1</v>
      </c>
      <c r="J1169" s="58" t="n">
        <v>5559.4</v>
      </c>
      <c r="K1169" s="59">
        <f>(F1169-D1169)/7</f>
        <v/>
      </c>
      <c r="L1169" s="59">
        <f>K1169^2</f>
        <v/>
      </c>
      <c r="M1169" s="14">
        <f>IF(F1169&lt;=E1169,1,0)</f>
        <v/>
      </c>
      <c r="N1169" s="14">
        <f>MAX(0,F1169-E1169)</f>
        <v/>
      </c>
    </row>
    <row r="1170">
      <c r="A1170" s="14" t="inlineStr">
        <is>
          <t>PO-01169</t>
        </is>
      </c>
      <c r="B1170" s="14" t="inlineStr">
        <is>
          <t>S03</t>
        </is>
      </c>
      <c r="C1170" s="14" t="inlineStr">
        <is>
          <t>NB-0045</t>
        </is>
      </c>
      <c r="D1170" s="26" t="n">
        <v>45966</v>
      </c>
      <c r="E1170" s="26" t="n">
        <v>46008</v>
      </c>
      <c r="F1170" s="26" t="n">
        <v>46005</v>
      </c>
      <c r="G1170" s="14" t="n">
        <v>59</v>
      </c>
      <c r="H1170" s="14" t="n">
        <v>50</v>
      </c>
      <c r="I1170" s="14" t="n">
        <v>0</v>
      </c>
      <c r="J1170" s="58" t="n">
        <v>4685.78</v>
      </c>
      <c r="K1170" s="59">
        <f>(F1170-D1170)/7</f>
        <v/>
      </c>
      <c r="L1170" s="59">
        <f>K1170^2</f>
        <v/>
      </c>
      <c r="M1170" s="14">
        <f>IF(F1170&lt;=E1170,1,0)</f>
        <v/>
      </c>
      <c r="N1170" s="14">
        <f>MAX(0,F1170-E1170)</f>
        <v/>
      </c>
    </row>
    <row r="1171">
      <c r="A1171" s="14" t="inlineStr">
        <is>
          <t>PO-01170</t>
        </is>
      </c>
      <c r="B1171" s="14" t="inlineStr">
        <is>
          <t>S03</t>
        </is>
      </c>
      <c r="C1171" s="14" t="inlineStr">
        <is>
          <t>NB-0045</t>
        </is>
      </c>
      <c r="D1171" s="26" t="n">
        <v>45992</v>
      </c>
      <c r="E1171" s="26" t="n">
        <v>46034</v>
      </c>
      <c r="F1171" s="26" t="n">
        <v>46031</v>
      </c>
      <c r="G1171" s="14" t="n">
        <v>70</v>
      </c>
      <c r="H1171" s="14" t="n">
        <v>70</v>
      </c>
      <c r="I1171" s="14" t="n">
        <v>0</v>
      </c>
      <c r="J1171" s="58" t="n">
        <v>5559.4</v>
      </c>
      <c r="K1171" s="59">
        <f>(F1171-D1171)/7</f>
        <v/>
      </c>
      <c r="L1171" s="59">
        <f>K1171^2</f>
        <v/>
      </c>
      <c r="M1171" s="14">
        <f>IF(F1171&lt;=E1171,1,0)</f>
        <v/>
      </c>
      <c r="N1171" s="14">
        <f>MAX(0,F1171-E1171)</f>
        <v/>
      </c>
    </row>
    <row r="1172">
      <c r="A1172" s="14" t="inlineStr">
        <is>
          <t>PO-01171</t>
        </is>
      </c>
      <c r="B1172" s="14" t="inlineStr">
        <is>
          <t>S03</t>
        </is>
      </c>
      <c r="C1172" s="14" t="inlineStr">
        <is>
          <t>NB-0046</t>
        </is>
      </c>
      <c r="D1172" s="26" t="n">
        <v>45292</v>
      </c>
      <c r="E1172" s="26" t="n">
        <v>45334</v>
      </c>
      <c r="F1172" s="26" t="n">
        <v>45332</v>
      </c>
      <c r="G1172" s="14" t="n">
        <v>16</v>
      </c>
      <c r="H1172" s="14" t="n">
        <v>16</v>
      </c>
      <c r="I1172" s="14" t="n">
        <v>0</v>
      </c>
      <c r="J1172" s="58" t="n">
        <v>1270.4</v>
      </c>
      <c r="K1172" s="59">
        <f>(F1172-D1172)/7</f>
        <v/>
      </c>
      <c r="L1172" s="59">
        <f>K1172^2</f>
        <v/>
      </c>
      <c r="M1172" s="14">
        <f>IF(F1172&lt;=E1172,1,0)</f>
        <v/>
      </c>
      <c r="N1172" s="14">
        <f>MAX(0,F1172-E1172)</f>
        <v/>
      </c>
    </row>
    <row r="1173">
      <c r="A1173" s="14" t="inlineStr">
        <is>
          <t>PO-01172</t>
        </is>
      </c>
      <c r="B1173" s="14" t="inlineStr">
        <is>
          <t>S03</t>
        </is>
      </c>
      <c r="C1173" s="14" t="inlineStr">
        <is>
          <t>NB-0046</t>
        </is>
      </c>
      <c r="D1173" s="26" t="n">
        <v>45322</v>
      </c>
      <c r="E1173" s="26" t="n">
        <v>45364</v>
      </c>
      <c r="F1173" s="26" t="n">
        <v>45363</v>
      </c>
      <c r="G1173" s="14" t="n">
        <v>19</v>
      </c>
      <c r="H1173" s="14" t="n">
        <v>18</v>
      </c>
      <c r="I1173" s="14" t="n">
        <v>0</v>
      </c>
      <c r="J1173" s="58" t="n">
        <v>1508.6</v>
      </c>
      <c r="K1173" s="59">
        <f>(F1173-D1173)/7</f>
        <v/>
      </c>
      <c r="L1173" s="59">
        <f>K1173^2</f>
        <v/>
      </c>
      <c r="M1173" s="14">
        <f>IF(F1173&lt;=E1173,1,0)</f>
        <v/>
      </c>
      <c r="N1173" s="14">
        <f>MAX(0,F1173-E1173)</f>
        <v/>
      </c>
    </row>
    <row r="1174">
      <c r="A1174" s="14" t="inlineStr">
        <is>
          <t>PO-01173</t>
        </is>
      </c>
      <c r="B1174" s="14" t="inlineStr">
        <is>
          <t>S03</t>
        </is>
      </c>
      <c r="C1174" s="14" t="inlineStr">
        <is>
          <t>NB-0046</t>
        </is>
      </c>
      <c r="D1174" s="26" t="n">
        <v>45350</v>
      </c>
      <c r="E1174" s="26" t="n">
        <v>45392</v>
      </c>
      <c r="F1174" s="26" t="n">
        <v>45400</v>
      </c>
      <c r="G1174" s="14" t="n">
        <v>16</v>
      </c>
      <c r="H1174" s="14" t="n">
        <v>16</v>
      </c>
      <c r="I1174" s="14" t="n">
        <v>0</v>
      </c>
      <c r="J1174" s="58" t="n">
        <v>1270.4</v>
      </c>
      <c r="K1174" s="59">
        <f>(F1174-D1174)/7</f>
        <v/>
      </c>
      <c r="L1174" s="59">
        <f>K1174^2</f>
        <v/>
      </c>
      <c r="M1174" s="14">
        <f>IF(F1174&lt;=E1174,1,0)</f>
        <v/>
      </c>
      <c r="N1174" s="14">
        <f>MAX(0,F1174-E1174)</f>
        <v/>
      </c>
    </row>
    <row r="1175">
      <c r="A1175" s="14" t="inlineStr">
        <is>
          <t>PO-01174</t>
        </is>
      </c>
      <c r="B1175" s="14" t="inlineStr">
        <is>
          <t>S03</t>
        </is>
      </c>
      <c r="C1175" s="14" t="inlineStr">
        <is>
          <t>NB-0046</t>
        </is>
      </c>
      <c r="D1175" s="26" t="n">
        <v>45379</v>
      </c>
      <c r="E1175" s="26" t="n">
        <v>45421</v>
      </c>
      <c r="F1175" s="26" t="n">
        <v>45420</v>
      </c>
      <c r="G1175" s="14" t="n">
        <v>20</v>
      </c>
      <c r="H1175" s="14" t="n">
        <v>20</v>
      </c>
      <c r="I1175" s="14" t="n">
        <v>0</v>
      </c>
      <c r="J1175" s="58" t="n">
        <v>1588</v>
      </c>
      <c r="K1175" s="59">
        <f>(F1175-D1175)/7</f>
        <v/>
      </c>
      <c r="L1175" s="59">
        <f>K1175^2</f>
        <v/>
      </c>
      <c r="M1175" s="14">
        <f>IF(F1175&lt;=E1175,1,0)</f>
        <v/>
      </c>
      <c r="N1175" s="14">
        <f>MAX(0,F1175-E1175)</f>
        <v/>
      </c>
    </row>
    <row r="1176">
      <c r="A1176" s="14" t="inlineStr">
        <is>
          <t>PO-01175</t>
        </is>
      </c>
      <c r="B1176" s="14" t="inlineStr">
        <is>
          <t>S03</t>
        </is>
      </c>
      <c r="C1176" s="14" t="inlineStr">
        <is>
          <t>NB-0046</t>
        </is>
      </c>
      <c r="D1176" s="26" t="n">
        <v>45404</v>
      </c>
      <c r="E1176" s="26" t="n">
        <v>45446</v>
      </c>
      <c r="F1176" s="26" t="n">
        <v>45445</v>
      </c>
      <c r="G1176" s="14" t="n">
        <v>15</v>
      </c>
      <c r="H1176" s="14" t="n">
        <v>14</v>
      </c>
      <c r="I1176" s="14" t="n">
        <v>0</v>
      </c>
      <c r="J1176" s="58" t="n">
        <v>1191</v>
      </c>
      <c r="K1176" s="59">
        <f>(F1176-D1176)/7</f>
        <v/>
      </c>
      <c r="L1176" s="59">
        <f>K1176^2</f>
        <v/>
      </c>
      <c r="M1176" s="14">
        <f>IF(F1176&lt;=E1176,1,0)</f>
        <v/>
      </c>
      <c r="N1176" s="14">
        <f>MAX(0,F1176-E1176)</f>
        <v/>
      </c>
    </row>
    <row r="1177">
      <c r="A1177" s="14" t="inlineStr">
        <is>
          <t>PO-01176</t>
        </is>
      </c>
      <c r="B1177" s="14" t="inlineStr">
        <is>
          <t>S03</t>
        </is>
      </c>
      <c r="C1177" s="14" t="inlineStr">
        <is>
          <t>NB-0046</t>
        </is>
      </c>
      <c r="D1177" s="26" t="n">
        <v>45436</v>
      </c>
      <c r="E1177" s="26" t="n">
        <v>45478</v>
      </c>
      <c r="F1177" s="26" t="n">
        <v>45478</v>
      </c>
      <c r="G1177" s="14" t="n">
        <v>18</v>
      </c>
      <c r="H1177" s="14" t="n">
        <v>18</v>
      </c>
      <c r="I1177" s="14" t="n">
        <v>0</v>
      </c>
      <c r="J1177" s="58" t="n">
        <v>1429.2</v>
      </c>
      <c r="K1177" s="59">
        <f>(F1177-D1177)/7</f>
        <v/>
      </c>
      <c r="L1177" s="59">
        <f>K1177^2</f>
        <v/>
      </c>
      <c r="M1177" s="14">
        <f>IF(F1177&lt;=E1177,1,0)</f>
        <v/>
      </c>
      <c r="N1177" s="14">
        <f>MAX(0,F1177-E1177)</f>
        <v/>
      </c>
    </row>
    <row r="1178">
      <c r="A1178" s="14" t="inlineStr">
        <is>
          <t>PO-01177</t>
        </is>
      </c>
      <c r="B1178" s="14" t="inlineStr">
        <is>
          <t>S03</t>
        </is>
      </c>
      <c r="C1178" s="14" t="inlineStr">
        <is>
          <t>NB-0046</t>
        </is>
      </c>
      <c r="D1178" s="26" t="n">
        <v>45463</v>
      </c>
      <c r="E1178" s="26" t="n">
        <v>45505</v>
      </c>
      <c r="F1178" s="26" t="n">
        <v>45505</v>
      </c>
      <c r="G1178" s="14" t="n">
        <v>15</v>
      </c>
      <c r="H1178" s="14" t="n">
        <v>15</v>
      </c>
      <c r="I1178" s="14" t="n">
        <v>0</v>
      </c>
      <c r="J1178" s="58" t="n">
        <v>1191</v>
      </c>
      <c r="K1178" s="59">
        <f>(F1178-D1178)/7</f>
        <v/>
      </c>
      <c r="L1178" s="59">
        <f>K1178^2</f>
        <v/>
      </c>
      <c r="M1178" s="14">
        <f>IF(F1178&lt;=E1178,1,0)</f>
        <v/>
      </c>
      <c r="N1178" s="14">
        <f>MAX(0,F1178-E1178)</f>
        <v/>
      </c>
    </row>
    <row r="1179">
      <c r="A1179" s="14" t="inlineStr">
        <is>
          <t>PO-01178</t>
        </is>
      </c>
      <c r="B1179" s="14" t="inlineStr">
        <is>
          <t>S03</t>
        </is>
      </c>
      <c r="C1179" s="14" t="inlineStr">
        <is>
          <t>NB-0046</t>
        </is>
      </c>
      <c r="D1179" s="26" t="n">
        <v>45490</v>
      </c>
      <c r="E1179" s="26" t="n">
        <v>45532</v>
      </c>
      <c r="F1179" s="26" t="n">
        <v>45531</v>
      </c>
      <c r="G1179" s="14" t="n">
        <v>15</v>
      </c>
      <c r="H1179" s="14" t="n">
        <v>15</v>
      </c>
      <c r="I1179" s="14" t="n">
        <v>0</v>
      </c>
      <c r="J1179" s="58" t="n">
        <v>1191</v>
      </c>
      <c r="K1179" s="59">
        <f>(F1179-D1179)/7</f>
        <v/>
      </c>
      <c r="L1179" s="59">
        <f>K1179^2</f>
        <v/>
      </c>
      <c r="M1179" s="14">
        <f>IF(F1179&lt;=E1179,1,0)</f>
        <v/>
      </c>
      <c r="N1179" s="14">
        <f>MAX(0,F1179-E1179)</f>
        <v/>
      </c>
    </row>
    <row r="1180">
      <c r="A1180" s="14" t="inlineStr">
        <is>
          <t>PO-01179</t>
        </is>
      </c>
      <c r="B1180" s="14" t="inlineStr">
        <is>
          <t>S03</t>
        </is>
      </c>
      <c r="C1180" s="14" t="inlineStr">
        <is>
          <t>NB-0046</t>
        </is>
      </c>
      <c r="D1180" s="26" t="n">
        <v>45519</v>
      </c>
      <c r="E1180" s="26" t="n">
        <v>45561</v>
      </c>
      <c r="F1180" s="26" t="n">
        <v>45561</v>
      </c>
      <c r="G1180" s="14" t="n">
        <v>17</v>
      </c>
      <c r="H1180" s="14" t="n">
        <v>17</v>
      </c>
      <c r="I1180" s="14" t="n">
        <v>0</v>
      </c>
      <c r="J1180" s="58" t="n">
        <v>1349.8</v>
      </c>
      <c r="K1180" s="59">
        <f>(F1180-D1180)/7</f>
        <v/>
      </c>
      <c r="L1180" s="59">
        <f>K1180^2</f>
        <v/>
      </c>
      <c r="M1180" s="14">
        <f>IF(F1180&lt;=E1180,1,0)</f>
        <v/>
      </c>
      <c r="N1180" s="14">
        <f>MAX(0,F1180-E1180)</f>
        <v/>
      </c>
    </row>
    <row r="1181">
      <c r="A1181" s="14" t="inlineStr">
        <is>
          <t>PO-01180</t>
        </is>
      </c>
      <c r="B1181" s="14" t="inlineStr">
        <is>
          <t>S03</t>
        </is>
      </c>
      <c r="C1181" s="14" t="inlineStr">
        <is>
          <t>NB-0046</t>
        </is>
      </c>
      <c r="D1181" s="26" t="n">
        <v>45547</v>
      </c>
      <c r="E1181" s="26" t="n">
        <v>45589</v>
      </c>
      <c r="F1181" s="26" t="n">
        <v>45587</v>
      </c>
      <c r="G1181" s="14" t="n">
        <v>16</v>
      </c>
      <c r="H1181" s="14" t="n">
        <v>16</v>
      </c>
      <c r="I1181" s="14" t="n">
        <v>0</v>
      </c>
      <c r="J1181" s="58" t="n">
        <v>1270.4</v>
      </c>
      <c r="K1181" s="59">
        <f>(F1181-D1181)/7</f>
        <v/>
      </c>
      <c r="L1181" s="59">
        <f>K1181^2</f>
        <v/>
      </c>
      <c r="M1181" s="14">
        <f>IF(F1181&lt;=E1181,1,0)</f>
        <v/>
      </c>
      <c r="N1181" s="14">
        <f>MAX(0,F1181-E1181)</f>
        <v/>
      </c>
    </row>
    <row r="1182">
      <c r="A1182" s="14" t="inlineStr">
        <is>
          <t>PO-01181</t>
        </is>
      </c>
      <c r="B1182" s="14" t="inlineStr">
        <is>
          <t>S03</t>
        </is>
      </c>
      <c r="C1182" s="14" t="inlineStr">
        <is>
          <t>NB-0046</t>
        </is>
      </c>
      <c r="D1182" s="26" t="n">
        <v>45572</v>
      </c>
      <c r="E1182" s="26" t="n">
        <v>45614</v>
      </c>
      <c r="F1182" s="26" t="n">
        <v>45611</v>
      </c>
      <c r="G1182" s="14" t="n">
        <v>18</v>
      </c>
      <c r="H1182" s="14" t="n">
        <v>18</v>
      </c>
      <c r="I1182" s="14" t="n">
        <v>0</v>
      </c>
      <c r="J1182" s="58" t="n">
        <v>1429.2</v>
      </c>
      <c r="K1182" s="59">
        <f>(F1182-D1182)/7</f>
        <v/>
      </c>
      <c r="L1182" s="59">
        <f>K1182^2</f>
        <v/>
      </c>
      <c r="M1182" s="14">
        <f>IF(F1182&lt;=E1182,1,0)</f>
        <v/>
      </c>
      <c r="N1182" s="14">
        <f>MAX(0,F1182-E1182)</f>
        <v/>
      </c>
    </row>
    <row r="1183">
      <c r="A1183" s="14" t="inlineStr">
        <is>
          <t>PO-01182</t>
        </is>
      </c>
      <c r="B1183" s="14" t="inlineStr">
        <is>
          <t>S03</t>
        </is>
      </c>
      <c r="C1183" s="14" t="inlineStr">
        <is>
          <t>NB-0046</t>
        </is>
      </c>
      <c r="D1183" s="26" t="n">
        <v>45603</v>
      </c>
      <c r="E1183" s="26" t="n">
        <v>45645</v>
      </c>
      <c r="F1183" s="26" t="n">
        <v>45645</v>
      </c>
      <c r="G1183" s="14" t="n">
        <v>20</v>
      </c>
      <c r="H1183" s="14" t="n">
        <v>20</v>
      </c>
      <c r="I1183" s="14" t="n">
        <v>0</v>
      </c>
      <c r="J1183" s="58" t="n">
        <v>1588</v>
      </c>
      <c r="K1183" s="59">
        <f>(F1183-D1183)/7</f>
        <v/>
      </c>
      <c r="L1183" s="59">
        <f>K1183^2</f>
        <v/>
      </c>
      <c r="M1183" s="14">
        <f>IF(F1183&lt;=E1183,1,0)</f>
        <v/>
      </c>
      <c r="N1183" s="14">
        <f>MAX(0,F1183-E1183)</f>
        <v/>
      </c>
    </row>
    <row r="1184">
      <c r="A1184" s="14" t="inlineStr">
        <is>
          <t>PO-01183</t>
        </is>
      </c>
      <c r="B1184" s="14" t="inlineStr">
        <is>
          <t>S03</t>
        </is>
      </c>
      <c r="C1184" s="14" t="inlineStr">
        <is>
          <t>NB-0046</t>
        </is>
      </c>
      <c r="D1184" s="26" t="n">
        <v>45632</v>
      </c>
      <c r="E1184" s="26" t="n">
        <v>45674</v>
      </c>
      <c r="F1184" s="26" t="n">
        <v>45672</v>
      </c>
      <c r="G1184" s="14" t="n">
        <v>17</v>
      </c>
      <c r="H1184" s="14" t="n">
        <v>17</v>
      </c>
      <c r="I1184" s="14" t="n">
        <v>0</v>
      </c>
      <c r="J1184" s="58" t="n">
        <v>1349.8</v>
      </c>
      <c r="K1184" s="59">
        <f>(F1184-D1184)/7</f>
        <v/>
      </c>
      <c r="L1184" s="59">
        <f>K1184^2</f>
        <v/>
      </c>
      <c r="M1184" s="14">
        <f>IF(F1184&lt;=E1184,1,0)</f>
        <v/>
      </c>
      <c r="N1184" s="14">
        <f>MAX(0,F1184-E1184)</f>
        <v/>
      </c>
    </row>
    <row r="1185">
      <c r="A1185" s="14" t="inlineStr">
        <is>
          <t>PO-01184</t>
        </is>
      </c>
      <c r="B1185" s="14" t="inlineStr">
        <is>
          <t>S03</t>
        </is>
      </c>
      <c r="C1185" s="14" t="inlineStr">
        <is>
          <t>NB-0046</t>
        </is>
      </c>
      <c r="D1185" s="26" t="n">
        <v>45659</v>
      </c>
      <c r="E1185" s="26" t="n">
        <v>45701</v>
      </c>
      <c r="F1185" s="26" t="n">
        <v>45700</v>
      </c>
      <c r="G1185" s="14" t="n">
        <v>18</v>
      </c>
      <c r="H1185" s="14" t="n">
        <v>18</v>
      </c>
      <c r="I1185" s="14" t="n">
        <v>0</v>
      </c>
      <c r="J1185" s="58" t="n">
        <v>1429.2</v>
      </c>
      <c r="K1185" s="59">
        <f>(F1185-D1185)/7</f>
        <v/>
      </c>
      <c r="L1185" s="59">
        <f>K1185^2</f>
        <v/>
      </c>
      <c r="M1185" s="14">
        <f>IF(F1185&lt;=E1185,1,0)</f>
        <v/>
      </c>
      <c r="N1185" s="14">
        <f>MAX(0,F1185-E1185)</f>
        <v/>
      </c>
    </row>
    <row r="1186">
      <c r="A1186" s="14" t="inlineStr">
        <is>
          <t>PO-01185</t>
        </is>
      </c>
      <c r="B1186" s="14" t="inlineStr">
        <is>
          <t>S03</t>
        </is>
      </c>
      <c r="C1186" s="14" t="inlineStr">
        <is>
          <t>NB-0046</t>
        </is>
      </c>
      <c r="D1186" s="26" t="n">
        <v>45684</v>
      </c>
      <c r="E1186" s="26" t="n">
        <v>45726</v>
      </c>
      <c r="F1186" s="26" t="n">
        <v>45723</v>
      </c>
      <c r="G1186" s="14" t="n">
        <v>16</v>
      </c>
      <c r="H1186" s="14" t="n">
        <v>16</v>
      </c>
      <c r="I1186" s="14" t="n">
        <v>0</v>
      </c>
      <c r="J1186" s="58" t="n">
        <v>1270.4</v>
      </c>
      <c r="K1186" s="59">
        <f>(F1186-D1186)/7</f>
        <v/>
      </c>
      <c r="L1186" s="59">
        <f>K1186^2</f>
        <v/>
      </c>
      <c r="M1186" s="14">
        <f>IF(F1186&lt;=E1186,1,0)</f>
        <v/>
      </c>
      <c r="N1186" s="14">
        <f>MAX(0,F1186-E1186)</f>
        <v/>
      </c>
    </row>
    <row r="1187">
      <c r="A1187" s="14" t="inlineStr">
        <is>
          <t>PO-01186</t>
        </is>
      </c>
      <c r="B1187" s="14" t="inlineStr">
        <is>
          <t>S03</t>
        </is>
      </c>
      <c r="C1187" s="14" t="inlineStr">
        <is>
          <t>NB-0046</t>
        </is>
      </c>
      <c r="D1187" s="26" t="n">
        <v>45715</v>
      </c>
      <c r="E1187" s="26" t="n">
        <v>45757</v>
      </c>
      <c r="F1187" s="26" t="n">
        <v>45756</v>
      </c>
      <c r="G1187" s="14" t="n">
        <v>15</v>
      </c>
      <c r="H1187" s="14" t="n">
        <v>15</v>
      </c>
      <c r="I1187" s="14" t="n">
        <v>0</v>
      </c>
      <c r="J1187" s="58" t="n">
        <v>1191</v>
      </c>
      <c r="K1187" s="59">
        <f>(F1187-D1187)/7</f>
        <v/>
      </c>
      <c r="L1187" s="59">
        <f>K1187^2</f>
        <v/>
      </c>
      <c r="M1187" s="14">
        <f>IF(F1187&lt;=E1187,1,0)</f>
        <v/>
      </c>
      <c r="N1187" s="14">
        <f>MAX(0,F1187-E1187)</f>
        <v/>
      </c>
    </row>
    <row r="1188">
      <c r="A1188" s="14" t="inlineStr">
        <is>
          <t>PO-01187</t>
        </is>
      </c>
      <c r="B1188" s="14" t="inlineStr">
        <is>
          <t>S03</t>
        </is>
      </c>
      <c r="C1188" s="14" t="inlineStr">
        <is>
          <t>NB-0046</t>
        </is>
      </c>
      <c r="D1188" s="26" t="n">
        <v>45744</v>
      </c>
      <c r="E1188" s="26" t="n">
        <v>45786</v>
      </c>
      <c r="F1188" s="26" t="n">
        <v>45783</v>
      </c>
      <c r="G1188" s="14" t="n">
        <v>16</v>
      </c>
      <c r="H1188" s="14" t="n">
        <v>16</v>
      </c>
      <c r="I1188" s="14" t="n">
        <v>1</v>
      </c>
      <c r="J1188" s="58" t="n">
        <v>1270.4</v>
      </c>
      <c r="K1188" s="59">
        <f>(F1188-D1188)/7</f>
        <v/>
      </c>
      <c r="L1188" s="59">
        <f>K1188^2</f>
        <v/>
      </c>
      <c r="M1188" s="14">
        <f>IF(F1188&lt;=E1188,1,0)</f>
        <v/>
      </c>
      <c r="N1188" s="14">
        <f>MAX(0,F1188-E1188)</f>
        <v/>
      </c>
    </row>
    <row r="1189">
      <c r="A1189" s="14" t="inlineStr">
        <is>
          <t>PO-01188</t>
        </is>
      </c>
      <c r="B1189" s="14" t="inlineStr">
        <is>
          <t>S03</t>
        </is>
      </c>
      <c r="C1189" s="14" t="inlineStr">
        <is>
          <t>NB-0046</t>
        </is>
      </c>
      <c r="D1189" s="26" t="n">
        <v>45771</v>
      </c>
      <c r="E1189" s="26" t="n">
        <v>45813</v>
      </c>
      <c r="F1189" s="26" t="n">
        <v>45810</v>
      </c>
      <c r="G1189" s="14" t="n">
        <v>15</v>
      </c>
      <c r="H1189" s="14" t="n">
        <v>15</v>
      </c>
      <c r="I1189" s="14" t="n">
        <v>0</v>
      </c>
      <c r="J1189" s="58" t="n">
        <v>1191</v>
      </c>
      <c r="K1189" s="59">
        <f>(F1189-D1189)/7</f>
        <v/>
      </c>
      <c r="L1189" s="59">
        <f>K1189^2</f>
        <v/>
      </c>
      <c r="M1189" s="14">
        <f>IF(F1189&lt;=E1189,1,0)</f>
        <v/>
      </c>
      <c r="N1189" s="14">
        <f>MAX(0,F1189-E1189)</f>
        <v/>
      </c>
    </row>
    <row r="1190">
      <c r="A1190" s="14" t="inlineStr">
        <is>
          <t>PO-01189</t>
        </is>
      </c>
      <c r="B1190" s="14" t="inlineStr">
        <is>
          <t>S03</t>
        </is>
      </c>
      <c r="C1190" s="14" t="inlineStr">
        <is>
          <t>NB-0046</t>
        </is>
      </c>
      <c r="D1190" s="26" t="n">
        <v>45797</v>
      </c>
      <c r="E1190" s="26" t="n">
        <v>45839</v>
      </c>
      <c r="F1190" s="26" t="n">
        <v>45839</v>
      </c>
      <c r="G1190" s="14" t="n">
        <v>19</v>
      </c>
      <c r="H1190" s="14" t="n">
        <v>19</v>
      </c>
      <c r="I1190" s="14" t="n">
        <v>0</v>
      </c>
      <c r="J1190" s="58" t="n">
        <v>1508.6</v>
      </c>
      <c r="K1190" s="59">
        <f>(F1190-D1190)/7</f>
        <v/>
      </c>
      <c r="L1190" s="59">
        <f>K1190^2</f>
        <v/>
      </c>
      <c r="M1190" s="14">
        <f>IF(F1190&lt;=E1190,1,0)</f>
        <v/>
      </c>
      <c r="N1190" s="14">
        <f>MAX(0,F1190-E1190)</f>
        <v/>
      </c>
    </row>
    <row r="1191">
      <c r="A1191" s="14" t="inlineStr">
        <is>
          <t>PO-01190</t>
        </is>
      </c>
      <c r="B1191" s="14" t="inlineStr">
        <is>
          <t>S03</t>
        </is>
      </c>
      <c r="C1191" s="14" t="inlineStr">
        <is>
          <t>NB-0046</t>
        </is>
      </c>
      <c r="D1191" s="26" t="n">
        <v>45828</v>
      </c>
      <c r="E1191" s="26" t="n">
        <v>45870</v>
      </c>
      <c r="F1191" s="26" t="n">
        <v>45869</v>
      </c>
      <c r="G1191" s="14" t="n">
        <v>17</v>
      </c>
      <c r="H1191" s="14" t="n">
        <v>17</v>
      </c>
      <c r="I1191" s="14" t="n">
        <v>0</v>
      </c>
      <c r="J1191" s="58" t="n">
        <v>1349.8</v>
      </c>
      <c r="K1191" s="59">
        <f>(F1191-D1191)/7</f>
        <v/>
      </c>
      <c r="L1191" s="59">
        <f>K1191^2</f>
        <v/>
      </c>
      <c r="M1191" s="14">
        <f>IF(F1191&lt;=E1191,1,0)</f>
        <v/>
      </c>
      <c r="N1191" s="14">
        <f>MAX(0,F1191-E1191)</f>
        <v/>
      </c>
    </row>
    <row r="1192">
      <c r="A1192" s="14" t="inlineStr">
        <is>
          <t>PO-01191</t>
        </is>
      </c>
      <c r="B1192" s="14" t="inlineStr">
        <is>
          <t>S03</t>
        </is>
      </c>
      <c r="C1192" s="14" t="inlineStr">
        <is>
          <t>NB-0046</t>
        </is>
      </c>
      <c r="D1192" s="26" t="n">
        <v>45856</v>
      </c>
      <c r="E1192" s="26" t="n">
        <v>45898</v>
      </c>
      <c r="F1192" s="26" t="n">
        <v>45902</v>
      </c>
      <c r="G1192" s="14" t="n">
        <v>16</v>
      </c>
      <c r="H1192" s="14" t="n">
        <v>16</v>
      </c>
      <c r="I1192" s="14" t="n">
        <v>0</v>
      </c>
      <c r="J1192" s="58" t="n">
        <v>1270.4</v>
      </c>
      <c r="K1192" s="59">
        <f>(F1192-D1192)/7</f>
        <v/>
      </c>
      <c r="L1192" s="59">
        <f>K1192^2</f>
        <v/>
      </c>
      <c r="M1192" s="14">
        <f>IF(F1192&lt;=E1192,1,0)</f>
        <v/>
      </c>
      <c r="N1192" s="14">
        <f>MAX(0,F1192-E1192)</f>
        <v/>
      </c>
    </row>
    <row r="1193">
      <c r="A1193" s="14" t="inlineStr">
        <is>
          <t>PO-01192</t>
        </is>
      </c>
      <c r="B1193" s="14" t="inlineStr">
        <is>
          <t>S03</t>
        </is>
      </c>
      <c r="C1193" s="14" t="inlineStr">
        <is>
          <t>NB-0046</t>
        </is>
      </c>
      <c r="D1193" s="26" t="n">
        <v>45880</v>
      </c>
      <c r="E1193" s="26" t="n">
        <v>45922</v>
      </c>
      <c r="F1193" s="26" t="n">
        <v>45921</v>
      </c>
      <c r="G1193" s="14" t="n">
        <v>16</v>
      </c>
      <c r="H1193" s="14" t="n">
        <v>16</v>
      </c>
      <c r="I1193" s="14" t="n">
        <v>0</v>
      </c>
      <c r="J1193" s="58" t="n">
        <v>1270.4</v>
      </c>
      <c r="K1193" s="59">
        <f>(F1193-D1193)/7</f>
        <v/>
      </c>
      <c r="L1193" s="59">
        <f>K1193^2</f>
        <v/>
      </c>
      <c r="M1193" s="14">
        <f>IF(F1193&lt;=E1193,1,0)</f>
        <v/>
      </c>
      <c r="N1193" s="14">
        <f>MAX(0,F1193-E1193)</f>
        <v/>
      </c>
    </row>
    <row r="1194">
      <c r="A1194" s="14" t="inlineStr">
        <is>
          <t>PO-01193</t>
        </is>
      </c>
      <c r="B1194" s="14" t="inlineStr">
        <is>
          <t>S03</t>
        </is>
      </c>
      <c r="C1194" s="14" t="inlineStr">
        <is>
          <t>NB-0046</t>
        </is>
      </c>
      <c r="D1194" s="26" t="n">
        <v>45908</v>
      </c>
      <c r="E1194" s="26" t="n">
        <v>45950</v>
      </c>
      <c r="F1194" s="26" t="n">
        <v>45950</v>
      </c>
      <c r="G1194" s="14" t="n">
        <v>16</v>
      </c>
      <c r="H1194" s="14" t="n">
        <v>16</v>
      </c>
      <c r="I1194" s="14" t="n">
        <v>0</v>
      </c>
      <c r="J1194" s="58" t="n">
        <v>1270.4</v>
      </c>
      <c r="K1194" s="59">
        <f>(F1194-D1194)/7</f>
        <v/>
      </c>
      <c r="L1194" s="59">
        <f>K1194^2</f>
        <v/>
      </c>
      <c r="M1194" s="14">
        <f>IF(F1194&lt;=E1194,1,0)</f>
        <v/>
      </c>
      <c r="N1194" s="14">
        <f>MAX(0,F1194-E1194)</f>
        <v/>
      </c>
    </row>
    <row r="1195">
      <c r="A1195" s="14" t="inlineStr">
        <is>
          <t>PO-01194</t>
        </is>
      </c>
      <c r="B1195" s="14" t="inlineStr">
        <is>
          <t>S03</t>
        </is>
      </c>
      <c r="C1195" s="14" t="inlineStr">
        <is>
          <t>NB-0046</t>
        </is>
      </c>
      <c r="D1195" s="26" t="n">
        <v>45940</v>
      </c>
      <c r="E1195" s="26" t="n">
        <v>45982</v>
      </c>
      <c r="F1195" s="26" t="n">
        <v>45980</v>
      </c>
      <c r="G1195" s="14" t="n">
        <v>15</v>
      </c>
      <c r="H1195" s="14" t="n">
        <v>15</v>
      </c>
      <c r="I1195" s="14" t="n">
        <v>0</v>
      </c>
      <c r="J1195" s="58" t="n">
        <v>1191</v>
      </c>
      <c r="K1195" s="59">
        <f>(F1195-D1195)/7</f>
        <v/>
      </c>
      <c r="L1195" s="59">
        <f>K1195^2</f>
        <v/>
      </c>
      <c r="M1195" s="14">
        <f>IF(F1195&lt;=E1195,1,0)</f>
        <v/>
      </c>
      <c r="N1195" s="14">
        <f>MAX(0,F1195-E1195)</f>
        <v/>
      </c>
    </row>
    <row r="1196">
      <c r="A1196" s="14" t="inlineStr">
        <is>
          <t>PO-01195</t>
        </is>
      </c>
      <c r="B1196" s="14" t="inlineStr">
        <is>
          <t>S03</t>
        </is>
      </c>
      <c r="C1196" s="14" t="inlineStr">
        <is>
          <t>NB-0046</t>
        </is>
      </c>
      <c r="D1196" s="26" t="n">
        <v>45965</v>
      </c>
      <c r="E1196" s="26" t="n">
        <v>46007</v>
      </c>
      <c r="F1196" s="26" t="n">
        <v>46007</v>
      </c>
      <c r="G1196" s="14" t="n">
        <v>17</v>
      </c>
      <c r="H1196" s="14" t="n">
        <v>17</v>
      </c>
      <c r="I1196" s="14" t="n">
        <v>0</v>
      </c>
      <c r="J1196" s="58" t="n">
        <v>1349.8</v>
      </c>
      <c r="K1196" s="59">
        <f>(F1196-D1196)/7</f>
        <v/>
      </c>
      <c r="L1196" s="59">
        <f>K1196^2</f>
        <v/>
      </c>
      <c r="M1196" s="14">
        <f>IF(F1196&lt;=E1196,1,0)</f>
        <v/>
      </c>
      <c r="N1196" s="14">
        <f>MAX(0,F1196-E1196)</f>
        <v/>
      </c>
    </row>
    <row r="1197">
      <c r="A1197" s="14" t="inlineStr">
        <is>
          <t>PO-01196</t>
        </is>
      </c>
      <c r="B1197" s="14" t="inlineStr">
        <is>
          <t>S03</t>
        </is>
      </c>
      <c r="C1197" s="14" t="inlineStr">
        <is>
          <t>NB-0046</t>
        </is>
      </c>
      <c r="D1197" s="26" t="n">
        <v>45996</v>
      </c>
      <c r="E1197" s="26" t="n">
        <v>46038</v>
      </c>
      <c r="F1197" s="26" t="n">
        <v>46037</v>
      </c>
      <c r="G1197" s="14" t="n">
        <v>20</v>
      </c>
      <c r="H1197" s="14" t="n">
        <v>20</v>
      </c>
      <c r="I1197" s="14" t="n">
        <v>0</v>
      </c>
      <c r="J1197" s="58" t="n">
        <v>1588</v>
      </c>
      <c r="K1197" s="59">
        <f>(F1197-D1197)/7</f>
        <v/>
      </c>
      <c r="L1197" s="59">
        <f>K1197^2</f>
        <v/>
      </c>
      <c r="M1197" s="14">
        <f>IF(F1197&lt;=E1197,1,0)</f>
        <v/>
      </c>
      <c r="N1197" s="14">
        <f>MAX(0,F1197-E1197)</f>
        <v/>
      </c>
    </row>
    <row r="1198">
      <c r="A1198" s="14" t="inlineStr">
        <is>
          <t>PO-01197</t>
        </is>
      </c>
      <c r="B1198" s="14" t="inlineStr">
        <is>
          <t>S03</t>
        </is>
      </c>
      <c r="C1198" s="14" t="inlineStr">
        <is>
          <t>NB-0047</t>
        </is>
      </c>
      <c r="D1198" s="26" t="n">
        <v>45295</v>
      </c>
      <c r="E1198" s="26" t="n">
        <v>45337</v>
      </c>
      <c r="F1198" s="26" t="n">
        <v>45337</v>
      </c>
      <c r="G1198" s="14" t="n">
        <v>32</v>
      </c>
      <c r="H1198" s="14" t="n">
        <v>32</v>
      </c>
      <c r="I1198" s="14" t="n">
        <v>0</v>
      </c>
      <c r="J1198" s="58" t="n">
        <v>2410.56</v>
      </c>
      <c r="K1198" s="59">
        <f>(F1198-D1198)/7</f>
        <v/>
      </c>
      <c r="L1198" s="59">
        <f>K1198^2</f>
        <v/>
      </c>
      <c r="M1198" s="14">
        <f>IF(F1198&lt;=E1198,1,0)</f>
        <v/>
      </c>
      <c r="N1198" s="14">
        <f>MAX(0,F1198-E1198)</f>
        <v/>
      </c>
    </row>
    <row r="1199">
      <c r="A1199" s="14" t="inlineStr">
        <is>
          <t>PO-01198</t>
        </is>
      </c>
      <c r="B1199" s="14" t="inlineStr">
        <is>
          <t>S03</t>
        </is>
      </c>
      <c r="C1199" s="14" t="inlineStr">
        <is>
          <t>NB-0047</t>
        </is>
      </c>
      <c r="D1199" s="26" t="n">
        <v>45322</v>
      </c>
      <c r="E1199" s="26" t="n">
        <v>45364</v>
      </c>
      <c r="F1199" s="26" t="n">
        <v>45368</v>
      </c>
      <c r="G1199" s="14" t="n">
        <v>38</v>
      </c>
      <c r="H1199" s="14" t="n">
        <v>38</v>
      </c>
      <c r="I1199" s="14" t="n">
        <v>0</v>
      </c>
      <c r="J1199" s="58" t="n">
        <v>2862.54</v>
      </c>
      <c r="K1199" s="59">
        <f>(F1199-D1199)/7</f>
        <v/>
      </c>
      <c r="L1199" s="59">
        <f>K1199^2</f>
        <v/>
      </c>
      <c r="M1199" s="14">
        <f>IF(F1199&lt;=E1199,1,0)</f>
        <v/>
      </c>
      <c r="N1199" s="14">
        <f>MAX(0,F1199-E1199)</f>
        <v/>
      </c>
    </row>
    <row r="1200">
      <c r="A1200" s="14" t="inlineStr">
        <is>
          <t>PO-01199</t>
        </is>
      </c>
      <c r="B1200" s="14" t="inlineStr">
        <is>
          <t>S03</t>
        </is>
      </c>
      <c r="C1200" s="14" t="inlineStr">
        <is>
          <t>NB-0047</t>
        </is>
      </c>
      <c r="D1200" s="26" t="n">
        <v>45348</v>
      </c>
      <c r="E1200" s="26" t="n">
        <v>45390</v>
      </c>
      <c r="F1200" s="26" t="n">
        <v>45389</v>
      </c>
      <c r="G1200" s="14" t="n">
        <v>37</v>
      </c>
      <c r="H1200" s="14" t="n">
        <v>37</v>
      </c>
      <c r="I1200" s="14" t="n">
        <v>0</v>
      </c>
      <c r="J1200" s="58" t="n">
        <v>2787.21</v>
      </c>
      <c r="K1200" s="59">
        <f>(F1200-D1200)/7</f>
        <v/>
      </c>
      <c r="L1200" s="59">
        <f>K1200^2</f>
        <v/>
      </c>
      <c r="M1200" s="14">
        <f>IF(F1200&lt;=E1200,1,0)</f>
        <v/>
      </c>
      <c r="N1200" s="14">
        <f>MAX(0,F1200-E1200)</f>
        <v/>
      </c>
    </row>
    <row r="1201">
      <c r="A1201" s="14" t="inlineStr">
        <is>
          <t>PO-01200</t>
        </is>
      </c>
      <c r="B1201" s="14" t="inlineStr">
        <is>
          <t>S03</t>
        </is>
      </c>
      <c r="C1201" s="14" t="inlineStr">
        <is>
          <t>NB-0047</t>
        </is>
      </c>
      <c r="D1201" s="26" t="n">
        <v>45377</v>
      </c>
      <c r="E1201" s="26" t="n">
        <v>45419</v>
      </c>
      <c r="F1201" s="26" t="n">
        <v>45418</v>
      </c>
      <c r="G1201" s="14" t="n">
        <v>33</v>
      </c>
      <c r="H1201" s="14" t="n">
        <v>33</v>
      </c>
      <c r="I1201" s="14" t="n">
        <v>0</v>
      </c>
      <c r="J1201" s="58" t="n">
        <v>2485.89</v>
      </c>
      <c r="K1201" s="59">
        <f>(F1201-D1201)/7</f>
        <v/>
      </c>
      <c r="L1201" s="59">
        <f>K1201^2</f>
        <v/>
      </c>
      <c r="M1201" s="14">
        <f>IF(F1201&lt;=E1201,1,0)</f>
        <v/>
      </c>
      <c r="N1201" s="14">
        <f>MAX(0,F1201-E1201)</f>
        <v/>
      </c>
    </row>
    <row r="1202">
      <c r="A1202" s="14" t="inlineStr">
        <is>
          <t>PO-01201</t>
        </is>
      </c>
      <c r="B1202" s="14" t="inlineStr">
        <is>
          <t>S03</t>
        </is>
      </c>
      <c r="C1202" s="14" t="inlineStr">
        <is>
          <t>NB-0047</t>
        </is>
      </c>
      <c r="D1202" s="26" t="n">
        <v>45408</v>
      </c>
      <c r="E1202" s="26" t="n">
        <v>45450</v>
      </c>
      <c r="F1202" s="26" t="n">
        <v>45448</v>
      </c>
      <c r="G1202" s="14" t="n">
        <v>36</v>
      </c>
      <c r="H1202" s="14" t="n">
        <v>36</v>
      </c>
      <c r="I1202" s="14" t="n">
        <v>0</v>
      </c>
      <c r="J1202" s="58" t="n">
        <v>2711.88</v>
      </c>
      <c r="K1202" s="59">
        <f>(F1202-D1202)/7</f>
        <v/>
      </c>
      <c r="L1202" s="59">
        <f>K1202^2</f>
        <v/>
      </c>
      <c r="M1202" s="14">
        <f>IF(F1202&lt;=E1202,1,0)</f>
        <v/>
      </c>
      <c r="N1202" s="14">
        <f>MAX(0,F1202-E1202)</f>
        <v/>
      </c>
    </row>
    <row r="1203">
      <c r="A1203" s="14" t="inlineStr">
        <is>
          <t>PO-01202</t>
        </is>
      </c>
      <c r="B1203" s="14" t="inlineStr">
        <is>
          <t>S03</t>
        </is>
      </c>
      <c r="C1203" s="14" t="inlineStr">
        <is>
          <t>NB-0047</t>
        </is>
      </c>
      <c r="D1203" s="26" t="n">
        <v>45434</v>
      </c>
      <c r="E1203" s="26" t="n">
        <v>45476</v>
      </c>
      <c r="F1203" s="26" t="n">
        <v>45481</v>
      </c>
      <c r="G1203" s="14" t="n">
        <v>31</v>
      </c>
      <c r="H1203" s="14" t="n">
        <v>31</v>
      </c>
      <c r="I1203" s="14" t="n">
        <v>0</v>
      </c>
      <c r="J1203" s="58" t="n">
        <v>2335.23</v>
      </c>
      <c r="K1203" s="59">
        <f>(F1203-D1203)/7</f>
        <v/>
      </c>
      <c r="L1203" s="59">
        <f>K1203^2</f>
        <v/>
      </c>
      <c r="M1203" s="14">
        <f>IF(F1203&lt;=E1203,1,0)</f>
        <v/>
      </c>
      <c r="N1203" s="14">
        <f>MAX(0,F1203-E1203)</f>
        <v/>
      </c>
    </row>
    <row r="1204">
      <c r="A1204" s="14" t="inlineStr">
        <is>
          <t>PO-01203</t>
        </is>
      </c>
      <c r="B1204" s="14" t="inlineStr">
        <is>
          <t>S03</t>
        </is>
      </c>
      <c r="C1204" s="14" t="inlineStr">
        <is>
          <t>NB-0047</t>
        </is>
      </c>
      <c r="D1204" s="26" t="n">
        <v>45463</v>
      </c>
      <c r="E1204" s="26" t="n">
        <v>45505</v>
      </c>
      <c r="F1204" s="26" t="n">
        <v>45502</v>
      </c>
      <c r="G1204" s="14" t="n">
        <v>34</v>
      </c>
      <c r="H1204" s="14" t="n">
        <v>34</v>
      </c>
      <c r="I1204" s="14" t="n">
        <v>0</v>
      </c>
      <c r="J1204" s="58" t="n">
        <v>2561.22</v>
      </c>
      <c r="K1204" s="59">
        <f>(F1204-D1204)/7</f>
        <v/>
      </c>
      <c r="L1204" s="59">
        <f>K1204^2</f>
        <v/>
      </c>
      <c r="M1204" s="14">
        <f>IF(F1204&lt;=E1204,1,0)</f>
        <v/>
      </c>
      <c r="N1204" s="14">
        <f>MAX(0,F1204-E1204)</f>
        <v/>
      </c>
    </row>
    <row r="1205">
      <c r="A1205" s="14" t="inlineStr">
        <is>
          <t>PO-01204</t>
        </is>
      </c>
      <c r="B1205" s="14" t="inlineStr">
        <is>
          <t>S03</t>
        </is>
      </c>
      <c r="C1205" s="14" t="inlineStr">
        <is>
          <t>NB-0047</t>
        </is>
      </c>
      <c r="D1205" s="26" t="n">
        <v>45491</v>
      </c>
      <c r="E1205" s="26" t="n">
        <v>45533</v>
      </c>
      <c r="F1205" s="26" t="n">
        <v>45532</v>
      </c>
      <c r="G1205" s="14" t="n">
        <v>35</v>
      </c>
      <c r="H1205" s="14" t="n">
        <v>35</v>
      </c>
      <c r="I1205" s="14" t="n">
        <v>0</v>
      </c>
      <c r="J1205" s="58" t="n">
        <v>2636.55</v>
      </c>
      <c r="K1205" s="59">
        <f>(F1205-D1205)/7</f>
        <v/>
      </c>
      <c r="L1205" s="59">
        <f>K1205^2</f>
        <v/>
      </c>
      <c r="M1205" s="14">
        <f>IF(F1205&lt;=E1205,1,0)</f>
        <v/>
      </c>
      <c r="N1205" s="14">
        <f>MAX(0,F1205-E1205)</f>
        <v/>
      </c>
    </row>
    <row r="1206">
      <c r="A1206" s="14" t="inlineStr">
        <is>
          <t>PO-01205</t>
        </is>
      </c>
      <c r="B1206" s="14" t="inlineStr">
        <is>
          <t>S03</t>
        </is>
      </c>
      <c r="C1206" s="14" t="inlineStr">
        <is>
          <t>NB-0047</t>
        </is>
      </c>
      <c r="D1206" s="26" t="n">
        <v>45518</v>
      </c>
      <c r="E1206" s="26" t="n">
        <v>45560</v>
      </c>
      <c r="F1206" s="26" t="n">
        <v>45558</v>
      </c>
      <c r="G1206" s="14" t="n">
        <v>39</v>
      </c>
      <c r="H1206" s="14" t="n">
        <v>39</v>
      </c>
      <c r="I1206" s="14" t="n">
        <v>1</v>
      </c>
      <c r="J1206" s="58" t="n">
        <v>2937.87</v>
      </c>
      <c r="K1206" s="59">
        <f>(F1206-D1206)/7</f>
        <v/>
      </c>
      <c r="L1206" s="59">
        <f>K1206^2</f>
        <v/>
      </c>
      <c r="M1206" s="14">
        <f>IF(F1206&lt;=E1206,1,0)</f>
        <v/>
      </c>
      <c r="N1206" s="14">
        <f>MAX(0,F1206-E1206)</f>
        <v/>
      </c>
    </row>
    <row r="1207">
      <c r="A1207" s="14" t="inlineStr">
        <is>
          <t>PO-01206</t>
        </is>
      </c>
      <c r="B1207" s="14" t="inlineStr">
        <is>
          <t>S03</t>
        </is>
      </c>
      <c r="C1207" s="14" t="inlineStr">
        <is>
          <t>NB-0047</t>
        </is>
      </c>
      <c r="D1207" s="26" t="n">
        <v>45545</v>
      </c>
      <c r="E1207" s="26" t="n">
        <v>45587</v>
      </c>
      <c r="F1207" s="26" t="n">
        <v>45584</v>
      </c>
      <c r="G1207" s="14" t="n">
        <v>35</v>
      </c>
      <c r="H1207" s="14" t="n">
        <v>35</v>
      </c>
      <c r="I1207" s="14" t="n">
        <v>0</v>
      </c>
      <c r="J1207" s="58" t="n">
        <v>2636.55</v>
      </c>
      <c r="K1207" s="59">
        <f>(F1207-D1207)/7</f>
        <v/>
      </c>
      <c r="L1207" s="59">
        <f>K1207^2</f>
        <v/>
      </c>
      <c r="M1207" s="14">
        <f>IF(F1207&lt;=E1207,1,0)</f>
        <v/>
      </c>
      <c r="N1207" s="14">
        <f>MAX(0,F1207-E1207)</f>
        <v/>
      </c>
    </row>
    <row r="1208">
      <c r="A1208" s="14" t="inlineStr">
        <is>
          <t>PO-01207</t>
        </is>
      </c>
      <c r="B1208" s="14" t="inlineStr">
        <is>
          <t>S03</t>
        </is>
      </c>
      <c r="C1208" s="14" t="inlineStr">
        <is>
          <t>NB-0047</t>
        </is>
      </c>
      <c r="D1208" s="26" t="n">
        <v>45574</v>
      </c>
      <c r="E1208" s="26" t="n">
        <v>45616</v>
      </c>
      <c r="F1208" s="26" t="n">
        <v>45615</v>
      </c>
      <c r="G1208" s="14" t="n">
        <v>41</v>
      </c>
      <c r="H1208" s="14" t="n">
        <v>41</v>
      </c>
      <c r="I1208" s="14" t="n">
        <v>0</v>
      </c>
      <c r="J1208" s="58" t="n">
        <v>3088.53</v>
      </c>
      <c r="K1208" s="59">
        <f>(F1208-D1208)/7</f>
        <v/>
      </c>
      <c r="L1208" s="59">
        <f>K1208^2</f>
        <v/>
      </c>
      <c r="M1208" s="14">
        <f>IF(F1208&lt;=E1208,1,0)</f>
        <v/>
      </c>
      <c r="N1208" s="14">
        <f>MAX(0,F1208-E1208)</f>
        <v/>
      </c>
    </row>
    <row r="1209">
      <c r="A1209" s="14" t="inlineStr">
        <is>
          <t>PO-01208</t>
        </is>
      </c>
      <c r="B1209" s="14" t="inlineStr">
        <is>
          <t>S03</t>
        </is>
      </c>
      <c r="C1209" s="14" t="inlineStr">
        <is>
          <t>NB-0047</t>
        </is>
      </c>
      <c r="D1209" s="26" t="n">
        <v>45604</v>
      </c>
      <c r="E1209" s="26" t="n">
        <v>45646</v>
      </c>
      <c r="F1209" s="26" t="n">
        <v>45644</v>
      </c>
      <c r="G1209" s="14" t="n">
        <v>36</v>
      </c>
      <c r="H1209" s="14" t="n">
        <v>36</v>
      </c>
      <c r="I1209" s="14" t="n">
        <v>0</v>
      </c>
      <c r="J1209" s="58" t="n">
        <v>2711.88</v>
      </c>
      <c r="K1209" s="59">
        <f>(F1209-D1209)/7</f>
        <v/>
      </c>
      <c r="L1209" s="59">
        <f>K1209^2</f>
        <v/>
      </c>
      <c r="M1209" s="14">
        <f>IF(F1209&lt;=E1209,1,0)</f>
        <v/>
      </c>
      <c r="N1209" s="14">
        <f>MAX(0,F1209-E1209)</f>
        <v/>
      </c>
    </row>
    <row r="1210">
      <c r="A1210" s="14" t="inlineStr">
        <is>
          <t>PO-01209</t>
        </is>
      </c>
      <c r="B1210" s="14" t="inlineStr">
        <is>
          <t>S03</t>
        </is>
      </c>
      <c r="C1210" s="14" t="inlineStr">
        <is>
          <t>NB-0047</t>
        </is>
      </c>
      <c r="D1210" s="26" t="n">
        <v>45629</v>
      </c>
      <c r="E1210" s="26" t="n">
        <v>45671</v>
      </c>
      <c r="F1210" s="26" t="n">
        <v>45669</v>
      </c>
      <c r="G1210" s="14" t="n">
        <v>32</v>
      </c>
      <c r="H1210" s="14" t="n">
        <v>32</v>
      </c>
      <c r="I1210" s="14" t="n">
        <v>0</v>
      </c>
      <c r="J1210" s="58" t="n">
        <v>2410.56</v>
      </c>
      <c r="K1210" s="59">
        <f>(F1210-D1210)/7</f>
        <v/>
      </c>
      <c r="L1210" s="59">
        <f>K1210^2</f>
        <v/>
      </c>
      <c r="M1210" s="14">
        <f>IF(F1210&lt;=E1210,1,0)</f>
        <v/>
      </c>
      <c r="N1210" s="14">
        <f>MAX(0,F1210-E1210)</f>
        <v/>
      </c>
    </row>
    <row r="1211">
      <c r="A1211" s="14" t="inlineStr">
        <is>
          <t>PO-01210</t>
        </is>
      </c>
      <c r="B1211" s="14" t="inlineStr">
        <is>
          <t>S03</t>
        </is>
      </c>
      <c r="C1211" s="14" t="inlineStr">
        <is>
          <t>NB-0047</t>
        </is>
      </c>
      <c r="D1211" s="26" t="n">
        <v>45660</v>
      </c>
      <c r="E1211" s="26" t="n">
        <v>45702</v>
      </c>
      <c r="F1211" s="26" t="n">
        <v>45699</v>
      </c>
      <c r="G1211" s="14" t="n">
        <v>39</v>
      </c>
      <c r="H1211" s="14" t="n">
        <v>39</v>
      </c>
      <c r="I1211" s="14" t="n">
        <v>0</v>
      </c>
      <c r="J1211" s="58" t="n">
        <v>2937.87</v>
      </c>
      <c r="K1211" s="59">
        <f>(F1211-D1211)/7</f>
        <v/>
      </c>
      <c r="L1211" s="59">
        <f>K1211^2</f>
        <v/>
      </c>
      <c r="M1211" s="14">
        <f>IF(F1211&lt;=E1211,1,0)</f>
        <v/>
      </c>
      <c r="N1211" s="14">
        <f>MAX(0,F1211-E1211)</f>
        <v/>
      </c>
    </row>
    <row r="1212">
      <c r="A1212" s="14" t="inlineStr">
        <is>
          <t>PO-01211</t>
        </is>
      </c>
      <c r="B1212" s="14" t="inlineStr">
        <is>
          <t>S03</t>
        </is>
      </c>
      <c r="C1212" s="14" t="inlineStr">
        <is>
          <t>NB-0047</t>
        </is>
      </c>
      <c r="D1212" s="26" t="n">
        <v>45685</v>
      </c>
      <c r="E1212" s="26" t="n">
        <v>45727</v>
      </c>
      <c r="F1212" s="26" t="n">
        <v>45725</v>
      </c>
      <c r="G1212" s="14" t="n">
        <v>35</v>
      </c>
      <c r="H1212" s="14" t="n">
        <v>35</v>
      </c>
      <c r="I1212" s="14" t="n">
        <v>0</v>
      </c>
      <c r="J1212" s="58" t="n">
        <v>2636.55</v>
      </c>
      <c r="K1212" s="59">
        <f>(F1212-D1212)/7</f>
        <v/>
      </c>
      <c r="L1212" s="59">
        <f>K1212^2</f>
        <v/>
      </c>
      <c r="M1212" s="14">
        <f>IF(F1212&lt;=E1212,1,0)</f>
        <v/>
      </c>
      <c r="N1212" s="14">
        <f>MAX(0,F1212-E1212)</f>
        <v/>
      </c>
    </row>
    <row r="1213">
      <c r="A1213" s="14" t="inlineStr">
        <is>
          <t>PO-01212</t>
        </is>
      </c>
      <c r="B1213" s="14" t="inlineStr">
        <is>
          <t>S03</t>
        </is>
      </c>
      <c r="C1213" s="14" t="inlineStr">
        <is>
          <t>NB-0047</t>
        </is>
      </c>
      <c r="D1213" s="26" t="n">
        <v>45714</v>
      </c>
      <c r="E1213" s="26" t="n">
        <v>45756</v>
      </c>
      <c r="F1213" s="26" t="n">
        <v>45756</v>
      </c>
      <c r="G1213" s="14" t="n">
        <v>35</v>
      </c>
      <c r="H1213" s="14" t="n">
        <v>35</v>
      </c>
      <c r="I1213" s="14" t="n">
        <v>0</v>
      </c>
      <c r="J1213" s="58" t="n">
        <v>2636.55</v>
      </c>
      <c r="K1213" s="59">
        <f>(F1213-D1213)/7</f>
        <v/>
      </c>
      <c r="L1213" s="59">
        <f>K1213^2</f>
        <v/>
      </c>
      <c r="M1213" s="14">
        <f>IF(F1213&lt;=E1213,1,0)</f>
        <v/>
      </c>
      <c r="N1213" s="14">
        <f>MAX(0,F1213-E1213)</f>
        <v/>
      </c>
    </row>
    <row r="1214">
      <c r="A1214" s="14" t="inlineStr">
        <is>
          <t>PO-01213</t>
        </is>
      </c>
      <c r="B1214" s="14" t="inlineStr">
        <is>
          <t>S03</t>
        </is>
      </c>
      <c r="C1214" s="14" t="inlineStr">
        <is>
          <t>NB-0047</t>
        </is>
      </c>
      <c r="D1214" s="26" t="n">
        <v>45743</v>
      </c>
      <c r="E1214" s="26" t="n">
        <v>45785</v>
      </c>
      <c r="F1214" s="26" t="n">
        <v>45782</v>
      </c>
      <c r="G1214" s="14" t="n">
        <v>34</v>
      </c>
      <c r="H1214" s="14" t="n">
        <v>34</v>
      </c>
      <c r="I1214" s="14" t="n">
        <v>0</v>
      </c>
      <c r="J1214" s="58" t="n">
        <v>2561.22</v>
      </c>
      <c r="K1214" s="59">
        <f>(F1214-D1214)/7</f>
        <v/>
      </c>
      <c r="L1214" s="59">
        <f>K1214^2</f>
        <v/>
      </c>
      <c r="M1214" s="14">
        <f>IF(F1214&lt;=E1214,1,0)</f>
        <v/>
      </c>
      <c r="N1214" s="14">
        <f>MAX(0,F1214-E1214)</f>
        <v/>
      </c>
    </row>
    <row r="1215">
      <c r="A1215" s="14" t="inlineStr">
        <is>
          <t>PO-01214</t>
        </is>
      </c>
      <c r="B1215" s="14" t="inlineStr">
        <is>
          <t>S03</t>
        </is>
      </c>
      <c r="C1215" s="14" t="inlineStr">
        <is>
          <t>NB-0047</t>
        </is>
      </c>
      <c r="D1215" s="26" t="n">
        <v>45772</v>
      </c>
      <c r="E1215" s="26" t="n">
        <v>45814</v>
      </c>
      <c r="F1215" s="26" t="n">
        <v>45818</v>
      </c>
      <c r="G1215" s="14" t="n">
        <v>36</v>
      </c>
      <c r="H1215" s="14" t="n">
        <v>36</v>
      </c>
      <c r="I1215" s="14" t="n">
        <v>0</v>
      </c>
      <c r="J1215" s="58" t="n">
        <v>2711.88</v>
      </c>
      <c r="K1215" s="59">
        <f>(F1215-D1215)/7</f>
        <v/>
      </c>
      <c r="L1215" s="59">
        <f>K1215^2</f>
        <v/>
      </c>
      <c r="M1215" s="14">
        <f>IF(F1215&lt;=E1215,1,0)</f>
        <v/>
      </c>
      <c r="N1215" s="14">
        <f>MAX(0,F1215-E1215)</f>
        <v/>
      </c>
    </row>
    <row r="1216">
      <c r="A1216" s="14" t="inlineStr">
        <is>
          <t>PO-01215</t>
        </is>
      </c>
      <c r="B1216" s="14" t="inlineStr">
        <is>
          <t>S03</t>
        </is>
      </c>
      <c r="C1216" s="14" t="inlineStr">
        <is>
          <t>NB-0047</t>
        </is>
      </c>
      <c r="D1216" s="26" t="n">
        <v>45797</v>
      </c>
      <c r="E1216" s="26" t="n">
        <v>45839</v>
      </c>
      <c r="F1216" s="26" t="n">
        <v>45838</v>
      </c>
      <c r="G1216" s="14" t="n">
        <v>30</v>
      </c>
      <c r="H1216" s="14" t="n">
        <v>30</v>
      </c>
      <c r="I1216" s="14" t="n">
        <v>0</v>
      </c>
      <c r="J1216" s="58" t="n">
        <v>2259.9</v>
      </c>
      <c r="K1216" s="59">
        <f>(F1216-D1216)/7</f>
        <v/>
      </c>
      <c r="L1216" s="59">
        <f>K1216^2</f>
        <v/>
      </c>
      <c r="M1216" s="14">
        <f>IF(F1216&lt;=E1216,1,0)</f>
        <v/>
      </c>
      <c r="N1216" s="14">
        <f>MAX(0,F1216-E1216)</f>
        <v/>
      </c>
    </row>
    <row r="1217">
      <c r="A1217" s="14" t="inlineStr">
        <is>
          <t>PO-01216</t>
        </is>
      </c>
      <c r="B1217" s="14" t="inlineStr">
        <is>
          <t>S03</t>
        </is>
      </c>
      <c r="C1217" s="14" t="inlineStr">
        <is>
          <t>NB-0047</t>
        </is>
      </c>
      <c r="D1217" s="26" t="n">
        <v>45826</v>
      </c>
      <c r="E1217" s="26" t="n">
        <v>45868</v>
      </c>
      <c r="F1217" s="26" t="n">
        <v>45866</v>
      </c>
      <c r="G1217" s="14" t="n">
        <v>31</v>
      </c>
      <c r="H1217" s="14" t="n">
        <v>31</v>
      </c>
      <c r="I1217" s="14" t="n">
        <v>1</v>
      </c>
      <c r="J1217" s="58" t="n">
        <v>2335.23</v>
      </c>
      <c r="K1217" s="59">
        <f>(F1217-D1217)/7</f>
        <v/>
      </c>
      <c r="L1217" s="59">
        <f>K1217^2</f>
        <v/>
      </c>
      <c r="M1217" s="14">
        <f>IF(F1217&lt;=E1217,1,0)</f>
        <v/>
      </c>
      <c r="N1217" s="14">
        <f>MAX(0,F1217-E1217)</f>
        <v/>
      </c>
    </row>
    <row r="1218">
      <c r="A1218" s="14" t="inlineStr">
        <is>
          <t>PO-01217</t>
        </is>
      </c>
      <c r="B1218" s="14" t="inlineStr">
        <is>
          <t>S03</t>
        </is>
      </c>
      <c r="C1218" s="14" t="inlineStr">
        <is>
          <t>NB-0047</t>
        </is>
      </c>
      <c r="D1218" s="26" t="n">
        <v>45854</v>
      </c>
      <c r="E1218" s="26" t="n">
        <v>45896</v>
      </c>
      <c r="F1218" s="26" t="n">
        <v>45896</v>
      </c>
      <c r="G1218" s="14" t="n">
        <v>39</v>
      </c>
      <c r="H1218" s="14" t="n">
        <v>39</v>
      </c>
      <c r="I1218" s="14" t="n">
        <v>0</v>
      </c>
      <c r="J1218" s="58" t="n">
        <v>2937.87</v>
      </c>
      <c r="K1218" s="59">
        <f>(F1218-D1218)/7</f>
        <v/>
      </c>
      <c r="L1218" s="59">
        <f>K1218^2</f>
        <v/>
      </c>
      <c r="M1218" s="14">
        <f>IF(F1218&lt;=E1218,1,0)</f>
        <v/>
      </c>
      <c r="N1218" s="14">
        <f>MAX(0,F1218-E1218)</f>
        <v/>
      </c>
    </row>
    <row r="1219">
      <c r="A1219" s="14" t="inlineStr">
        <is>
          <t>PO-01218</t>
        </is>
      </c>
      <c r="B1219" s="14" t="inlineStr">
        <is>
          <t>S03</t>
        </is>
      </c>
      <c r="C1219" s="14" t="inlineStr">
        <is>
          <t>NB-0047</t>
        </is>
      </c>
      <c r="D1219" s="26" t="n">
        <v>45884</v>
      </c>
      <c r="E1219" s="26" t="n">
        <v>45926</v>
      </c>
      <c r="F1219" s="26" t="n">
        <v>45925</v>
      </c>
      <c r="G1219" s="14" t="n">
        <v>38</v>
      </c>
      <c r="H1219" s="14" t="n">
        <v>38</v>
      </c>
      <c r="I1219" s="14" t="n">
        <v>1</v>
      </c>
      <c r="J1219" s="58" t="n">
        <v>2862.54</v>
      </c>
      <c r="K1219" s="59">
        <f>(F1219-D1219)/7</f>
        <v/>
      </c>
      <c r="L1219" s="59">
        <f>K1219^2</f>
        <v/>
      </c>
      <c r="M1219" s="14">
        <f>IF(F1219&lt;=E1219,1,0)</f>
        <v/>
      </c>
      <c r="N1219" s="14">
        <f>MAX(0,F1219-E1219)</f>
        <v/>
      </c>
    </row>
    <row r="1220">
      <c r="A1220" s="14" t="inlineStr">
        <is>
          <t>PO-01219</t>
        </is>
      </c>
      <c r="B1220" s="14" t="inlineStr">
        <is>
          <t>S03</t>
        </is>
      </c>
      <c r="C1220" s="14" t="inlineStr">
        <is>
          <t>NB-0047</t>
        </is>
      </c>
      <c r="D1220" s="26" t="n">
        <v>45910</v>
      </c>
      <c r="E1220" s="26" t="n">
        <v>45952</v>
      </c>
      <c r="F1220" s="26" t="n">
        <v>45951</v>
      </c>
      <c r="G1220" s="14" t="n">
        <v>34</v>
      </c>
      <c r="H1220" s="14" t="n">
        <v>34</v>
      </c>
      <c r="I1220" s="14" t="n">
        <v>0</v>
      </c>
      <c r="J1220" s="58" t="n">
        <v>2561.22</v>
      </c>
      <c r="K1220" s="59">
        <f>(F1220-D1220)/7</f>
        <v/>
      </c>
      <c r="L1220" s="59">
        <f>K1220^2</f>
        <v/>
      </c>
      <c r="M1220" s="14">
        <f>IF(F1220&lt;=E1220,1,0)</f>
        <v/>
      </c>
      <c r="N1220" s="14">
        <f>MAX(0,F1220-E1220)</f>
        <v/>
      </c>
    </row>
    <row r="1221">
      <c r="A1221" s="14" t="inlineStr">
        <is>
          <t>PO-01220</t>
        </is>
      </c>
      <c r="B1221" s="14" t="inlineStr">
        <is>
          <t>S03</t>
        </is>
      </c>
      <c r="C1221" s="14" t="inlineStr">
        <is>
          <t>NB-0047</t>
        </is>
      </c>
      <c r="D1221" s="26" t="n">
        <v>45938</v>
      </c>
      <c r="E1221" s="26" t="n">
        <v>45980</v>
      </c>
      <c r="F1221" s="26" t="n">
        <v>45979</v>
      </c>
      <c r="G1221" s="14" t="n">
        <v>38</v>
      </c>
      <c r="H1221" s="14" t="n">
        <v>38</v>
      </c>
      <c r="I1221" s="14" t="n">
        <v>0</v>
      </c>
      <c r="J1221" s="58" t="n">
        <v>2862.54</v>
      </c>
      <c r="K1221" s="59">
        <f>(F1221-D1221)/7</f>
        <v/>
      </c>
      <c r="L1221" s="59">
        <f>K1221^2</f>
        <v/>
      </c>
      <c r="M1221" s="14">
        <f>IF(F1221&lt;=E1221,1,0)</f>
        <v/>
      </c>
      <c r="N1221" s="14">
        <f>MAX(0,F1221-E1221)</f>
        <v/>
      </c>
    </row>
    <row r="1222">
      <c r="A1222" s="14" t="inlineStr">
        <is>
          <t>PO-01221</t>
        </is>
      </c>
      <c r="B1222" s="14" t="inlineStr">
        <is>
          <t>S03</t>
        </is>
      </c>
      <c r="C1222" s="14" t="inlineStr">
        <is>
          <t>NB-0047</t>
        </is>
      </c>
      <c r="D1222" s="26" t="n">
        <v>45968</v>
      </c>
      <c r="E1222" s="26" t="n">
        <v>46010</v>
      </c>
      <c r="F1222" s="26" t="n">
        <v>46008</v>
      </c>
      <c r="G1222" s="14" t="n">
        <v>37</v>
      </c>
      <c r="H1222" s="14" t="n">
        <v>37</v>
      </c>
      <c r="I1222" s="14" t="n">
        <v>0</v>
      </c>
      <c r="J1222" s="58" t="n">
        <v>2787.21</v>
      </c>
      <c r="K1222" s="59">
        <f>(F1222-D1222)/7</f>
        <v/>
      </c>
      <c r="L1222" s="59">
        <f>K1222^2</f>
        <v/>
      </c>
      <c r="M1222" s="14">
        <f>IF(F1222&lt;=E1222,1,0)</f>
        <v/>
      </c>
      <c r="N1222" s="14">
        <f>MAX(0,F1222-E1222)</f>
        <v/>
      </c>
    </row>
    <row r="1223">
      <c r="A1223" s="14" t="inlineStr">
        <is>
          <t>PO-01222</t>
        </is>
      </c>
      <c r="B1223" s="14" t="inlineStr">
        <is>
          <t>S03</t>
        </is>
      </c>
      <c r="C1223" s="14" t="inlineStr">
        <is>
          <t>NB-0047</t>
        </is>
      </c>
      <c r="D1223" s="26" t="n">
        <v>45993</v>
      </c>
      <c r="E1223" s="26" t="n">
        <v>46035</v>
      </c>
      <c r="F1223" s="26" t="n">
        <v>46034</v>
      </c>
      <c r="G1223" s="14" t="n">
        <v>36</v>
      </c>
      <c r="H1223" s="14" t="n">
        <v>36</v>
      </c>
      <c r="I1223" s="14" t="n">
        <v>0</v>
      </c>
      <c r="J1223" s="58" t="n">
        <v>2711.88</v>
      </c>
      <c r="K1223" s="59">
        <f>(F1223-D1223)/7</f>
        <v/>
      </c>
      <c r="L1223" s="59">
        <f>K1223^2</f>
        <v/>
      </c>
      <c r="M1223" s="14">
        <f>IF(F1223&lt;=E1223,1,0)</f>
        <v/>
      </c>
      <c r="N1223" s="14">
        <f>MAX(0,F1223-E1223)</f>
        <v/>
      </c>
    </row>
    <row r="1224">
      <c r="A1224" s="14" t="inlineStr">
        <is>
          <t>PO-01223</t>
        </is>
      </c>
      <c r="B1224" s="14" t="inlineStr">
        <is>
          <t>S01</t>
        </is>
      </c>
      <c r="C1224" s="14" t="inlineStr">
        <is>
          <t>NB-0048</t>
        </is>
      </c>
      <c r="D1224" s="26" t="n">
        <v>45296</v>
      </c>
      <c r="E1224" s="26" t="n">
        <v>45310</v>
      </c>
      <c r="F1224" s="26" t="n">
        <v>45310</v>
      </c>
      <c r="G1224" s="14" t="n">
        <v>110</v>
      </c>
      <c r="H1224" s="14" t="n">
        <v>110</v>
      </c>
      <c r="I1224" s="14" t="n">
        <v>1</v>
      </c>
      <c r="J1224" s="58" t="n">
        <v>3831.3</v>
      </c>
      <c r="K1224" s="59">
        <f>(F1224-D1224)/7</f>
        <v/>
      </c>
      <c r="L1224" s="59">
        <f>K1224^2</f>
        <v/>
      </c>
      <c r="M1224" s="14">
        <f>IF(F1224&lt;=E1224,1,0)</f>
        <v/>
      </c>
      <c r="N1224" s="14">
        <f>MAX(0,F1224-E1224)</f>
        <v/>
      </c>
    </row>
    <row r="1225">
      <c r="A1225" s="14" t="inlineStr">
        <is>
          <t>PO-01224</t>
        </is>
      </c>
      <c r="B1225" s="14" t="inlineStr">
        <is>
          <t>S01</t>
        </is>
      </c>
      <c r="C1225" s="14" t="inlineStr">
        <is>
          <t>NB-0048</t>
        </is>
      </c>
      <c r="D1225" s="26" t="n">
        <v>45323</v>
      </c>
      <c r="E1225" s="26" t="n">
        <v>45337</v>
      </c>
      <c r="F1225" s="26" t="n">
        <v>45337</v>
      </c>
      <c r="G1225" s="14" t="n">
        <v>86</v>
      </c>
      <c r="H1225" s="14" t="n">
        <v>86</v>
      </c>
      <c r="I1225" s="14" t="n">
        <v>0</v>
      </c>
      <c r="J1225" s="58" t="n">
        <v>2995.38</v>
      </c>
      <c r="K1225" s="59">
        <f>(F1225-D1225)/7</f>
        <v/>
      </c>
      <c r="L1225" s="59">
        <f>K1225^2</f>
        <v/>
      </c>
      <c r="M1225" s="14">
        <f>IF(F1225&lt;=E1225,1,0)</f>
        <v/>
      </c>
      <c r="N1225" s="14">
        <f>MAX(0,F1225-E1225)</f>
        <v/>
      </c>
    </row>
    <row r="1226">
      <c r="A1226" s="14" t="inlineStr">
        <is>
          <t>PO-01225</t>
        </is>
      </c>
      <c r="B1226" s="14" t="inlineStr">
        <is>
          <t>S01</t>
        </is>
      </c>
      <c r="C1226" s="14" t="inlineStr">
        <is>
          <t>NB-0048</t>
        </is>
      </c>
      <c r="D1226" s="26" t="n">
        <v>45352</v>
      </c>
      <c r="E1226" s="26" t="n">
        <v>45366</v>
      </c>
      <c r="F1226" s="26" t="n">
        <v>45364</v>
      </c>
      <c r="G1226" s="14" t="n">
        <v>87</v>
      </c>
      <c r="H1226" s="14" t="n">
        <v>77</v>
      </c>
      <c r="I1226" s="14" t="n">
        <v>0</v>
      </c>
      <c r="J1226" s="58" t="n">
        <v>3030.21</v>
      </c>
      <c r="K1226" s="59">
        <f>(F1226-D1226)/7</f>
        <v/>
      </c>
      <c r="L1226" s="59">
        <f>K1226^2</f>
        <v/>
      </c>
      <c r="M1226" s="14">
        <f>IF(F1226&lt;=E1226,1,0)</f>
        <v/>
      </c>
      <c r="N1226" s="14">
        <f>MAX(0,F1226-E1226)</f>
        <v/>
      </c>
    </row>
    <row r="1227">
      <c r="A1227" s="14" t="inlineStr">
        <is>
          <t>PO-01226</t>
        </is>
      </c>
      <c r="B1227" s="14" t="inlineStr">
        <is>
          <t>S01</t>
        </is>
      </c>
      <c r="C1227" s="14" t="inlineStr">
        <is>
          <t>NB-0048</t>
        </is>
      </c>
      <c r="D1227" s="26" t="n">
        <v>45376</v>
      </c>
      <c r="E1227" s="26" t="n">
        <v>45390</v>
      </c>
      <c r="F1227" s="26" t="n">
        <v>45387</v>
      </c>
      <c r="G1227" s="14" t="n">
        <v>81</v>
      </c>
      <c r="H1227" s="14" t="n">
        <v>81</v>
      </c>
      <c r="I1227" s="14" t="n">
        <v>0</v>
      </c>
      <c r="J1227" s="58" t="n">
        <v>2821.23</v>
      </c>
      <c r="K1227" s="59">
        <f>(F1227-D1227)/7</f>
        <v/>
      </c>
      <c r="L1227" s="59">
        <f>K1227^2</f>
        <v/>
      </c>
      <c r="M1227" s="14">
        <f>IF(F1227&lt;=E1227,1,0)</f>
        <v/>
      </c>
      <c r="N1227" s="14">
        <f>MAX(0,F1227-E1227)</f>
        <v/>
      </c>
    </row>
    <row r="1228">
      <c r="A1228" s="14" t="inlineStr">
        <is>
          <t>PO-01227</t>
        </is>
      </c>
      <c r="B1228" s="14" t="inlineStr">
        <is>
          <t>S01</t>
        </is>
      </c>
      <c r="C1228" s="14" t="inlineStr">
        <is>
          <t>NB-0048</t>
        </is>
      </c>
      <c r="D1228" s="26" t="n">
        <v>45406</v>
      </c>
      <c r="E1228" s="26" t="n">
        <v>45420</v>
      </c>
      <c r="F1228" s="26" t="n">
        <v>45418</v>
      </c>
      <c r="G1228" s="14" t="n">
        <v>79</v>
      </c>
      <c r="H1228" s="14" t="n">
        <v>79</v>
      </c>
      <c r="I1228" s="14" t="n">
        <v>1</v>
      </c>
      <c r="J1228" s="58" t="n">
        <v>2751.57</v>
      </c>
      <c r="K1228" s="59">
        <f>(F1228-D1228)/7</f>
        <v/>
      </c>
      <c r="L1228" s="59">
        <f>K1228^2</f>
        <v/>
      </c>
      <c r="M1228" s="14">
        <f>IF(F1228&lt;=E1228,1,0)</f>
        <v/>
      </c>
      <c r="N1228" s="14">
        <f>MAX(0,F1228-E1228)</f>
        <v/>
      </c>
    </row>
    <row r="1229">
      <c r="A1229" s="14" t="inlineStr">
        <is>
          <t>PO-01228</t>
        </is>
      </c>
      <c r="B1229" s="14" t="inlineStr">
        <is>
          <t>S01</t>
        </is>
      </c>
      <c r="C1229" s="14" t="inlineStr">
        <is>
          <t>NB-0048</t>
        </is>
      </c>
      <c r="D1229" s="26" t="n">
        <v>45432</v>
      </c>
      <c r="E1229" s="26" t="n">
        <v>45446</v>
      </c>
      <c r="F1229" s="26" t="n">
        <v>45446</v>
      </c>
      <c r="G1229" s="14" t="n">
        <v>103</v>
      </c>
      <c r="H1229" s="14" t="n">
        <v>103</v>
      </c>
      <c r="I1229" s="14" t="n">
        <v>0</v>
      </c>
      <c r="J1229" s="58" t="n">
        <v>3587.49</v>
      </c>
      <c r="K1229" s="59">
        <f>(F1229-D1229)/7</f>
        <v/>
      </c>
      <c r="L1229" s="59">
        <f>K1229^2</f>
        <v/>
      </c>
      <c r="M1229" s="14">
        <f>IF(F1229&lt;=E1229,1,0)</f>
        <v/>
      </c>
      <c r="N1229" s="14">
        <f>MAX(0,F1229-E1229)</f>
        <v/>
      </c>
    </row>
    <row r="1230">
      <c r="A1230" s="14" t="inlineStr">
        <is>
          <t>PO-01229</t>
        </is>
      </c>
      <c r="B1230" s="14" t="inlineStr">
        <is>
          <t>S01</t>
        </is>
      </c>
      <c r="C1230" s="14" t="inlineStr">
        <is>
          <t>NB-0048</t>
        </is>
      </c>
      <c r="D1230" s="26" t="n">
        <v>45460</v>
      </c>
      <c r="E1230" s="26" t="n">
        <v>45474</v>
      </c>
      <c r="F1230" s="26" t="n">
        <v>45472</v>
      </c>
      <c r="G1230" s="14" t="n">
        <v>103</v>
      </c>
      <c r="H1230" s="14" t="n">
        <v>103</v>
      </c>
      <c r="I1230" s="14" t="n">
        <v>0</v>
      </c>
      <c r="J1230" s="58" t="n">
        <v>3587.49</v>
      </c>
      <c r="K1230" s="59">
        <f>(F1230-D1230)/7</f>
        <v/>
      </c>
      <c r="L1230" s="59">
        <f>K1230^2</f>
        <v/>
      </c>
      <c r="M1230" s="14">
        <f>IF(F1230&lt;=E1230,1,0)</f>
        <v/>
      </c>
      <c r="N1230" s="14">
        <f>MAX(0,F1230-E1230)</f>
        <v/>
      </c>
    </row>
    <row r="1231">
      <c r="A1231" s="14" t="inlineStr">
        <is>
          <t>PO-01230</t>
        </is>
      </c>
      <c r="B1231" s="14" t="inlineStr">
        <is>
          <t>S01</t>
        </is>
      </c>
      <c r="C1231" s="14" t="inlineStr">
        <is>
          <t>NB-0048</t>
        </is>
      </c>
      <c r="D1231" s="26" t="n">
        <v>45490</v>
      </c>
      <c r="E1231" s="26" t="n">
        <v>45504</v>
      </c>
      <c r="F1231" s="26" t="n">
        <v>45503</v>
      </c>
      <c r="G1231" s="14" t="n">
        <v>104</v>
      </c>
      <c r="H1231" s="14" t="n">
        <v>104</v>
      </c>
      <c r="I1231" s="14" t="n">
        <v>1</v>
      </c>
      <c r="J1231" s="58" t="n">
        <v>3622.32</v>
      </c>
      <c r="K1231" s="59">
        <f>(F1231-D1231)/7</f>
        <v/>
      </c>
      <c r="L1231" s="59">
        <f>K1231^2</f>
        <v/>
      </c>
      <c r="M1231" s="14">
        <f>IF(F1231&lt;=E1231,1,0)</f>
        <v/>
      </c>
      <c r="N1231" s="14">
        <f>MAX(0,F1231-E1231)</f>
        <v/>
      </c>
    </row>
    <row r="1232">
      <c r="A1232" s="14" t="inlineStr">
        <is>
          <t>PO-01231</t>
        </is>
      </c>
      <c r="B1232" s="14" t="inlineStr">
        <is>
          <t>S01</t>
        </is>
      </c>
      <c r="C1232" s="14" t="inlineStr">
        <is>
          <t>NB-0048</t>
        </is>
      </c>
      <c r="D1232" s="26" t="n">
        <v>45518</v>
      </c>
      <c r="E1232" s="26" t="n">
        <v>45532</v>
      </c>
      <c r="F1232" s="26" t="n">
        <v>45530</v>
      </c>
      <c r="G1232" s="14" t="n">
        <v>101</v>
      </c>
      <c r="H1232" s="14" t="n">
        <v>101</v>
      </c>
      <c r="I1232" s="14" t="n">
        <v>0</v>
      </c>
      <c r="J1232" s="58" t="n">
        <v>3517.83</v>
      </c>
      <c r="K1232" s="59">
        <f>(F1232-D1232)/7</f>
        <v/>
      </c>
      <c r="L1232" s="59">
        <f>K1232^2</f>
        <v/>
      </c>
      <c r="M1232" s="14">
        <f>IF(F1232&lt;=E1232,1,0)</f>
        <v/>
      </c>
      <c r="N1232" s="14">
        <f>MAX(0,F1232-E1232)</f>
        <v/>
      </c>
    </row>
    <row r="1233">
      <c r="A1233" s="14" t="inlineStr">
        <is>
          <t>PO-01232</t>
        </is>
      </c>
      <c r="B1233" s="14" t="inlineStr">
        <is>
          <t>S01</t>
        </is>
      </c>
      <c r="C1233" s="14" t="inlineStr">
        <is>
          <t>NB-0048</t>
        </is>
      </c>
      <c r="D1233" s="26" t="n">
        <v>45547</v>
      </c>
      <c r="E1233" s="26" t="n">
        <v>45561</v>
      </c>
      <c r="F1233" s="26" t="n">
        <v>45558</v>
      </c>
      <c r="G1233" s="14" t="n">
        <v>111</v>
      </c>
      <c r="H1233" s="14" t="n">
        <v>111</v>
      </c>
      <c r="I1233" s="14" t="n">
        <v>3</v>
      </c>
      <c r="J1233" s="58" t="n">
        <v>3866.13</v>
      </c>
      <c r="K1233" s="59">
        <f>(F1233-D1233)/7</f>
        <v/>
      </c>
      <c r="L1233" s="59">
        <f>K1233^2</f>
        <v/>
      </c>
      <c r="M1233" s="14">
        <f>IF(F1233&lt;=E1233,1,0)</f>
        <v/>
      </c>
      <c r="N1233" s="14">
        <f>MAX(0,F1233-E1233)</f>
        <v/>
      </c>
    </row>
    <row r="1234">
      <c r="A1234" s="14" t="inlineStr">
        <is>
          <t>PO-01233</t>
        </is>
      </c>
      <c r="B1234" s="14" t="inlineStr">
        <is>
          <t>S01</t>
        </is>
      </c>
      <c r="C1234" s="14" t="inlineStr">
        <is>
          <t>NB-0048</t>
        </is>
      </c>
      <c r="D1234" s="26" t="n">
        <v>45572</v>
      </c>
      <c r="E1234" s="26" t="n">
        <v>45586</v>
      </c>
      <c r="F1234" s="26" t="n">
        <v>45585</v>
      </c>
      <c r="G1234" s="14" t="n">
        <v>103</v>
      </c>
      <c r="H1234" s="14" t="n">
        <v>103</v>
      </c>
      <c r="I1234" s="14" t="n">
        <v>0</v>
      </c>
      <c r="J1234" s="58" t="n">
        <v>3587.49</v>
      </c>
      <c r="K1234" s="59">
        <f>(F1234-D1234)/7</f>
        <v/>
      </c>
      <c r="L1234" s="59">
        <f>K1234^2</f>
        <v/>
      </c>
      <c r="M1234" s="14">
        <f>IF(F1234&lt;=E1234,1,0)</f>
        <v/>
      </c>
      <c r="N1234" s="14">
        <f>MAX(0,F1234-E1234)</f>
        <v/>
      </c>
    </row>
    <row r="1235">
      <c r="A1235" s="14" t="inlineStr">
        <is>
          <t>PO-01234</t>
        </is>
      </c>
      <c r="B1235" s="14" t="inlineStr">
        <is>
          <t>S01</t>
        </is>
      </c>
      <c r="C1235" s="14" t="inlineStr">
        <is>
          <t>NB-0048</t>
        </is>
      </c>
      <c r="D1235" s="26" t="n">
        <v>45604</v>
      </c>
      <c r="E1235" s="26" t="n">
        <v>45618</v>
      </c>
      <c r="F1235" s="26" t="n">
        <v>45617</v>
      </c>
      <c r="G1235" s="14" t="n">
        <v>105</v>
      </c>
      <c r="H1235" s="14" t="n">
        <v>105</v>
      </c>
      <c r="I1235" s="14" t="n">
        <v>0</v>
      </c>
      <c r="J1235" s="58" t="n">
        <v>3657.15</v>
      </c>
      <c r="K1235" s="59">
        <f>(F1235-D1235)/7</f>
        <v/>
      </c>
      <c r="L1235" s="59">
        <f>K1235^2</f>
        <v/>
      </c>
      <c r="M1235" s="14">
        <f>IF(F1235&lt;=E1235,1,0)</f>
        <v/>
      </c>
      <c r="N1235" s="14">
        <f>MAX(0,F1235-E1235)</f>
        <v/>
      </c>
    </row>
    <row r="1236">
      <c r="A1236" s="14" t="inlineStr">
        <is>
          <t>PO-01235</t>
        </is>
      </c>
      <c r="B1236" s="14" t="inlineStr">
        <is>
          <t>S01</t>
        </is>
      </c>
      <c r="C1236" s="14" t="inlineStr">
        <is>
          <t>NB-0048</t>
        </is>
      </c>
      <c r="D1236" s="26" t="n">
        <v>45628</v>
      </c>
      <c r="E1236" s="26" t="n">
        <v>45642</v>
      </c>
      <c r="F1236" s="26" t="n">
        <v>45640</v>
      </c>
      <c r="G1236" s="14" t="n">
        <v>88</v>
      </c>
      <c r="H1236" s="14" t="n">
        <v>88</v>
      </c>
      <c r="I1236" s="14" t="n">
        <v>0</v>
      </c>
      <c r="J1236" s="58" t="n">
        <v>3065.04</v>
      </c>
      <c r="K1236" s="59">
        <f>(F1236-D1236)/7</f>
        <v/>
      </c>
      <c r="L1236" s="59">
        <f>K1236^2</f>
        <v/>
      </c>
      <c r="M1236" s="14">
        <f>IF(F1236&lt;=E1236,1,0)</f>
        <v/>
      </c>
      <c r="N1236" s="14">
        <f>MAX(0,F1236-E1236)</f>
        <v/>
      </c>
    </row>
    <row r="1237">
      <c r="A1237" s="14" t="inlineStr">
        <is>
          <t>PO-01236</t>
        </is>
      </c>
      <c r="B1237" s="14" t="inlineStr">
        <is>
          <t>S01</t>
        </is>
      </c>
      <c r="C1237" s="14" t="inlineStr">
        <is>
          <t>NB-0048</t>
        </is>
      </c>
      <c r="D1237" s="26" t="n">
        <v>45659</v>
      </c>
      <c r="E1237" s="26" t="n">
        <v>45673</v>
      </c>
      <c r="F1237" s="26" t="n">
        <v>45673</v>
      </c>
      <c r="G1237" s="14" t="n">
        <v>83</v>
      </c>
      <c r="H1237" s="14" t="n">
        <v>83</v>
      </c>
      <c r="I1237" s="14" t="n">
        <v>0</v>
      </c>
      <c r="J1237" s="58" t="n">
        <v>2890.89</v>
      </c>
      <c r="K1237" s="59">
        <f>(F1237-D1237)/7</f>
        <v/>
      </c>
      <c r="L1237" s="59">
        <f>K1237^2</f>
        <v/>
      </c>
      <c r="M1237" s="14">
        <f>IF(F1237&lt;=E1237,1,0)</f>
        <v/>
      </c>
      <c r="N1237" s="14">
        <f>MAX(0,F1237-E1237)</f>
        <v/>
      </c>
    </row>
    <row r="1238">
      <c r="A1238" s="14" t="inlineStr">
        <is>
          <t>PO-01237</t>
        </is>
      </c>
      <c r="B1238" s="14" t="inlineStr">
        <is>
          <t>S01</t>
        </is>
      </c>
      <c r="C1238" s="14" t="inlineStr">
        <is>
          <t>NB-0048</t>
        </is>
      </c>
      <c r="D1238" s="26" t="n">
        <v>45686</v>
      </c>
      <c r="E1238" s="26" t="n">
        <v>45700</v>
      </c>
      <c r="F1238" s="26" t="n">
        <v>45699</v>
      </c>
      <c r="G1238" s="14" t="n">
        <v>107</v>
      </c>
      <c r="H1238" s="14" t="n">
        <v>107</v>
      </c>
      <c r="I1238" s="14" t="n">
        <v>0</v>
      </c>
      <c r="J1238" s="58" t="n">
        <v>3726.81</v>
      </c>
      <c r="K1238" s="59">
        <f>(F1238-D1238)/7</f>
        <v/>
      </c>
      <c r="L1238" s="59">
        <f>K1238^2</f>
        <v/>
      </c>
      <c r="M1238" s="14">
        <f>IF(F1238&lt;=E1238,1,0)</f>
        <v/>
      </c>
      <c r="N1238" s="14">
        <f>MAX(0,F1238-E1238)</f>
        <v/>
      </c>
    </row>
    <row r="1239">
      <c r="A1239" s="14" t="inlineStr">
        <is>
          <t>PO-01238</t>
        </is>
      </c>
      <c r="B1239" s="14" t="inlineStr">
        <is>
          <t>S01</t>
        </is>
      </c>
      <c r="C1239" s="14" t="inlineStr">
        <is>
          <t>NB-0048</t>
        </is>
      </c>
      <c r="D1239" s="26" t="n">
        <v>45715</v>
      </c>
      <c r="E1239" s="26" t="n">
        <v>45729</v>
      </c>
      <c r="F1239" s="26" t="n">
        <v>45729</v>
      </c>
      <c r="G1239" s="14" t="n">
        <v>109</v>
      </c>
      <c r="H1239" s="14" t="n">
        <v>109</v>
      </c>
      <c r="I1239" s="14" t="n">
        <v>0</v>
      </c>
      <c r="J1239" s="58" t="n">
        <v>3796.47</v>
      </c>
      <c r="K1239" s="59">
        <f>(F1239-D1239)/7</f>
        <v/>
      </c>
      <c r="L1239" s="59">
        <f>K1239^2</f>
        <v/>
      </c>
      <c r="M1239" s="14">
        <f>IF(F1239&lt;=E1239,1,0)</f>
        <v/>
      </c>
      <c r="N1239" s="14">
        <f>MAX(0,F1239-E1239)</f>
        <v/>
      </c>
    </row>
    <row r="1240">
      <c r="A1240" s="14" t="inlineStr">
        <is>
          <t>PO-01239</t>
        </is>
      </c>
      <c r="B1240" s="14" t="inlineStr">
        <is>
          <t>S01</t>
        </is>
      </c>
      <c r="C1240" s="14" t="inlineStr">
        <is>
          <t>NB-0048</t>
        </is>
      </c>
      <c r="D1240" s="26" t="n">
        <v>45742</v>
      </c>
      <c r="E1240" s="26" t="n">
        <v>45756</v>
      </c>
      <c r="F1240" s="26" t="n">
        <v>45755</v>
      </c>
      <c r="G1240" s="14" t="n">
        <v>95</v>
      </c>
      <c r="H1240" s="14" t="n">
        <v>95</v>
      </c>
      <c r="I1240" s="14" t="n">
        <v>0</v>
      </c>
      <c r="J1240" s="58" t="n">
        <v>3308.85</v>
      </c>
      <c r="K1240" s="59">
        <f>(F1240-D1240)/7</f>
        <v/>
      </c>
      <c r="L1240" s="59">
        <f>K1240^2</f>
        <v/>
      </c>
      <c r="M1240" s="14">
        <f>IF(F1240&lt;=E1240,1,0)</f>
        <v/>
      </c>
      <c r="N1240" s="14">
        <f>MAX(0,F1240-E1240)</f>
        <v/>
      </c>
    </row>
    <row r="1241">
      <c r="A1241" s="14" t="inlineStr">
        <is>
          <t>PO-01240</t>
        </is>
      </c>
      <c r="B1241" s="14" t="inlineStr">
        <is>
          <t>S01</t>
        </is>
      </c>
      <c r="C1241" s="14" t="inlineStr">
        <is>
          <t>NB-0048</t>
        </is>
      </c>
      <c r="D1241" s="26" t="n">
        <v>45769</v>
      </c>
      <c r="E1241" s="26" t="n">
        <v>45783</v>
      </c>
      <c r="F1241" s="26" t="n">
        <v>45783</v>
      </c>
      <c r="G1241" s="14" t="n">
        <v>83</v>
      </c>
      <c r="H1241" s="14" t="n">
        <v>83</v>
      </c>
      <c r="I1241" s="14" t="n">
        <v>1</v>
      </c>
      <c r="J1241" s="58" t="n">
        <v>2890.89</v>
      </c>
      <c r="K1241" s="59">
        <f>(F1241-D1241)/7</f>
        <v/>
      </c>
      <c r="L1241" s="59">
        <f>K1241^2</f>
        <v/>
      </c>
      <c r="M1241" s="14">
        <f>IF(F1241&lt;=E1241,1,0)</f>
        <v/>
      </c>
      <c r="N1241" s="14">
        <f>MAX(0,F1241-E1241)</f>
        <v/>
      </c>
    </row>
    <row r="1242">
      <c r="A1242" s="14" t="inlineStr">
        <is>
          <t>PO-01241</t>
        </is>
      </c>
      <c r="B1242" s="14" t="inlineStr">
        <is>
          <t>S01</t>
        </is>
      </c>
      <c r="C1242" s="14" t="inlineStr">
        <is>
          <t>NB-0048</t>
        </is>
      </c>
      <c r="D1242" s="26" t="n">
        <v>45796</v>
      </c>
      <c r="E1242" s="26" t="n">
        <v>45810</v>
      </c>
      <c r="F1242" s="26" t="n">
        <v>45810</v>
      </c>
      <c r="G1242" s="14" t="n">
        <v>90</v>
      </c>
      <c r="H1242" s="14" t="n">
        <v>90</v>
      </c>
      <c r="I1242" s="14" t="n">
        <v>0</v>
      </c>
      <c r="J1242" s="58" t="n">
        <v>3134.7</v>
      </c>
      <c r="K1242" s="59">
        <f>(F1242-D1242)/7</f>
        <v/>
      </c>
      <c r="L1242" s="59">
        <f>K1242^2</f>
        <v/>
      </c>
      <c r="M1242" s="14">
        <f>IF(F1242&lt;=E1242,1,0)</f>
        <v/>
      </c>
      <c r="N1242" s="14">
        <f>MAX(0,F1242-E1242)</f>
        <v/>
      </c>
    </row>
    <row r="1243">
      <c r="A1243" s="14" t="inlineStr">
        <is>
          <t>PO-01242</t>
        </is>
      </c>
      <c r="B1243" s="14" t="inlineStr">
        <is>
          <t>S01</t>
        </is>
      </c>
      <c r="C1243" s="14" t="inlineStr">
        <is>
          <t>NB-0048</t>
        </is>
      </c>
      <c r="D1243" s="26" t="n">
        <v>45827</v>
      </c>
      <c r="E1243" s="26" t="n">
        <v>45841</v>
      </c>
      <c r="F1243" s="26" t="n">
        <v>45844</v>
      </c>
      <c r="G1243" s="14" t="n">
        <v>110</v>
      </c>
      <c r="H1243" s="14" t="n">
        <v>110</v>
      </c>
      <c r="I1243" s="14" t="n">
        <v>0</v>
      </c>
      <c r="J1243" s="58" t="n">
        <v>3831.3</v>
      </c>
      <c r="K1243" s="59">
        <f>(F1243-D1243)/7</f>
        <v/>
      </c>
      <c r="L1243" s="59">
        <f>K1243^2</f>
        <v/>
      </c>
      <c r="M1243" s="14">
        <f>IF(F1243&lt;=E1243,1,0)</f>
        <v/>
      </c>
      <c r="N1243" s="14">
        <f>MAX(0,F1243-E1243)</f>
        <v/>
      </c>
    </row>
    <row r="1244">
      <c r="A1244" s="14" t="inlineStr">
        <is>
          <t>PO-01243</t>
        </is>
      </c>
      <c r="B1244" s="14" t="inlineStr">
        <is>
          <t>S01</t>
        </is>
      </c>
      <c r="C1244" s="14" t="inlineStr">
        <is>
          <t>NB-0048</t>
        </is>
      </c>
      <c r="D1244" s="26" t="n">
        <v>45854</v>
      </c>
      <c r="E1244" s="26" t="n">
        <v>45868</v>
      </c>
      <c r="F1244" s="26" t="n">
        <v>45866</v>
      </c>
      <c r="G1244" s="14" t="n">
        <v>98</v>
      </c>
      <c r="H1244" s="14" t="n">
        <v>98</v>
      </c>
      <c r="I1244" s="14" t="n">
        <v>0</v>
      </c>
      <c r="J1244" s="58" t="n">
        <v>3413.34</v>
      </c>
      <c r="K1244" s="59">
        <f>(F1244-D1244)/7</f>
        <v/>
      </c>
      <c r="L1244" s="59">
        <f>K1244^2</f>
        <v/>
      </c>
      <c r="M1244" s="14">
        <f>IF(F1244&lt;=E1244,1,0)</f>
        <v/>
      </c>
      <c r="N1244" s="14">
        <f>MAX(0,F1244-E1244)</f>
        <v/>
      </c>
    </row>
    <row r="1245">
      <c r="A1245" s="14" t="inlineStr">
        <is>
          <t>PO-01244</t>
        </is>
      </c>
      <c r="B1245" s="14" t="inlineStr">
        <is>
          <t>S01</t>
        </is>
      </c>
      <c r="C1245" s="14" t="inlineStr">
        <is>
          <t>NB-0048</t>
        </is>
      </c>
      <c r="D1245" s="26" t="n">
        <v>45883</v>
      </c>
      <c r="E1245" s="26" t="n">
        <v>45897</v>
      </c>
      <c r="F1245" s="26" t="n">
        <v>45895</v>
      </c>
      <c r="G1245" s="14" t="n">
        <v>80</v>
      </c>
      <c r="H1245" s="14" t="n">
        <v>73</v>
      </c>
      <c r="I1245" s="14" t="n">
        <v>0</v>
      </c>
      <c r="J1245" s="58" t="n">
        <v>2786.4</v>
      </c>
      <c r="K1245" s="59">
        <f>(F1245-D1245)/7</f>
        <v/>
      </c>
      <c r="L1245" s="59">
        <f>K1245^2</f>
        <v/>
      </c>
      <c r="M1245" s="14">
        <f>IF(F1245&lt;=E1245,1,0)</f>
        <v/>
      </c>
      <c r="N1245" s="14">
        <f>MAX(0,F1245-E1245)</f>
        <v/>
      </c>
    </row>
    <row r="1246">
      <c r="A1246" s="14" t="inlineStr">
        <is>
          <t>PO-01245</t>
        </is>
      </c>
      <c r="B1246" s="14" t="inlineStr">
        <is>
          <t>S01</t>
        </is>
      </c>
      <c r="C1246" s="14" t="inlineStr">
        <is>
          <t>NB-0048</t>
        </is>
      </c>
      <c r="D1246" s="26" t="n">
        <v>45911</v>
      </c>
      <c r="E1246" s="26" t="n">
        <v>45925</v>
      </c>
      <c r="F1246" s="26" t="n">
        <v>45925</v>
      </c>
      <c r="G1246" s="14" t="n">
        <v>105</v>
      </c>
      <c r="H1246" s="14" t="n">
        <v>105</v>
      </c>
      <c r="I1246" s="14" t="n">
        <v>0</v>
      </c>
      <c r="J1246" s="58" t="n">
        <v>3657.15</v>
      </c>
      <c r="K1246" s="59">
        <f>(F1246-D1246)/7</f>
        <v/>
      </c>
      <c r="L1246" s="59">
        <f>K1246^2</f>
        <v/>
      </c>
      <c r="M1246" s="14">
        <f>IF(F1246&lt;=E1246,1,0)</f>
        <v/>
      </c>
      <c r="N1246" s="14">
        <f>MAX(0,F1246-E1246)</f>
        <v/>
      </c>
    </row>
    <row r="1247">
      <c r="A1247" s="14" t="inlineStr">
        <is>
          <t>PO-01246</t>
        </is>
      </c>
      <c r="B1247" s="14" t="inlineStr">
        <is>
          <t>S01</t>
        </is>
      </c>
      <c r="C1247" s="14" t="inlineStr">
        <is>
          <t>NB-0048</t>
        </is>
      </c>
      <c r="D1247" s="26" t="n">
        <v>45936</v>
      </c>
      <c r="E1247" s="26" t="n">
        <v>45950</v>
      </c>
      <c r="F1247" s="26" t="n">
        <v>45948</v>
      </c>
      <c r="G1247" s="14" t="n">
        <v>106</v>
      </c>
      <c r="H1247" s="14" t="n">
        <v>106</v>
      </c>
      <c r="I1247" s="14" t="n">
        <v>0</v>
      </c>
      <c r="J1247" s="58" t="n">
        <v>3691.98</v>
      </c>
      <c r="K1247" s="59">
        <f>(F1247-D1247)/7</f>
        <v/>
      </c>
      <c r="L1247" s="59">
        <f>K1247^2</f>
        <v/>
      </c>
      <c r="M1247" s="14">
        <f>IF(F1247&lt;=E1247,1,0)</f>
        <v/>
      </c>
      <c r="N1247" s="14">
        <f>MAX(0,F1247-E1247)</f>
        <v/>
      </c>
    </row>
    <row r="1248">
      <c r="A1248" s="14" t="inlineStr">
        <is>
          <t>PO-01247</t>
        </is>
      </c>
      <c r="B1248" s="14" t="inlineStr">
        <is>
          <t>S01</t>
        </is>
      </c>
      <c r="C1248" s="14" t="inlineStr">
        <is>
          <t>NB-0048</t>
        </is>
      </c>
      <c r="D1248" s="26" t="n">
        <v>45968</v>
      </c>
      <c r="E1248" s="26" t="n">
        <v>45982</v>
      </c>
      <c r="F1248" s="26" t="n">
        <v>45982</v>
      </c>
      <c r="G1248" s="14" t="n">
        <v>111</v>
      </c>
      <c r="H1248" s="14" t="n">
        <v>101</v>
      </c>
      <c r="I1248" s="14" t="n">
        <v>0</v>
      </c>
      <c r="J1248" s="58" t="n">
        <v>3866.13</v>
      </c>
      <c r="K1248" s="59">
        <f>(F1248-D1248)/7</f>
        <v/>
      </c>
      <c r="L1248" s="59">
        <f>K1248^2</f>
        <v/>
      </c>
      <c r="M1248" s="14">
        <f>IF(F1248&lt;=E1248,1,0)</f>
        <v/>
      </c>
      <c r="N1248" s="14">
        <f>MAX(0,F1248-E1248)</f>
        <v/>
      </c>
    </row>
    <row r="1249">
      <c r="A1249" s="14" t="inlineStr">
        <is>
          <t>PO-01248</t>
        </is>
      </c>
      <c r="B1249" s="14" t="inlineStr">
        <is>
          <t>S01</t>
        </is>
      </c>
      <c r="C1249" s="14" t="inlineStr">
        <is>
          <t>NB-0048</t>
        </is>
      </c>
      <c r="D1249" s="26" t="n">
        <v>45995</v>
      </c>
      <c r="E1249" s="26" t="n">
        <v>46009</v>
      </c>
      <c r="F1249" s="26" t="n">
        <v>46006</v>
      </c>
      <c r="G1249" s="14" t="n">
        <v>99</v>
      </c>
      <c r="H1249" s="14" t="n">
        <v>99</v>
      </c>
      <c r="I1249" s="14" t="n">
        <v>0</v>
      </c>
      <c r="J1249" s="58" t="n">
        <v>3448.17</v>
      </c>
      <c r="K1249" s="59">
        <f>(F1249-D1249)/7</f>
        <v/>
      </c>
      <c r="L1249" s="59">
        <f>K1249^2</f>
        <v/>
      </c>
      <c r="M1249" s="14">
        <f>IF(F1249&lt;=E1249,1,0)</f>
        <v/>
      </c>
      <c r="N1249" s="14">
        <f>MAX(0,F1249-E1249)</f>
        <v/>
      </c>
    </row>
    <row r="1250">
      <c r="A1250" s="14" t="inlineStr">
        <is>
          <t>PO-01249</t>
        </is>
      </c>
      <c r="B1250" s="14" t="inlineStr">
        <is>
          <t>S01</t>
        </is>
      </c>
      <c r="C1250" s="14" t="inlineStr">
        <is>
          <t>NB-0049</t>
        </is>
      </c>
      <c r="D1250" s="26" t="n">
        <v>45292</v>
      </c>
      <c r="E1250" s="26" t="n">
        <v>45306</v>
      </c>
      <c r="F1250" s="26" t="n">
        <v>45303</v>
      </c>
      <c r="G1250" s="14" t="n">
        <v>85</v>
      </c>
      <c r="H1250" s="14" t="n">
        <v>85</v>
      </c>
      <c r="I1250" s="14" t="n">
        <v>0</v>
      </c>
      <c r="J1250" s="58" t="n">
        <v>1894.65</v>
      </c>
      <c r="K1250" s="59">
        <f>(F1250-D1250)/7</f>
        <v/>
      </c>
      <c r="L1250" s="59">
        <f>K1250^2</f>
        <v/>
      </c>
      <c r="M1250" s="14">
        <f>IF(F1250&lt;=E1250,1,0)</f>
        <v/>
      </c>
      <c r="N1250" s="14">
        <f>MAX(0,F1250-E1250)</f>
        <v/>
      </c>
    </row>
    <row r="1251">
      <c r="A1251" s="14" t="inlineStr">
        <is>
          <t>PO-01250</t>
        </is>
      </c>
      <c r="B1251" s="14" t="inlineStr">
        <is>
          <t>S01</t>
        </is>
      </c>
      <c r="C1251" s="14" t="inlineStr">
        <is>
          <t>NB-0049</t>
        </is>
      </c>
      <c r="D1251" s="26" t="n">
        <v>45324</v>
      </c>
      <c r="E1251" s="26" t="n">
        <v>45338</v>
      </c>
      <c r="F1251" s="26" t="n">
        <v>45335</v>
      </c>
      <c r="G1251" s="14" t="n">
        <v>92</v>
      </c>
      <c r="H1251" s="14" t="n">
        <v>92</v>
      </c>
      <c r="I1251" s="14" t="n">
        <v>0</v>
      </c>
      <c r="J1251" s="58" t="n">
        <v>2050.68</v>
      </c>
      <c r="K1251" s="59">
        <f>(F1251-D1251)/7</f>
        <v/>
      </c>
      <c r="L1251" s="59">
        <f>K1251^2</f>
        <v/>
      </c>
      <c r="M1251" s="14">
        <f>IF(F1251&lt;=E1251,1,0)</f>
        <v/>
      </c>
      <c r="N1251" s="14">
        <f>MAX(0,F1251-E1251)</f>
        <v/>
      </c>
    </row>
    <row r="1252">
      <c r="A1252" s="14" t="inlineStr">
        <is>
          <t>PO-01251</t>
        </is>
      </c>
      <c r="B1252" s="14" t="inlineStr">
        <is>
          <t>S01</t>
        </is>
      </c>
      <c r="C1252" s="14" t="inlineStr">
        <is>
          <t>NB-0049</t>
        </is>
      </c>
      <c r="D1252" s="26" t="n">
        <v>45349</v>
      </c>
      <c r="E1252" s="26" t="n">
        <v>45363</v>
      </c>
      <c r="F1252" s="26" t="n">
        <v>45363</v>
      </c>
      <c r="G1252" s="14" t="n">
        <v>103</v>
      </c>
      <c r="H1252" s="14" t="n">
        <v>103</v>
      </c>
      <c r="I1252" s="14" t="n">
        <v>1</v>
      </c>
      <c r="J1252" s="58" t="n">
        <v>2295.87</v>
      </c>
      <c r="K1252" s="59">
        <f>(F1252-D1252)/7</f>
        <v/>
      </c>
      <c r="L1252" s="59">
        <f>K1252^2</f>
        <v/>
      </c>
      <c r="M1252" s="14">
        <f>IF(F1252&lt;=E1252,1,0)</f>
        <v/>
      </c>
      <c r="N1252" s="14">
        <f>MAX(0,F1252-E1252)</f>
        <v/>
      </c>
    </row>
    <row r="1253">
      <c r="A1253" s="14" t="inlineStr">
        <is>
          <t>PO-01252</t>
        </is>
      </c>
      <c r="B1253" s="14" t="inlineStr">
        <is>
          <t>S01</t>
        </is>
      </c>
      <c r="C1253" s="14" t="inlineStr">
        <is>
          <t>NB-0049</t>
        </is>
      </c>
      <c r="D1253" s="26" t="n">
        <v>45379</v>
      </c>
      <c r="E1253" s="26" t="n">
        <v>45393</v>
      </c>
      <c r="F1253" s="26" t="n">
        <v>45392</v>
      </c>
      <c r="G1253" s="14" t="n">
        <v>106</v>
      </c>
      <c r="H1253" s="14" t="n">
        <v>106</v>
      </c>
      <c r="I1253" s="14" t="n">
        <v>1</v>
      </c>
      <c r="J1253" s="58" t="n">
        <v>2362.74</v>
      </c>
      <c r="K1253" s="59">
        <f>(F1253-D1253)/7</f>
        <v/>
      </c>
      <c r="L1253" s="59">
        <f>K1253^2</f>
        <v/>
      </c>
      <c r="M1253" s="14">
        <f>IF(F1253&lt;=E1253,1,0)</f>
        <v/>
      </c>
      <c r="N1253" s="14">
        <f>MAX(0,F1253-E1253)</f>
        <v/>
      </c>
    </row>
    <row r="1254">
      <c r="A1254" s="14" t="inlineStr">
        <is>
          <t>PO-01253</t>
        </is>
      </c>
      <c r="B1254" s="14" t="inlineStr">
        <is>
          <t>S01</t>
        </is>
      </c>
      <c r="C1254" s="14" t="inlineStr">
        <is>
          <t>NB-0049</t>
        </is>
      </c>
      <c r="D1254" s="26" t="n">
        <v>45408</v>
      </c>
      <c r="E1254" s="26" t="n">
        <v>45422</v>
      </c>
      <c r="F1254" s="26" t="n">
        <v>45424</v>
      </c>
      <c r="G1254" s="14" t="n">
        <v>98</v>
      </c>
      <c r="H1254" s="14" t="n">
        <v>98</v>
      </c>
      <c r="I1254" s="14" t="n">
        <v>1</v>
      </c>
      <c r="J1254" s="58" t="n">
        <v>2184.42</v>
      </c>
      <c r="K1254" s="59">
        <f>(F1254-D1254)/7</f>
        <v/>
      </c>
      <c r="L1254" s="59">
        <f>K1254^2</f>
        <v/>
      </c>
      <c r="M1254" s="14">
        <f>IF(F1254&lt;=E1254,1,0)</f>
        <v/>
      </c>
      <c r="N1254" s="14">
        <f>MAX(0,F1254-E1254)</f>
        <v/>
      </c>
    </row>
    <row r="1255">
      <c r="A1255" s="14" t="inlineStr">
        <is>
          <t>PO-01254</t>
        </is>
      </c>
      <c r="B1255" s="14" t="inlineStr">
        <is>
          <t>S01</t>
        </is>
      </c>
      <c r="C1255" s="14" t="inlineStr">
        <is>
          <t>NB-0049</t>
        </is>
      </c>
      <c r="D1255" s="26" t="n">
        <v>45436</v>
      </c>
      <c r="E1255" s="26" t="n">
        <v>45450</v>
      </c>
      <c r="F1255" s="26" t="n">
        <v>45448</v>
      </c>
      <c r="G1255" s="14" t="n">
        <v>101</v>
      </c>
      <c r="H1255" s="14" t="n">
        <v>101</v>
      </c>
      <c r="I1255" s="14" t="n">
        <v>0</v>
      </c>
      <c r="J1255" s="58" t="n">
        <v>2251.29</v>
      </c>
      <c r="K1255" s="59">
        <f>(F1255-D1255)/7</f>
        <v/>
      </c>
      <c r="L1255" s="59">
        <f>K1255^2</f>
        <v/>
      </c>
      <c r="M1255" s="14">
        <f>IF(F1255&lt;=E1255,1,0)</f>
        <v/>
      </c>
      <c r="N1255" s="14">
        <f>MAX(0,F1255-E1255)</f>
        <v/>
      </c>
    </row>
    <row r="1256">
      <c r="A1256" s="14" t="inlineStr">
        <is>
          <t>PO-01255</t>
        </is>
      </c>
      <c r="B1256" s="14" t="inlineStr">
        <is>
          <t>S01</t>
        </is>
      </c>
      <c r="C1256" s="14" t="inlineStr">
        <is>
          <t>NB-0049</t>
        </is>
      </c>
      <c r="D1256" s="26" t="n">
        <v>45462</v>
      </c>
      <c r="E1256" s="26" t="n">
        <v>45476</v>
      </c>
      <c r="F1256" s="26" t="n">
        <v>45474</v>
      </c>
      <c r="G1256" s="14" t="n">
        <v>100</v>
      </c>
      <c r="H1256" s="14" t="n">
        <v>100</v>
      </c>
      <c r="I1256" s="14" t="n">
        <v>0</v>
      </c>
      <c r="J1256" s="58" t="n">
        <v>2229</v>
      </c>
      <c r="K1256" s="59">
        <f>(F1256-D1256)/7</f>
        <v/>
      </c>
      <c r="L1256" s="59">
        <f>K1256^2</f>
        <v/>
      </c>
      <c r="M1256" s="14">
        <f>IF(F1256&lt;=E1256,1,0)</f>
        <v/>
      </c>
      <c r="N1256" s="14">
        <f>MAX(0,F1256-E1256)</f>
        <v/>
      </c>
    </row>
    <row r="1257">
      <c r="A1257" s="14" t="inlineStr">
        <is>
          <t>PO-01256</t>
        </is>
      </c>
      <c r="B1257" s="14" t="inlineStr">
        <is>
          <t>S01</t>
        </is>
      </c>
      <c r="C1257" s="14" t="inlineStr">
        <is>
          <t>NB-0049</t>
        </is>
      </c>
      <c r="D1257" s="26" t="n">
        <v>45490</v>
      </c>
      <c r="E1257" s="26" t="n">
        <v>45504</v>
      </c>
      <c r="F1257" s="26" t="n">
        <v>45504</v>
      </c>
      <c r="G1257" s="14" t="n">
        <v>97</v>
      </c>
      <c r="H1257" s="14" t="n">
        <v>97</v>
      </c>
      <c r="I1257" s="14" t="n">
        <v>1</v>
      </c>
      <c r="J1257" s="58" t="n">
        <v>2162.13</v>
      </c>
      <c r="K1257" s="59">
        <f>(F1257-D1257)/7</f>
        <v/>
      </c>
      <c r="L1257" s="59">
        <f>K1257^2</f>
        <v/>
      </c>
      <c r="M1257" s="14">
        <f>IF(F1257&lt;=E1257,1,0)</f>
        <v/>
      </c>
      <c r="N1257" s="14">
        <f>MAX(0,F1257-E1257)</f>
        <v/>
      </c>
    </row>
    <row r="1258">
      <c r="A1258" s="14" t="inlineStr">
        <is>
          <t>PO-01257</t>
        </is>
      </c>
      <c r="B1258" s="14" t="inlineStr">
        <is>
          <t>S01</t>
        </is>
      </c>
      <c r="C1258" s="14" t="inlineStr">
        <is>
          <t>NB-0049</t>
        </is>
      </c>
      <c r="D1258" s="26" t="n">
        <v>45520</v>
      </c>
      <c r="E1258" s="26" t="n">
        <v>45534</v>
      </c>
      <c r="F1258" s="26" t="n">
        <v>45531</v>
      </c>
      <c r="G1258" s="14" t="n">
        <v>89</v>
      </c>
      <c r="H1258" s="14" t="n">
        <v>89</v>
      </c>
      <c r="I1258" s="14" t="n">
        <v>0</v>
      </c>
      <c r="J1258" s="58" t="n">
        <v>1983.81</v>
      </c>
      <c r="K1258" s="59">
        <f>(F1258-D1258)/7</f>
        <v/>
      </c>
      <c r="L1258" s="59">
        <f>K1258^2</f>
        <v/>
      </c>
      <c r="M1258" s="14">
        <f>IF(F1258&lt;=E1258,1,0)</f>
        <v/>
      </c>
      <c r="N1258" s="14">
        <f>MAX(0,F1258-E1258)</f>
        <v/>
      </c>
    </row>
    <row r="1259">
      <c r="A1259" s="14" t="inlineStr">
        <is>
          <t>PO-01258</t>
        </is>
      </c>
      <c r="B1259" s="14" t="inlineStr">
        <is>
          <t>S01</t>
        </is>
      </c>
      <c r="C1259" s="14" t="inlineStr">
        <is>
          <t>NB-0049</t>
        </is>
      </c>
      <c r="D1259" s="26" t="n">
        <v>45545</v>
      </c>
      <c r="E1259" s="26" t="n">
        <v>45559</v>
      </c>
      <c r="F1259" s="26" t="n">
        <v>45559</v>
      </c>
      <c r="G1259" s="14" t="n">
        <v>85</v>
      </c>
      <c r="H1259" s="14" t="n">
        <v>85</v>
      </c>
      <c r="I1259" s="14" t="n">
        <v>0</v>
      </c>
      <c r="J1259" s="58" t="n">
        <v>1894.65</v>
      </c>
      <c r="K1259" s="59">
        <f>(F1259-D1259)/7</f>
        <v/>
      </c>
      <c r="L1259" s="59">
        <f>K1259^2</f>
        <v/>
      </c>
      <c r="M1259" s="14">
        <f>IF(F1259&lt;=E1259,1,0)</f>
        <v/>
      </c>
      <c r="N1259" s="14">
        <f>MAX(0,F1259-E1259)</f>
        <v/>
      </c>
    </row>
    <row r="1260">
      <c r="A1260" s="14" t="inlineStr">
        <is>
          <t>PO-01259</t>
        </is>
      </c>
      <c r="B1260" s="14" t="inlineStr">
        <is>
          <t>S01</t>
        </is>
      </c>
      <c r="C1260" s="14" t="inlineStr">
        <is>
          <t>NB-0049</t>
        </is>
      </c>
      <c r="D1260" s="26" t="n">
        <v>45576</v>
      </c>
      <c r="E1260" s="26" t="n">
        <v>45590</v>
      </c>
      <c r="F1260" s="26" t="n">
        <v>45589</v>
      </c>
      <c r="G1260" s="14" t="n">
        <v>94</v>
      </c>
      <c r="H1260" s="14" t="n">
        <v>94</v>
      </c>
      <c r="I1260" s="14" t="n">
        <v>0</v>
      </c>
      <c r="J1260" s="58" t="n">
        <v>2095.26</v>
      </c>
      <c r="K1260" s="59">
        <f>(F1260-D1260)/7</f>
        <v/>
      </c>
      <c r="L1260" s="59">
        <f>K1260^2</f>
        <v/>
      </c>
      <c r="M1260" s="14">
        <f>IF(F1260&lt;=E1260,1,0)</f>
        <v/>
      </c>
      <c r="N1260" s="14">
        <f>MAX(0,F1260-E1260)</f>
        <v/>
      </c>
    </row>
    <row r="1261">
      <c r="A1261" s="14" t="inlineStr">
        <is>
          <t>PO-01260</t>
        </is>
      </c>
      <c r="B1261" s="14" t="inlineStr">
        <is>
          <t>S01</t>
        </is>
      </c>
      <c r="C1261" s="14" t="inlineStr">
        <is>
          <t>NB-0049</t>
        </is>
      </c>
      <c r="D1261" s="26" t="n">
        <v>45601</v>
      </c>
      <c r="E1261" s="26" t="n">
        <v>45615</v>
      </c>
      <c r="F1261" s="26" t="n">
        <v>45615</v>
      </c>
      <c r="G1261" s="14" t="n">
        <v>109</v>
      </c>
      <c r="H1261" s="14" t="n">
        <v>109</v>
      </c>
      <c r="I1261" s="14" t="n">
        <v>1</v>
      </c>
      <c r="J1261" s="58" t="n">
        <v>2429.61</v>
      </c>
      <c r="K1261" s="59">
        <f>(F1261-D1261)/7</f>
        <v/>
      </c>
      <c r="L1261" s="59">
        <f>K1261^2</f>
        <v/>
      </c>
      <c r="M1261" s="14">
        <f>IF(F1261&lt;=E1261,1,0)</f>
        <v/>
      </c>
      <c r="N1261" s="14">
        <f>MAX(0,F1261-E1261)</f>
        <v/>
      </c>
    </row>
    <row r="1262">
      <c r="A1262" s="14" t="inlineStr">
        <is>
          <t>PO-01261</t>
        </is>
      </c>
      <c r="B1262" s="14" t="inlineStr">
        <is>
          <t>S01</t>
        </is>
      </c>
      <c r="C1262" s="14" t="inlineStr">
        <is>
          <t>NB-0049</t>
        </is>
      </c>
      <c r="D1262" s="26" t="n">
        <v>45628</v>
      </c>
      <c r="E1262" s="26" t="n">
        <v>45642</v>
      </c>
      <c r="F1262" s="26" t="n">
        <v>45642</v>
      </c>
      <c r="G1262" s="14" t="n">
        <v>101</v>
      </c>
      <c r="H1262" s="14" t="n">
        <v>101</v>
      </c>
      <c r="I1262" s="14" t="n">
        <v>0</v>
      </c>
      <c r="J1262" s="58" t="n">
        <v>2251.29</v>
      </c>
      <c r="K1262" s="59">
        <f>(F1262-D1262)/7</f>
        <v/>
      </c>
      <c r="L1262" s="59">
        <f>K1262^2</f>
        <v/>
      </c>
      <c r="M1262" s="14">
        <f>IF(F1262&lt;=E1262,1,0)</f>
        <v/>
      </c>
      <c r="N1262" s="14">
        <f>MAX(0,F1262-E1262)</f>
        <v/>
      </c>
    </row>
    <row r="1263">
      <c r="A1263" s="14" t="inlineStr">
        <is>
          <t>PO-01262</t>
        </is>
      </c>
      <c r="B1263" s="14" t="inlineStr">
        <is>
          <t>S01</t>
        </is>
      </c>
      <c r="C1263" s="14" t="inlineStr">
        <is>
          <t>NB-0049</t>
        </is>
      </c>
      <c r="D1263" s="26" t="n">
        <v>45656</v>
      </c>
      <c r="E1263" s="26" t="n">
        <v>45670</v>
      </c>
      <c r="F1263" s="26" t="n">
        <v>45667</v>
      </c>
      <c r="G1263" s="14" t="n">
        <v>85</v>
      </c>
      <c r="H1263" s="14" t="n">
        <v>85</v>
      </c>
      <c r="I1263" s="14" t="n">
        <v>1</v>
      </c>
      <c r="J1263" s="58" t="n">
        <v>1894.65</v>
      </c>
      <c r="K1263" s="59">
        <f>(F1263-D1263)/7</f>
        <v/>
      </c>
      <c r="L1263" s="59">
        <f>K1263^2</f>
        <v/>
      </c>
      <c r="M1263" s="14">
        <f>IF(F1263&lt;=E1263,1,0)</f>
        <v/>
      </c>
      <c r="N1263" s="14">
        <f>MAX(0,F1263-E1263)</f>
        <v/>
      </c>
    </row>
    <row r="1264">
      <c r="A1264" s="14" t="inlineStr">
        <is>
          <t>PO-01263</t>
        </is>
      </c>
      <c r="B1264" s="14" t="inlineStr">
        <is>
          <t>S01</t>
        </is>
      </c>
      <c r="C1264" s="14" t="inlineStr">
        <is>
          <t>NB-0049</t>
        </is>
      </c>
      <c r="D1264" s="26" t="n">
        <v>45688</v>
      </c>
      <c r="E1264" s="26" t="n">
        <v>45702</v>
      </c>
      <c r="F1264" s="26" t="n">
        <v>45701</v>
      </c>
      <c r="G1264" s="14" t="n">
        <v>94</v>
      </c>
      <c r="H1264" s="14" t="n">
        <v>94</v>
      </c>
      <c r="I1264" s="14" t="n">
        <v>0</v>
      </c>
      <c r="J1264" s="58" t="n">
        <v>2095.26</v>
      </c>
      <c r="K1264" s="59">
        <f>(F1264-D1264)/7</f>
        <v/>
      </c>
      <c r="L1264" s="59">
        <f>K1264^2</f>
        <v/>
      </c>
      <c r="M1264" s="14">
        <f>IF(F1264&lt;=E1264,1,0)</f>
        <v/>
      </c>
      <c r="N1264" s="14">
        <f>MAX(0,F1264-E1264)</f>
        <v/>
      </c>
    </row>
    <row r="1265">
      <c r="A1265" s="14" t="inlineStr">
        <is>
          <t>PO-01264</t>
        </is>
      </c>
      <c r="B1265" s="14" t="inlineStr">
        <is>
          <t>S01</t>
        </is>
      </c>
      <c r="C1265" s="14" t="inlineStr">
        <is>
          <t>NB-0049</t>
        </is>
      </c>
      <c r="D1265" s="26" t="n">
        <v>45715</v>
      </c>
      <c r="E1265" s="26" t="n">
        <v>45729</v>
      </c>
      <c r="F1265" s="26" t="n">
        <v>45726</v>
      </c>
      <c r="G1265" s="14" t="n">
        <v>87</v>
      </c>
      <c r="H1265" s="14" t="n">
        <v>87</v>
      </c>
      <c r="I1265" s="14" t="n">
        <v>0</v>
      </c>
      <c r="J1265" s="58" t="n">
        <v>1939.23</v>
      </c>
      <c r="K1265" s="59">
        <f>(F1265-D1265)/7</f>
        <v/>
      </c>
      <c r="L1265" s="59">
        <f>K1265^2</f>
        <v/>
      </c>
      <c r="M1265" s="14">
        <f>IF(F1265&lt;=E1265,1,0)</f>
        <v/>
      </c>
      <c r="N1265" s="14">
        <f>MAX(0,F1265-E1265)</f>
        <v/>
      </c>
    </row>
    <row r="1266">
      <c r="A1266" s="14" t="inlineStr">
        <is>
          <t>PO-01265</t>
        </is>
      </c>
      <c r="B1266" s="14" t="inlineStr">
        <is>
          <t>S01</t>
        </is>
      </c>
      <c r="C1266" s="14" t="inlineStr">
        <is>
          <t>NB-0049</t>
        </is>
      </c>
      <c r="D1266" s="26" t="n">
        <v>45744</v>
      </c>
      <c r="E1266" s="26" t="n">
        <v>45758</v>
      </c>
      <c r="F1266" s="26" t="n">
        <v>45757</v>
      </c>
      <c r="G1266" s="14" t="n">
        <v>85</v>
      </c>
      <c r="H1266" s="14" t="n">
        <v>85</v>
      </c>
      <c r="I1266" s="14" t="n">
        <v>0</v>
      </c>
      <c r="J1266" s="58" t="n">
        <v>1894.65</v>
      </c>
      <c r="K1266" s="59">
        <f>(F1266-D1266)/7</f>
        <v/>
      </c>
      <c r="L1266" s="59">
        <f>K1266^2</f>
        <v/>
      </c>
      <c r="M1266" s="14">
        <f>IF(F1266&lt;=E1266,1,0)</f>
        <v/>
      </c>
      <c r="N1266" s="14">
        <f>MAX(0,F1266-E1266)</f>
        <v/>
      </c>
    </row>
    <row r="1267">
      <c r="A1267" s="14" t="inlineStr">
        <is>
          <t>PO-01266</t>
        </is>
      </c>
      <c r="B1267" s="14" t="inlineStr">
        <is>
          <t>S01</t>
        </is>
      </c>
      <c r="C1267" s="14" t="inlineStr">
        <is>
          <t>NB-0049</t>
        </is>
      </c>
      <c r="D1267" s="26" t="n">
        <v>45770</v>
      </c>
      <c r="E1267" s="26" t="n">
        <v>45784</v>
      </c>
      <c r="F1267" s="26" t="n">
        <v>45783</v>
      </c>
      <c r="G1267" s="14" t="n">
        <v>83</v>
      </c>
      <c r="H1267" s="14" t="n">
        <v>83</v>
      </c>
      <c r="I1267" s="14" t="n">
        <v>0</v>
      </c>
      <c r="J1267" s="58" t="n">
        <v>1850.07</v>
      </c>
      <c r="K1267" s="59">
        <f>(F1267-D1267)/7</f>
        <v/>
      </c>
      <c r="L1267" s="59">
        <f>K1267^2</f>
        <v/>
      </c>
      <c r="M1267" s="14">
        <f>IF(F1267&lt;=E1267,1,0)</f>
        <v/>
      </c>
      <c r="N1267" s="14">
        <f>MAX(0,F1267-E1267)</f>
        <v/>
      </c>
    </row>
    <row r="1268">
      <c r="A1268" s="14" t="inlineStr">
        <is>
          <t>PO-01267</t>
        </is>
      </c>
      <c r="B1268" s="14" t="inlineStr">
        <is>
          <t>S01</t>
        </is>
      </c>
      <c r="C1268" s="14" t="inlineStr">
        <is>
          <t>NB-0049</t>
        </is>
      </c>
      <c r="D1268" s="26" t="n">
        <v>45798</v>
      </c>
      <c r="E1268" s="26" t="n">
        <v>45812</v>
      </c>
      <c r="F1268" s="26" t="n">
        <v>45812</v>
      </c>
      <c r="G1268" s="14" t="n">
        <v>107</v>
      </c>
      <c r="H1268" s="14" t="n">
        <v>107</v>
      </c>
      <c r="I1268" s="14" t="n">
        <v>0</v>
      </c>
      <c r="J1268" s="58" t="n">
        <v>2385.03</v>
      </c>
      <c r="K1268" s="59">
        <f>(F1268-D1268)/7</f>
        <v/>
      </c>
      <c r="L1268" s="59">
        <f>K1268^2</f>
        <v/>
      </c>
      <c r="M1268" s="14">
        <f>IF(F1268&lt;=E1268,1,0)</f>
        <v/>
      </c>
      <c r="N1268" s="14">
        <f>MAX(0,F1268-E1268)</f>
        <v/>
      </c>
    </row>
    <row r="1269">
      <c r="A1269" s="14" t="inlineStr">
        <is>
          <t>PO-01268</t>
        </is>
      </c>
      <c r="B1269" s="14" t="inlineStr">
        <is>
          <t>S01</t>
        </is>
      </c>
      <c r="C1269" s="14" t="inlineStr">
        <is>
          <t>NB-0049</t>
        </is>
      </c>
      <c r="D1269" s="26" t="n">
        <v>45826</v>
      </c>
      <c r="E1269" s="26" t="n">
        <v>45840</v>
      </c>
      <c r="F1269" s="26" t="n">
        <v>45837</v>
      </c>
      <c r="G1269" s="14" t="n">
        <v>89</v>
      </c>
      <c r="H1269" s="14" t="n">
        <v>89</v>
      </c>
      <c r="I1269" s="14" t="n">
        <v>0</v>
      </c>
      <c r="J1269" s="58" t="n">
        <v>1983.81</v>
      </c>
      <c r="K1269" s="59">
        <f>(F1269-D1269)/7</f>
        <v/>
      </c>
      <c r="L1269" s="59">
        <f>K1269^2</f>
        <v/>
      </c>
      <c r="M1269" s="14">
        <f>IF(F1269&lt;=E1269,1,0)</f>
        <v/>
      </c>
      <c r="N1269" s="14">
        <f>MAX(0,F1269-E1269)</f>
        <v/>
      </c>
    </row>
    <row r="1270">
      <c r="A1270" s="14" t="inlineStr">
        <is>
          <t>PO-01269</t>
        </is>
      </c>
      <c r="B1270" s="14" t="inlineStr">
        <is>
          <t>S01</t>
        </is>
      </c>
      <c r="C1270" s="14" t="inlineStr">
        <is>
          <t>NB-0049</t>
        </is>
      </c>
      <c r="D1270" s="26" t="n">
        <v>45856</v>
      </c>
      <c r="E1270" s="26" t="n">
        <v>45870</v>
      </c>
      <c r="F1270" s="26" t="n">
        <v>45869</v>
      </c>
      <c r="G1270" s="14" t="n">
        <v>103</v>
      </c>
      <c r="H1270" s="14" t="n">
        <v>103</v>
      </c>
      <c r="I1270" s="14" t="n">
        <v>0</v>
      </c>
      <c r="J1270" s="58" t="n">
        <v>2295.87</v>
      </c>
      <c r="K1270" s="59">
        <f>(F1270-D1270)/7</f>
        <v/>
      </c>
      <c r="L1270" s="59">
        <f>K1270^2</f>
        <v/>
      </c>
      <c r="M1270" s="14">
        <f>IF(F1270&lt;=E1270,1,0)</f>
        <v/>
      </c>
      <c r="N1270" s="14">
        <f>MAX(0,F1270-E1270)</f>
        <v/>
      </c>
    </row>
    <row r="1271">
      <c r="A1271" s="14" t="inlineStr">
        <is>
          <t>PO-01270</t>
        </is>
      </c>
      <c r="B1271" s="14" t="inlineStr">
        <is>
          <t>S01</t>
        </is>
      </c>
      <c r="C1271" s="14" t="inlineStr">
        <is>
          <t>NB-0049</t>
        </is>
      </c>
      <c r="D1271" s="26" t="n">
        <v>45884</v>
      </c>
      <c r="E1271" s="26" t="n">
        <v>45898</v>
      </c>
      <c r="F1271" s="26" t="n">
        <v>45898</v>
      </c>
      <c r="G1271" s="14" t="n">
        <v>109</v>
      </c>
      <c r="H1271" s="14" t="n">
        <v>109</v>
      </c>
      <c r="I1271" s="14" t="n">
        <v>0</v>
      </c>
      <c r="J1271" s="58" t="n">
        <v>2429.61</v>
      </c>
      <c r="K1271" s="59">
        <f>(F1271-D1271)/7</f>
        <v/>
      </c>
      <c r="L1271" s="59">
        <f>K1271^2</f>
        <v/>
      </c>
      <c r="M1271" s="14">
        <f>IF(F1271&lt;=E1271,1,0)</f>
        <v/>
      </c>
      <c r="N1271" s="14">
        <f>MAX(0,F1271-E1271)</f>
        <v/>
      </c>
    </row>
    <row r="1272">
      <c r="A1272" s="14" t="inlineStr">
        <is>
          <t>PO-01271</t>
        </is>
      </c>
      <c r="B1272" s="14" t="inlineStr">
        <is>
          <t>S01</t>
        </is>
      </c>
      <c r="C1272" s="14" t="inlineStr">
        <is>
          <t>NB-0049</t>
        </is>
      </c>
      <c r="D1272" s="26" t="n">
        <v>45909</v>
      </c>
      <c r="E1272" s="26" t="n">
        <v>45923</v>
      </c>
      <c r="F1272" s="26" t="n">
        <v>45920</v>
      </c>
      <c r="G1272" s="14" t="n">
        <v>101</v>
      </c>
      <c r="H1272" s="14" t="n">
        <v>101</v>
      </c>
      <c r="I1272" s="14" t="n">
        <v>0</v>
      </c>
      <c r="J1272" s="58" t="n">
        <v>2251.29</v>
      </c>
      <c r="K1272" s="59">
        <f>(F1272-D1272)/7</f>
        <v/>
      </c>
      <c r="L1272" s="59">
        <f>K1272^2</f>
        <v/>
      </c>
      <c r="M1272" s="14">
        <f>IF(F1272&lt;=E1272,1,0)</f>
        <v/>
      </c>
      <c r="N1272" s="14">
        <f>MAX(0,F1272-E1272)</f>
        <v/>
      </c>
    </row>
    <row r="1273">
      <c r="A1273" s="14" t="inlineStr">
        <is>
          <t>PO-01272</t>
        </is>
      </c>
      <c r="B1273" s="14" t="inlineStr">
        <is>
          <t>S01</t>
        </is>
      </c>
      <c r="C1273" s="14" t="inlineStr">
        <is>
          <t>NB-0049</t>
        </is>
      </c>
      <c r="D1273" s="26" t="n">
        <v>45939</v>
      </c>
      <c r="E1273" s="26" t="n">
        <v>45953</v>
      </c>
      <c r="F1273" s="26" t="n">
        <v>45950</v>
      </c>
      <c r="G1273" s="14" t="n">
        <v>79</v>
      </c>
      <c r="H1273" s="14" t="n">
        <v>79</v>
      </c>
      <c r="I1273" s="14" t="n">
        <v>3</v>
      </c>
      <c r="J1273" s="58" t="n">
        <v>1760.91</v>
      </c>
      <c r="K1273" s="59">
        <f>(F1273-D1273)/7</f>
        <v/>
      </c>
      <c r="L1273" s="59">
        <f>K1273^2</f>
        <v/>
      </c>
      <c r="M1273" s="14">
        <f>IF(F1273&lt;=E1273,1,0)</f>
        <v/>
      </c>
      <c r="N1273" s="14">
        <f>MAX(0,F1273-E1273)</f>
        <v/>
      </c>
    </row>
    <row r="1274">
      <c r="A1274" s="14" t="inlineStr">
        <is>
          <t>PO-01273</t>
        </is>
      </c>
      <c r="B1274" s="14" t="inlineStr">
        <is>
          <t>S01</t>
        </is>
      </c>
      <c r="C1274" s="14" t="inlineStr">
        <is>
          <t>NB-0049</t>
        </is>
      </c>
      <c r="D1274" s="26" t="n">
        <v>45964</v>
      </c>
      <c r="E1274" s="26" t="n">
        <v>45978</v>
      </c>
      <c r="F1274" s="26" t="n">
        <v>45975</v>
      </c>
      <c r="G1274" s="14" t="n">
        <v>96</v>
      </c>
      <c r="H1274" s="14" t="n">
        <v>96</v>
      </c>
      <c r="I1274" s="14" t="n">
        <v>0</v>
      </c>
      <c r="J1274" s="58" t="n">
        <v>2139.84</v>
      </c>
      <c r="K1274" s="59">
        <f>(F1274-D1274)/7</f>
        <v/>
      </c>
      <c r="L1274" s="59">
        <f>K1274^2</f>
        <v/>
      </c>
      <c r="M1274" s="14">
        <f>IF(F1274&lt;=E1274,1,0)</f>
        <v/>
      </c>
      <c r="N1274" s="14">
        <f>MAX(0,F1274-E1274)</f>
        <v/>
      </c>
    </row>
    <row r="1275">
      <c r="A1275" s="14" t="inlineStr">
        <is>
          <t>PO-01274</t>
        </is>
      </c>
      <c r="B1275" s="14" t="inlineStr">
        <is>
          <t>S01</t>
        </is>
      </c>
      <c r="C1275" s="14" t="inlineStr">
        <is>
          <t>NB-0049</t>
        </is>
      </c>
      <c r="D1275" s="26" t="n">
        <v>45995</v>
      </c>
      <c r="E1275" s="26" t="n">
        <v>46009</v>
      </c>
      <c r="F1275" s="26" t="n">
        <v>46008</v>
      </c>
      <c r="G1275" s="14" t="n">
        <v>78</v>
      </c>
      <c r="H1275" s="14" t="n">
        <v>78</v>
      </c>
      <c r="I1275" s="14" t="n">
        <v>1</v>
      </c>
      <c r="J1275" s="58" t="n">
        <v>1738.62</v>
      </c>
      <c r="K1275" s="59">
        <f>(F1275-D1275)/7</f>
        <v/>
      </c>
      <c r="L1275" s="59">
        <f>K1275^2</f>
        <v/>
      </c>
      <c r="M1275" s="14">
        <f>IF(F1275&lt;=E1275,1,0)</f>
        <v/>
      </c>
      <c r="N1275" s="14">
        <f>MAX(0,F1275-E1275)</f>
        <v/>
      </c>
    </row>
  </sheetData>
  <autoFilter ref="A1:N127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</cols>
  <sheetData>
    <row r="1" ht="30" customHeight="1">
      <c r="A1" s="29" t="inlineStr">
        <is>
          <t>SKU</t>
        </is>
      </c>
      <c r="B1" s="29" t="inlineStr">
        <is>
          <t>On hand (units)</t>
        </is>
      </c>
      <c r="C1" s="29" t="inlineStr">
        <is>
          <t>On order (units)</t>
        </is>
      </c>
    </row>
    <row r="2">
      <c r="A2" s="14" t="inlineStr">
        <is>
          <t>NB-0001</t>
        </is>
      </c>
      <c r="B2" s="14" t="n">
        <v>1257</v>
      </c>
      <c r="C2" s="14" t="n">
        <v>314</v>
      </c>
    </row>
    <row r="3">
      <c r="A3" s="14" t="inlineStr">
        <is>
          <t>NB-0002</t>
        </is>
      </c>
      <c r="B3" s="14" t="n">
        <v>375</v>
      </c>
      <c r="C3" s="14" t="n">
        <v>94</v>
      </c>
    </row>
    <row r="4">
      <c r="A4" s="14" t="inlineStr">
        <is>
          <t>NB-0003</t>
        </is>
      </c>
      <c r="B4" s="14" t="n">
        <v>869</v>
      </c>
      <c r="C4" s="14" t="n">
        <v>0</v>
      </c>
    </row>
    <row r="5">
      <c r="A5" s="14" t="inlineStr">
        <is>
          <t>NB-0004</t>
        </is>
      </c>
      <c r="B5" s="14" t="n">
        <v>922</v>
      </c>
      <c r="C5" s="14" t="n">
        <v>369</v>
      </c>
    </row>
    <row r="6">
      <c r="A6" s="14" t="inlineStr">
        <is>
          <t>NB-0005</t>
        </is>
      </c>
      <c r="B6" s="14" t="n">
        <v>371</v>
      </c>
      <c r="C6" s="14" t="n">
        <v>0</v>
      </c>
    </row>
    <row r="7">
      <c r="A7" s="14" t="inlineStr">
        <is>
          <t>NB-0006</t>
        </is>
      </c>
      <c r="B7" s="14" t="n">
        <v>317</v>
      </c>
      <c r="C7" s="14" t="n">
        <v>0</v>
      </c>
    </row>
    <row r="8">
      <c r="A8" s="14" t="inlineStr">
        <is>
          <t>NB-0007</t>
        </is>
      </c>
      <c r="B8" s="14" t="n">
        <v>2054</v>
      </c>
      <c r="C8" s="14" t="n">
        <v>513</v>
      </c>
    </row>
    <row r="9">
      <c r="A9" s="14" t="inlineStr">
        <is>
          <t>NB-0008</t>
        </is>
      </c>
      <c r="B9" s="14" t="n">
        <v>1787</v>
      </c>
      <c r="C9" s="14" t="n">
        <v>0</v>
      </c>
    </row>
    <row r="10">
      <c r="A10" s="14" t="inlineStr">
        <is>
          <t>NB-0009</t>
        </is>
      </c>
      <c r="B10" s="14" t="n">
        <v>125</v>
      </c>
      <c r="C10" s="14" t="n">
        <v>157</v>
      </c>
    </row>
    <row r="11">
      <c r="A11" s="14" t="inlineStr">
        <is>
          <t>NB-0010</t>
        </is>
      </c>
      <c r="B11" s="14" t="n">
        <v>176</v>
      </c>
      <c r="C11" s="14" t="n">
        <v>0</v>
      </c>
    </row>
    <row r="12">
      <c r="A12" s="14" t="inlineStr">
        <is>
          <t>NB-0011</t>
        </is>
      </c>
      <c r="B12" s="14" t="n">
        <v>62</v>
      </c>
      <c r="C12" s="14" t="n">
        <v>0</v>
      </c>
    </row>
    <row r="13">
      <c r="A13" s="14" t="inlineStr">
        <is>
          <t>NB-0012</t>
        </is>
      </c>
      <c r="B13" s="14" t="n">
        <v>23</v>
      </c>
      <c r="C13" s="14" t="n">
        <v>0</v>
      </c>
    </row>
    <row r="14">
      <c r="A14" s="14" t="inlineStr">
        <is>
          <t>NB-0013</t>
        </is>
      </c>
      <c r="B14" s="14" t="n">
        <v>172</v>
      </c>
      <c r="C14" s="14" t="n">
        <v>76</v>
      </c>
    </row>
    <row r="15">
      <c r="A15" s="14" t="inlineStr">
        <is>
          <t>NB-0014</t>
        </is>
      </c>
      <c r="B15" s="14" t="n">
        <v>24</v>
      </c>
      <c r="C15" s="14" t="n">
        <v>0</v>
      </c>
    </row>
    <row r="16">
      <c r="A16" s="14" t="inlineStr">
        <is>
          <t>NB-0015</t>
        </is>
      </c>
      <c r="B16" s="14" t="n">
        <v>162</v>
      </c>
      <c r="C16" s="14" t="n">
        <v>0</v>
      </c>
    </row>
    <row r="17">
      <c r="A17" s="14" t="inlineStr">
        <is>
          <t>NB-0016</t>
        </is>
      </c>
      <c r="B17" s="14" t="n">
        <v>218</v>
      </c>
      <c r="C17" s="14" t="n">
        <v>0</v>
      </c>
    </row>
    <row r="18">
      <c r="A18" s="14" t="inlineStr">
        <is>
          <t>NB-0017</t>
        </is>
      </c>
      <c r="B18" s="14" t="n">
        <v>1026</v>
      </c>
      <c r="C18" s="14" t="n">
        <v>228</v>
      </c>
    </row>
    <row r="19">
      <c r="A19" s="14" t="inlineStr">
        <is>
          <t>NB-0018</t>
        </is>
      </c>
      <c r="B19" s="14" t="n">
        <v>154</v>
      </c>
      <c r="C19" s="14" t="n">
        <v>0</v>
      </c>
    </row>
    <row r="20">
      <c r="A20" s="14" t="inlineStr">
        <is>
          <t>NB-0019</t>
        </is>
      </c>
      <c r="B20" s="14" t="n">
        <v>69</v>
      </c>
      <c r="C20" s="14" t="n">
        <v>38</v>
      </c>
    </row>
    <row r="21">
      <c r="A21" s="14" t="inlineStr">
        <is>
          <t>NB-0020</t>
        </is>
      </c>
      <c r="B21" s="14" t="n">
        <v>91</v>
      </c>
      <c r="C21" s="14" t="n">
        <v>38</v>
      </c>
    </row>
    <row r="22">
      <c r="A22" s="14" t="inlineStr">
        <is>
          <t>NB-0021</t>
        </is>
      </c>
      <c r="B22" s="14" t="n">
        <v>1013</v>
      </c>
      <c r="C22" s="14" t="n">
        <v>193</v>
      </c>
    </row>
    <row r="23">
      <c r="A23" s="14" t="inlineStr">
        <is>
          <t>NB-0022</t>
        </is>
      </c>
      <c r="B23" s="14" t="n">
        <v>395</v>
      </c>
      <c r="C23" s="14" t="n">
        <v>0</v>
      </c>
    </row>
    <row r="24">
      <c r="A24" s="14" t="inlineStr">
        <is>
          <t>NB-0023</t>
        </is>
      </c>
      <c r="B24" s="14" t="n">
        <v>135</v>
      </c>
      <c r="C24" s="14" t="n">
        <v>0</v>
      </c>
    </row>
    <row r="25">
      <c r="A25" s="14" t="inlineStr">
        <is>
          <t>NB-0024</t>
        </is>
      </c>
      <c r="B25" s="14" t="n">
        <v>776</v>
      </c>
      <c r="C25" s="14" t="n">
        <v>0</v>
      </c>
    </row>
    <row r="26">
      <c r="A26" s="14" t="inlineStr">
        <is>
          <t>NB-0025</t>
        </is>
      </c>
      <c r="B26" s="14" t="n">
        <v>704</v>
      </c>
      <c r="C26" s="14" t="n">
        <v>0</v>
      </c>
    </row>
    <row r="27">
      <c r="A27" s="14" t="inlineStr">
        <is>
          <t>NB-0026</t>
        </is>
      </c>
      <c r="B27" s="14" t="n">
        <v>1029</v>
      </c>
      <c r="C27" s="14" t="n">
        <v>392</v>
      </c>
    </row>
    <row r="28">
      <c r="A28" s="14" t="inlineStr">
        <is>
          <t>NB-0027</t>
        </is>
      </c>
      <c r="B28" s="14" t="n">
        <v>213</v>
      </c>
      <c r="C28" s="14" t="n">
        <v>0</v>
      </c>
    </row>
    <row r="29">
      <c r="A29" s="14" t="inlineStr">
        <is>
          <t>NB-0028</t>
        </is>
      </c>
      <c r="B29" s="14" t="n">
        <v>1158</v>
      </c>
      <c r="C29" s="14" t="n">
        <v>483</v>
      </c>
    </row>
    <row r="30">
      <c r="A30" s="14" t="inlineStr">
        <is>
          <t>NB-0029</t>
        </is>
      </c>
      <c r="B30" s="14" t="n">
        <v>258</v>
      </c>
      <c r="C30" s="14" t="n">
        <v>0</v>
      </c>
    </row>
    <row r="31">
      <c r="A31" s="14" t="inlineStr">
        <is>
          <t>NB-0030</t>
        </is>
      </c>
      <c r="B31" s="14" t="n">
        <v>188</v>
      </c>
      <c r="C31" s="14" t="n">
        <v>0</v>
      </c>
    </row>
    <row r="32">
      <c r="A32" s="14" t="inlineStr">
        <is>
          <t>NB-0031</t>
        </is>
      </c>
      <c r="B32" s="14" t="n">
        <v>40</v>
      </c>
      <c r="C32" s="14" t="n">
        <v>40</v>
      </c>
    </row>
    <row r="33">
      <c r="A33" s="14" t="inlineStr">
        <is>
          <t>NB-0032</t>
        </is>
      </c>
      <c r="B33" s="14" t="n">
        <v>222</v>
      </c>
      <c r="C33" s="14" t="n">
        <v>0</v>
      </c>
    </row>
    <row r="34">
      <c r="A34" s="14" t="inlineStr">
        <is>
          <t>NB-0033</t>
        </is>
      </c>
      <c r="B34" s="14" t="n">
        <v>2581</v>
      </c>
      <c r="C34" s="14" t="n">
        <v>1075</v>
      </c>
    </row>
    <row r="35">
      <c r="A35" s="14" t="inlineStr">
        <is>
          <t>NB-0034</t>
        </is>
      </c>
      <c r="B35" s="14" t="n">
        <v>646</v>
      </c>
      <c r="C35" s="14" t="n">
        <v>0</v>
      </c>
    </row>
    <row r="36">
      <c r="A36" s="14" t="inlineStr">
        <is>
          <t>NB-0035</t>
        </is>
      </c>
      <c r="B36" s="14" t="n">
        <v>50</v>
      </c>
      <c r="C36" s="14" t="n">
        <v>0</v>
      </c>
    </row>
    <row r="37">
      <c r="A37" s="14" t="inlineStr">
        <is>
          <t>NB-0036</t>
        </is>
      </c>
      <c r="B37" s="14" t="n">
        <v>135</v>
      </c>
      <c r="C37" s="14" t="n">
        <v>0</v>
      </c>
    </row>
    <row r="38">
      <c r="A38" s="14" t="inlineStr">
        <is>
          <t>NB-0037</t>
        </is>
      </c>
      <c r="B38" s="14" t="n">
        <v>322</v>
      </c>
      <c r="C38" s="14" t="n">
        <v>80</v>
      </c>
    </row>
    <row r="39">
      <c r="A39" s="14" t="inlineStr">
        <is>
          <t>NB-0038</t>
        </is>
      </c>
      <c r="B39" s="14" t="n">
        <v>470</v>
      </c>
      <c r="C39" s="14" t="n">
        <v>0</v>
      </c>
    </row>
    <row r="40">
      <c r="A40" s="14" t="inlineStr">
        <is>
          <t>NB-0039</t>
        </is>
      </c>
      <c r="B40" s="14" t="n">
        <v>153</v>
      </c>
      <c r="C40" s="14" t="n">
        <v>0</v>
      </c>
    </row>
    <row r="41">
      <c r="A41" s="14" t="inlineStr">
        <is>
          <t>NB-0040</t>
        </is>
      </c>
      <c r="B41" s="14" t="n">
        <v>144</v>
      </c>
      <c r="C41" s="14" t="n">
        <v>0</v>
      </c>
    </row>
    <row r="42">
      <c r="A42" s="14" t="inlineStr">
        <is>
          <t>NB-0041</t>
        </is>
      </c>
      <c r="B42" s="14" t="n">
        <v>54</v>
      </c>
      <c r="C42" s="14" t="n">
        <v>54</v>
      </c>
    </row>
    <row r="43">
      <c r="A43" s="14" t="inlineStr">
        <is>
          <t>NB-0042</t>
        </is>
      </c>
      <c r="B43" s="14" t="n">
        <v>36</v>
      </c>
      <c r="C43" s="14" t="n">
        <v>0</v>
      </c>
    </row>
    <row r="44">
      <c r="A44" s="14" t="inlineStr">
        <is>
          <t>NB-0043</t>
        </is>
      </c>
      <c r="B44" s="14" t="n">
        <v>67</v>
      </c>
      <c r="C44" s="14" t="n">
        <v>0</v>
      </c>
    </row>
    <row r="45">
      <c r="A45" s="14" t="inlineStr">
        <is>
          <t>NB-0044</t>
        </is>
      </c>
      <c r="B45" s="14" t="n">
        <v>97</v>
      </c>
      <c r="C45" s="14" t="n">
        <v>0</v>
      </c>
    </row>
    <row r="46">
      <c r="A46" s="14" t="inlineStr">
        <is>
          <t>NB-0045</t>
        </is>
      </c>
      <c r="B46" s="14" t="n">
        <v>153</v>
      </c>
      <c r="C46" s="14" t="n">
        <v>0</v>
      </c>
    </row>
    <row r="47">
      <c r="A47" s="14" t="inlineStr">
        <is>
          <t>NB-0046</t>
        </is>
      </c>
      <c r="B47" s="14" t="n">
        <v>50</v>
      </c>
      <c r="C47" s="14" t="n">
        <v>17</v>
      </c>
    </row>
    <row r="48">
      <c r="A48" s="14" t="inlineStr">
        <is>
          <t>NB-0047</t>
        </is>
      </c>
      <c r="B48" s="14" t="n">
        <v>83</v>
      </c>
      <c r="C48" s="14" t="n">
        <v>0</v>
      </c>
    </row>
    <row r="49">
      <c r="A49" s="14" t="inlineStr">
        <is>
          <t>NB-0048</t>
        </is>
      </c>
      <c r="B49" s="14" t="n">
        <v>93</v>
      </c>
      <c r="C49" s="14" t="n">
        <v>93</v>
      </c>
    </row>
    <row r="50">
      <c r="A50" s="14" t="inlineStr">
        <is>
          <t>NB-0049</t>
        </is>
      </c>
      <c r="B50" s="14" t="n">
        <v>159</v>
      </c>
      <c r="C50" s="14" t="n">
        <v>0</v>
      </c>
    </row>
  </sheetData>
  <autoFilter ref="A1:C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2026-10-10T03:46:42Z</dcterms:created>
  <dcterms:modified xmlns:dcterms="http://purl.org/dc/terms/" xmlns:xsi="http://www.w3.org/2001/XMLSchema-instance" xsi:type="dcterms:W3CDTF">2026-10-10T03:46:42Z</dcterms:modified>
</cp:coreProperties>
</file>